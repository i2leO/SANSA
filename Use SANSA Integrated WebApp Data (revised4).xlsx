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honnutchabunnag/Desktop/THESIS MASTER DEGREE/DATA Phase2/"/>
    </mc:Choice>
  </mc:AlternateContent>
  <xr:revisionPtr revIDLastSave="0" documentId="13_ncr:20001_{36690ED6-4232-D449-ACC5-95FCD9484327}" xr6:coauthVersionLast="47" xr6:coauthVersionMax="47" xr10:uidLastSave="{00000000-0000-0000-0000-000000000000}"/>
  <bookViews>
    <workbookView xWindow="0" yWindow="500" windowWidth="28240" windowHeight="15980" activeTab="4" xr2:uid="{00000000-000D-0000-FFFF-FFFF00000000}"/>
  </bookViews>
  <sheets>
    <sheet name="Participant_Data" sheetId="1" r:id="rId1"/>
    <sheet name="Prediction" sheetId="2" r:id="rId2"/>
    <sheet name="BIA_MNA_Staff" sheetId="3" r:id="rId3"/>
    <sheet name="Satisfaction" sheetId="4" r:id="rId4"/>
    <sheet name="Data_Dictionary " sheetId="7" r:id="rId5"/>
    <sheet name="Model_Logic" sheetId="6" r:id="rId6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1" i="4" l="1"/>
  <c r="M301" i="4" s="1"/>
  <c r="C301" i="4"/>
  <c r="B301" i="4"/>
  <c r="A301" i="4"/>
  <c r="J300" i="4"/>
  <c r="M300" i="4" s="1"/>
  <c r="C300" i="4"/>
  <c r="B300" i="4"/>
  <c r="A300" i="4"/>
  <c r="J299" i="4"/>
  <c r="M299" i="4" s="1"/>
  <c r="C299" i="4"/>
  <c r="B299" i="4"/>
  <c r="A299" i="4"/>
  <c r="M298" i="4"/>
  <c r="J298" i="4"/>
  <c r="C298" i="4"/>
  <c r="B298" i="4"/>
  <c r="A298" i="4"/>
  <c r="M297" i="4"/>
  <c r="J297" i="4"/>
  <c r="C297" i="4"/>
  <c r="B297" i="4"/>
  <c r="A297" i="4"/>
  <c r="J296" i="4"/>
  <c r="M296" i="4" s="1"/>
  <c r="C296" i="4"/>
  <c r="B296" i="4"/>
  <c r="A296" i="4"/>
  <c r="J295" i="4"/>
  <c r="M295" i="4" s="1"/>
  <c r="C295" i="4"/>
  <c r="B295" i="4"/>
  <c r="A295" i="4"/>
  <c r="M294" i="4"/>
  <c r="J294" i="4"/>
  <c r="C294" i="4"/>
  <c r="B294" i="4"/>
  <c r="A294" i="4"/>
  <c r="M293" i="4"/>
  <c r="J293" i="4"/>
  <c r="C293" i="4"/>
  <c r="B293" i="4"/>
  <c r="A293" i="4"/>
  <c r="M292" i="4"/>
  <c r="J292" i="4"/>
  <c r="C292" i="4"/>
  <c r="B292" i="4"/>
  <c r="A292" i="4"/>
  <c r="J291" i="4"/>
  <c r="M291" i="4" s="1"/>
  <c r="C291" i="4"/>
  <c r="B291" i="4"/>
  <c r="A291" i="4"/>
  <c r="M290" i="4"/>
  <c r="J290" i="4"/>
  <c r="C290" i="4"/>
  <c r="B290" i="4"/>
  <c r="A290" i="4"/>
  <c r="M289" i="4"/>
  <c r="J289" i="4"/>
  <c r="C289" i="4"/>
  <c r="B289" i="4"/>
  <c r="A289" i="4"/>
  <c r="M288" i="4"/>
  <c r="J288" i="4"/>
  <c r="C288" i="4"/>
  <c r="B288" i="4"/>
  <c r="A288" i="4"/>
  <c r="J287" i="4"/>
  <c r="M287" i="4" s="1"/>
  <c r="C287" i="4"/>
  <c r="B287" i="4"/>
  <c r="A287" i="4"/>
  <c r="M286" i="4"/>
  <c r="J286" i="4"/>
  <c r="C286" i="4"/>
  <c r="B286" i="4"/>
  <c r="A286" i="4"/>
  <c r="M285" i="4"/>
  <c r="J285" i="4"/>
  <c r="C285" i="4"/>
  <c r="B285" i="4"/>
  <c r="A285" i="4"/>
  <c r="J284" i="4"/>
  <c r="M284" i="4" s="1"/>
  <c r="C284" i="4"/>
  <c r="B284" i="4"/>
  <c r="A284" i="4"/>
  <c r="J283" i="4"/>
  <c r="M283" i="4" s="1"/>
  <c r="C283" i="4"/>
  <c r="B283" i="4"/>
  <c r="A283" i="4"/>
  <c r="M282" i="4"/>
  <c r="J282" i="4"/>
  <c r="C282" i="4"/>
  <c r="B282" i="4"/>
  <c r="A282" i="4"/>
  <c r="M281" i="4"/>
  <c r="J281" i="4"/>
  <c r="C281" i="4"/>
  <c r="B281" i="4"/>
  <c r="A281" i="4"/>
  <c r="J280" i="4"/>
  <c r="M280" i="4" s="1"/>
  <c r="C280" i="4"/>
  <c r="B280" i="4"/>
  <c r="A280" i="4"/>
  <c r="J279" i="4"/>
  <c r="M279" i="4" s="1"/>
  <c r="C279" i="4"/>
  <c r="B279" i="4"/>
  <c r="A279" i="4"/>
  <c r="M278" i="4"/>
  <c r="J278" i="4"/>
  <c r="C278" i="4"/>
  <c r="B278" i="4"/>
  <c r="A278" i="4"/>
  <c r="M277" i="4"/>
  <c r="J277" i="4"/>
  <c r="C277" i="4"/>
  <c r="B277" i="4"/>
  <c r="A277" i="4"/>
  <c r="J276" i="4"/>
  <c r="M276" i="4" s="1"/>
  <c r="C276" i="4"/>
  <c r="B276" i="4"/>
  <c r="A276" i="4"/>
  <c r="J275" i="4"/>
  <c r="M275" i="4" s="1"/>
  <c r="C275" i="4"/>
  <c r="B275" i="4"/>
  <c r="A275" i="4"/>
  <c r="M274" i="4"/>
  <c r="J274" i="4"/>
  <c r="C274" i="4"/>
  <c r="B274" i="4"/>
  <c r="A274" i="4"/>
  <c r="M273" i="4"/>
  <c r="J273" i="4"/>
  <c r="C273" i="4"/>
  <c r="B273" i="4"/>
  <c r="A273" i="4"/>
  <c r="M272" i="4"/>
  <c r="J272" i="4"/>
  <c r="C272" i="4"/>
  <c r="B272" i="4"/>
  <c r="A272" i="4"/>
  <c r="J271" i="4"/>
  <c r="M271" i="4" s="1"/>
  <c r="C271" i="4"/>
  <c r="B271" i="4"/>
  <c r="A271" i="4"/>
  <c r="J270" i="4"/>
  <c r="M270" i="4" s="1"/>
  <c r="C270" i="4"/>
  <c r="B270" i="4"/>
  <c r="A270" i="4"/>
  <c r="M269" i="4"/>
  <c r="J269" i="4"/>
  <c r="C269" i="4"/>
  <c r="B269" i="4"/>
  <c r="A269" i="4"/>
  <c r="J268" i="4"/>
  <c r="M268" i="4" s="1"/>
  <c r="C268" i="4"/>
  <c r="B268" i="4"/>
  <c r="A268" i="4"/>
  <c r="J267" i="4"/>
  <c r="M267" i="4" s="1"/>
  <c r="C267" i="4"/>
  <c r="B267" i="4"/>
  <c r="A267" i="4"/>
  <c r="M266" i="4"/>
  <c r="J266" i="4"/>
  <c r="C266" i="4"/>
  <c r="B266" i="4"/>
  <c r="A266" i="4"/>
  <c r="M265" i="4"/>
  <c r="J265" i="4"/>
  <c r="C265" i="4"/>
  <c r="B265" i="4"/>
  <c r="A265" i="4"/>
  <c r="J264" i="4"/>
  <c r="M264" i="4" s="1"/>
  <c r="C264" i="4"/>
  <c r="B264" i="4"/>
  <c r="A264" i="4"/>
  <c r="J263" i="4"/>
  <c r="M263" i="4" s="1"/>
  <c r="C263" i="4"/>
  <c r="B263" i="4"/>
  <c r="A263" i="4"/>
  <c r="J262" i="4"/>
  <c r="M262" i="4" s="1"/>
  <c r="C262" i="4"/>
  <c r="B262" i="4"/>
  <c r="A262" i="4"/>
  <c r="M261" i="4"/>
  <c r="J261" i="4"/>
  <c r="C261" i="4"/>
  <c r="B261" i="4"/>
  <c r="A261" i="4"/>
  <c r="J260" i="4"/>
  <c r="M260" i="4" s="1"/>
  <c r="C260" i="4"/>
  <c r="B260" i="4"/>
  <c r="A260" i="4"/>
  <c r="J259" i="4"/>
  <c r="M259" i="4" s="1"/>
  <c r="C259" i="4"/>
  <c r="B259" i="4"/>
  <c r="A259" i="4"/>
  <c r="M258" i="4"/>
  <c r="J258" i="4"/>
  <c r="C258" i="4"/>
  <c r="B258" i="4"/>
  <c r="A258" i="4"/>
  <c r="M257" i="4"/>
  <c r="J257" i="4"/>
  <c r="C257" i="4"/>
  <c r="B257" i="4"/>
  <c r="A257" i="4"/>
  <c r="J256" i="4"/>
  <c r="M256" i="4" s="1"/>
  <c r="C256" i="4"/>
  <c r="B256" i="4"/>
  <c r="A256" i="4"/>
  <c r="J255" i="4"/>
  <c r="M255" i="4" s="1"/>
  <c r="C255" i="4"/>
  <c r="B255" i="4"/>
  <c r="A255" i="4"/>
  <c r="M254" i="4"/>
  <c r="J254" i="4"/>
  <c r="C254" i="4"/>
  <c r="B254" i="4"/>
  <c r="A254" i="4"/>
  <c r="M253" i="4"/>
  <c r="J253" i="4"/>
  <c r="C253" i="4"/>
  <c r="B253" i="4"/>
  <c r="A253" i="4"/>
  <c r="J252" i="4"/>
  <c r="M252" i="4" s="1"/>
  <c r="C252" i="4"/>
  <c r="B252" i="4"/>
  <c r="A252" i="4"/>
  <c r="J251" i="4"/>
  <c r="M251" i="4" s="1"/>
  <c r="C251" i="4"/>
  <c r="B251" i="4"/>
  <c r="A251" i="4"/>
  <c r="M250" i="4"/>
  <c r="J250" i="4"/>
  <c r="C250" i="4"/>
  <c r="B250" i="4"/>
  <c r="A250" i="4"/>
  <c r="M249" i="4"/>
  <c r="J249" i="4"/>
  <c r="C249" i="4"/>
  <c r="B249" i="4"/>
  <c r="A249" i="4"/>
  <c r="J248" i="4"/>
  <c r="M248" i="4" s="1"/>
  <c r="C248" i="4"/>
  <c r="B248" i="4"/>
  <c r="A248" i="4"/>
  <c r="M247" i="4"/>
  <c r="J247" i="4"/>
  <c r="C247" i="4"/>
  <c r="B247" i="4"/>
  <c r="A247" i="4"/>
  <c r="J246" i="4"/>
  <c r="M246" i="4" s="1"/>
  <c r="C246" i="4"/>
  <c r="B246" i="4"/>
  <c r="A246" i="4"/>
  <c r="M245" i="4"/>
  <c r="J245" i="4"/>
  <c r="C245" i="4"/>
  <c r="B245" i="4"/>
  <c r="A245" i="4"/>
  <c r="J244" i="4"/>
  <c r="M244" i="4" s="1"/>
  <c r="C244" i="4"/>
  <c r="B244" i="4"/>
  <c r="A244" i="4"/>
  <c r="J243" i="4"/>
  <c r="M243" i="4" s="1"/>
  <c r="C243" i="4"/>
  <c r="B243" i="4"/>
  <c r="A243" i="4"/>
  <c r="M242" i="4"/>
  <c r="J242" i="4"/>
  <c r="C242" i="4"/>
  <c r="B242" i="4"/>
  <c r="A242" i="4"/>
  <c r="M241" i="4"/>
  <c r="J241" i="4"/>
  <c r="C241" i="4"/>
  <c r="B241" i="4"/>
  <c r="A241" i="4"/>
  <c r="J240" i="4"/>
  <c r="M240" i="4" s="1"/>
  <c r="C240" i="4"/>
  <c r="B240" i="4"/>
  <c r="A240" i="4"/>
  <c r="J239" i="4"/>
  <c r="M239" i="4" s="1"/>
  <c r="C239" i="4"/>
  <c r="B239" i="4"/>
  <c r="A239" i="4"/>
  <c r="J238" i="4"/>
  <c r="M238" i="4" s="1"/>
  <c r="C238" i="4"/>
  <c r="B238" i="4"/>
  <c r="A238" i="4"/>
  <c r="J237" i="4"/>
  <c r="M237" i="4" s="1"/>
  <c r="C237" i="4"/>
  <c r="B237" i="4"/>
  <c r="A237" i="4"/>
  <c r="J236" i="4"/>
  <c r="M236" i="4" s="1"/>
  <c r="C236" i="4"/>
  <c r="B236" i="4"/>
  <c r="A236" i="4"/>
  <c r="J235" i="4"/>
  <c r="M235" i="4" s="1"/>
  <c r="C235" i="4"/>
  <c r="B235" i="4"/>
  <c r="A235" i="4"/>
  <c r="M234" i="4"/>
  <c r="J234" i="4"/>
  <c r="C234" i="4"/>
  <c r="B234" i="4"/>
  <c r="A234" i="4"/>
  <c r="M233" i="4"/>
  <c r="J233" i="4"/>
  <c r="C233" i="4"/>
  <c r="B233" i="4"/>
  <c r="A233" i="4"/>
  <c r="J232" i="4"/>
  <c r="M232" i="4" s="1"/>
  <c r="C232" i="4"/>
  <c r="B232" i="4"/>
  <c r="A232" i="4"/>
  <c r="J231" i="4"/>
  <c r="M231" i="4" s="1"/>
  <c r="C231" i="4"/>
  <c r="B231" i="4"/>
  <c r="A231" i="4"/>
  <c r="M230" i="4"/>
  <c r="J230" i="4"/>
  <c r="C230" i="4"/>
  <c r="B230" i="4"/>
  <c r="A230" i="4"/>
  <c r="J229" i="4"/>
  <c r="M229" i="4" s="1"/>
  <c r="C229" i="4"/>
  <c r="B229" i="4"/>
  <c r="A229" i="4"/>
  <c r="J228" i="4"/>
  <c r="M228" i="4" s="1"/>
  <c r="C228" i="4"/>
  <c r="B228" i="4"/>
  <c r="A228" i="4"/>
  <c r="J227" i="4"/>
  <c r="M227" i="4" s="1"/>
  <c r="C227" i="4"/>
  <c r="B227" i="4"/>
  <c r="A227" i="4"/>
  <c r="M226" i="4"/>
  <c r="J226" i="4"/>
  <c r="C226" i="4"/>
  <c r="B226" i="4"/>
  <c r="A226" i="4"/>
  <c r="M225" i="4"/>
  <c r="J225" i="4"/>
  <c r="C225" i="4"/>
  <c r="B225" i="4"/>
  <c r="A225" i="4"/>
  <c r="J224" i="4"/>
  <c r="M224" i="4" s="1"/>
  <c r="C224" i="4"/>
  <c r="B224" i="4"/>
  <c r="A224" i="4"/>
  <c r="J223" i="4"/>
  <c r="M223" i="4" s="1"/>
  <c r="C223" i="4"/>
  <c r="B223" i="4"/>
  <c r="A223" i="4"/>
  <c r="J222" i="4"/>
  <c r="M222" i="4" s="1"/>
  <c r="C222" i="4"/>
  <c r="B222" i="4"/>
  <c r="A222" i="4"/>
  <c r="J221" i="4"/>
  <c r="M221" i="4" s="1"/>
  <c r="C221" i="4"/>
  <c r="B221" i="4"/>
  <c r="A221" i="4"/>
  <c r="J220" i="4"/>
  <c r="M220" i="4" s="1"/>
  <c r="C220" i="4"/>
  <c r="B220" i="4"/>
  <c r="A220" i="4"/>
  <c r="J219" i="4"/>
  <c r="M219" i="4" s="1"/>
  <c r="C219" i="4"/>
  <c r="B219" i="4"/>
  <c r="A219" i="4"/>
  <c r="M218" i="4"/>
  <c r="J218" i="4"/>
  <c r="C218" i="4"/>
  <c r="B218" i="4"/>
  <c r="A218" i="4"/>
  <c r="M217" i="4"/>
  <c r="J217" i="4"/>
  <c r="C217" i="4"/>
  <c r="B217" i="4"/>
  <c r="A217" i="4"/>
  <c r="J216" i="4"/>
  <c r="M216" i="4" s="1"/>
  <c r="C216" i="4"/>
  <c r="B216" i="4"/>
  <c r="A216" i="4"/>
  <c r="J215" i="4"/>
  <c r="M215" i="4" s="1"/>
  <c r="C215" i="4"/>
  <c r="B215" i="4"/>
  <c r="A215" i="4"/>
  <c r="M214" i="4"/>
  <c r="J214" i="4"/>
  <c r="C214" i="4"/>
  <c r="B214" i="4"/>
  <c r="A214" i="4"/>
  <c r="J213" i="4"/>
  <c r="M213" i="4" s="1"/>
  <c r="C213" i="4"/>
  <c r="B213" i="4"/>
  <c r="A213" i="4"/>
  <c r="J212" i="4"/>
  <c r="M212" i="4" s="1"/>
  <c r="C212" i="4"/>
  <c r="B212" i="4"/>
  <c r="A212" i="4"/>
  <c r="J211" i="4"/>
  <c r="M211" i="4" s="1"/>
  <c r="C211" i="4"/>
  <c r="B211" i="4"/>
  <c r="A211" i="4"/>
  <c r="M210" i="4"/>
  <c r="J210" i="4"/>
  <c r="C210" i="4"/>
  <c r="B210" i="4"/>
  <c r="A210" i="4"/>
  <c r="M209" i="4"/>
  <c r="J209" i="4"/>
  <c r="C209" i="4"/>
  <c r="B209" i="4"/>
  <c r="A209" i="4"/>
  <c r="J208" i="4"/>
  <c r="M208" i="4" s="1"/>
  <c r="C208" i="4"/>
  <c r="B208" i="4"/>
  <c r="A208" i="4"/>
  <c r="M207" i="4"/>
  <c r="J207" i="4"/>
  <c r="C207" i="4"/>
  <c r="B207" i="4"/>
  <c r="A207" i="4"/>
  <c r="J206" i="4"/>
  <c r="M206" i="4" s="1"/>
  <c r="C206" i="4"/>
  <c r="B206" i="4"/>
  <c r="A206" i="4"/>
  <c r="J205" i="4"/>
  <c r="M205" i="4" s="1"/>
  <c r="C205" i="4"/>
  <c r="B205" i="4"/>
  <c r="A205" i="4"/>
  <c r="J204" i="4"/>
  <c r="M204" i="4" s="1"/>
  <c r="C204" i="4"/>
  <c r="B204" i="4"/>
  <c r="A204" i="4"/>
  <c r="J203" i="4"/>
  <c r="M203" i="4" s="1"/>
  <c r="C203" i="4"/>
  <c r="B203" i="4"/>
  <c r="A203" i="4"/>
  <c r="M202" i="4"/>
  <c r="J202" i="4"/>
  <c r="C202" i="4"/>
  <c r="B202" i="4"/>
  <c r="A202" i="4"/>
  <c r="M201" i="4"/>
  <c r="C201" i="4"/>
  <c r="B201" i="4"/>
  <c r="A201" i="4"/>
  <c r="M200" i="4"/>
  <c r="C200" i="4"/>
  <c r="B200" i="4"/>
  <c r="A200" i="4"/>
  <c r="M199" i="4"/>
  <c r="C199" i="4"/>
  <c r="B199" i="4"/>
  <c r="A199" i="4"/>
  <c r="M198" i="4"/>
  <c r="C198" i="4"/>
  <c r="B198" i="4"/>
  <c r="A198" i="4"/>
  <c r="M197" i="4"/>
  <c r="C197" i="4"/>
  <c r="B197" i="4"/>
  <c r="A197" i="4"/>
  <c r="M196" i="4"/>
  <c r="C196" i="4"/>
  <c r="B196" i="4"/>
  <c r="A196" i="4"/>
  <c r="M195" i="4"/>
  <c r="C195" i="4"/>
  <c r="B195" i="4"/>
  <c r="A195" i="4"/>
  <c r="M194" i="4"/>
  <c r="C194" i="4"/>
  <c r="B194" i="4"/>
  <c r="A194" i="4"/>
  <c r="M193" i="4"/>
  <c r="C193" i="4"/>
  <c r="B193" i="4"/>
  <c r="A193" i="4"/>
  <c r="M192" i="4"/>
  <c r="C192" i="4"/>
  <c r="B192" i="4"/>
  <c r="A192" i="4"/>
  <c r="M191" i="4"/>
  <c r="C191" i="4"/>
  <c r="B191" i="4"/>
  <c r="A191" i="4"/>
  <c r="M190" i="4"/>
  <c r="C190" i="4"/>
  <c r="B190" i="4"/>
  <c r="A190" i="4"/>
  <c r="M189" i="4"/>
  <c r="C189" i="4"/>
  <c r="B189" i="4"/>
  <c r="A189" i="4"/>
  <c r="M188" i="4"/>
  <c r="C188" i="4"/>
  <c r="B188" i="4"/>
  <c r="A188" i="4"/>
  <c r="M187" i="4"/>
  <c r="C187" i="4"/>
  <c r="B187" i="4"/>
  <c r="A187" i="4"/>
  <c r="M186" i="4"/>
  <c r="C186" i="4"/>
  <c r="B186" i="4"/>
  <c r="A186" i="4"/>
  <c r="M185" i="4"/>
  <c r="C185" i="4"/>
  <c r="B185" i="4"/>
  <c r="A185" i="4"/>
  <c r="M184" i="4"/>
  <c r="C184" i="4"/>
  <c r="B184" i="4"/>
  <c r="A184" i="4"/>
  <c r="M183" i="4"/>
  <c r="C183" i="4"/>
  <c r="B183" i="4"/>
  <c r="A183" i="4"/>
  <c r="M182" i="4"/>
  <c r="C182" i="4"/>
  <c r="B182" i="4"/>
  <c r="A182" i="4"/>
  <c r="M181" i="4"/>
  <c r="C181" i="4"/>
  <c r="B181" i="4"/>
  <c r="A181" i="4"/>
  <c r="M180" i="4"/>
  <c r="C180" i="4"/>
  <c r="B180" i="4"/>
  <c r="A180" i="4"/>
  <c r="M179" i="4"/>
  <c r="C179" i="4"/>
  <c r="B179" i="4"/>
  <c r="A179" i="4"/>
  <c r="M178" i="4"/>
  <c r="C178" i="4"/>
  <c r="B178" i="4"/>
  <c r="A178" i="4"/>
  <c r="M177" i="4"/>
  <c r="C177" i="4"/>
  <c r="B177" i="4"/>
  <c r="A177" i="4"/>
  <c r="M176" i="4"/>
  <c r="C176" i="4"/>
  <c r="B176" i="4"/>
  <c r="A176" i="4"/>
  <c r="M175" i="4"/>
  <c r="C175" i="4"/>
  <c r="B175" i="4"/>
  <c r="A175" i="4"/>
  <c r="M174" i="4"/>
  <c r="C174" i="4"/>
  <c r="B174" i="4"/>
  <c r="A174" i="4"/>
  <c r="M173" i="4"/>
  <c r="C173" i="4"/>
  <c r="B173" i="4"/>
  <c r="A173" i="4"/>
  <c r="M172" i="4"/>
  <c r="C172" i="4"/>
  <c r="B172" i="4"/>
  <c r="A172" i="4"/>
  <c r="M171" i="4"/>
  <c r="C171" i="4"/>
  <c r="B171" i="4"/>
  <c r="A171" i="4"/>
  <c r="M170" i="4"/>
  <c r="C170" i="4"/>
  <c r="B170" i="4"/>
  <c r="A170" i="4"/>
  <c r="M169" i="4"/>
  <c r="C169" i="4"/>
  <c r="B169" i="4"/>
  <c r="A169" i="4"/>
  <c r="M168" i="4"/>
  <c r="C168" i="4"/>
  <c r="B168" i="4"/>
  <c r="A168" i="4"/>
  <c r="M167" i="4"/>
  <c r="C167" i="4"/>
  <c r="B167" i="4"/>
  <c r="A167" i="4"/>
  <c r="M166" i="4"/>
  <c r="C166" i="4"/>
  <c r="B166" i="4"/>
  <c r="A166" i="4"/>
  <c r="M165" i="4"/>
  <c r="C165" i="4"/>
  <c r="B165" i="4"/>
  <c r="A165" i="4"/>
  <c r="M164" i="4"/>
  <c r="C164" i="4"/>
  <c r="B164" i="4"/>
  <c r="A164" i="4"/>
  <c r="M163" i="4"/>
  <c r="C163" i="4"/>
  <c r="B163" i="4"/>
  <c r="A163" i="4"/>
  <c r="M162" i="4"/>
  <c r="C162" i="4"/>
  <c r="B162" i="4"/>
  <c r="A162" i="4"/>
  <c r="M161" i="4"/>
  <c r="C161" i="4"/>
  <c r="B161" i="4"/>
  <c r="A161" i="4"/>
  <c r="M160" i="4"/>
  <c r="C160" i="4"/>
  <c r="B160" i="4"/>
  <c r="A160" i="4"/>
  <c r="M159" i="4"/>
  <c r="C159" i="4"/>
  <c r="B159" i="4"/>
  <c r="A159" i="4"/>
  <c r="M158" i="4"/>
  <c r="C158" i="4"/>
  <c r="B158" i="4"/>
  <c r="A158" i="4"/>
  <c r="M157" i="4"/>
  <c r="C157" i="4"/>
  <c r="B157" i="4"/>
  <c r="A157" i="4"/>
  <c r="M156" i="4"/>
  <c r="C156" i="4"/>
  <c r="B156" i="4"/>
  <c r="A156" i="4"/>
  <c r="M155" i="4"/>
  <c r="C155" i="4"/>
  <c r="B155" i="4"/>
  <c r="A155" i="4"/>
  <c r="M154" i="4"/>
  <c r="C154" i="4"/>
  <c r="B154" i="4"/>
  <c r="A154" i="4"/>
  <c r="M153" i="4"/>
  <c r="C153" i="4"/>
  <c r="B153" i="4"/>
  <c r="A153" i="4"/>
  <c r="M152" i="4"/>
  <c r="C152" i="4"/>
  <c r="B152" i="4"/>
  <c r="A152" i="4"/>
  <c r="M151" i="4"/>
  <c r="C151" i="4"/>
  <c r="B151" i="4"/>
  <c r="A151" i="4"/>
  <c r="M150" i="4"/>
  <c r="C150" i="4"/>
  <c r="B150" i="4"/>
  <c r="A150" i="4"/>
  <c r="M149" i="4"/>
  <c r="C149" i="4"/>
  <c r="B149" i="4"/>
  <c r="A149" i="4"/>
  <c r="M148" i="4"/>
  <c r="C148" i="4"/>
  <c r="B148" i="4"/>
  <c r="A148" i="4"/>
  <c r="M147" i="4"/>
  <c r="C147" i="4"/>
  <c r="B147" i="4"/>
  <c r="A147" i="4"/>
  <c r="M146" i="4"/>
  <c r="C146" i="4"/>
  <c r="B146" i="4"/>
  <c r="A146" i="4"/>
  <c r="M145" i="4"/>
  <c r="C145" i="4"/>
  <c r="B145" i="4"/>
  <c r="A145" i="4"/>
  <c r="M144" i="4"/>
  <c r="C144" i="4"/>
  <c r="B144" i="4"/>
  <c r="A144" i="4"/>
  <c r="M143" i="4"/>
  <c r="C143" i="4"/>
  <c r="B143" i="4"/>
  <c r="A143" i="4"/>
  <c r="M142" i="4"/>
  <c r="C142" i="4"/>
  <c r="B142" i="4"/>
  <c r="A142" i="4"/>
  <c r="M141" i="4"/>
  <c r="C141" i="4"/>
  <c r="B141" i="4"/>
  <c r="A141" i="4"/>
  <c r="M140" i="4"/>
  <c r="C140" i="4"/>
  <c r="B140" i="4"/>
  <c r="A140" i="4"/>
  <c r="M139" i="4"/>
  <c r="C139" i="4"/>
  <c r="B139" i="4"/>
  <c r="A139" i="4"/>
  <c r="M138" i="4"/>
  <c r="C138" i="4"/>
  <c r="B138" i="4"/>
  <c r="A138" i="4"/>
  <c r="M137" i="4"/>
  <c r="C137" i="4"/>
  <c r="B137" i="4"/>
  <c r="A137" i="4"/>
  <c r="M136" i="4"/>
  <c r="C136" i="4"/>
  <c r="B136" i="4"/>
  <c r="A136" i="4"/>
  <c r="M135" i="4"/>
  <c r="C135" i="4"/>
  <c r="B135" i="4"/>
  <c r="A135" i="4"/>
  <c r="M134" i="4"/>
  <c r="C134" i="4"/>
  <c r="B134" i="4"/>
  <c r="A134" i="4"/>
  <c r="M133" i="4"/>
  <c r="C133" i="4"/>
  <c r="B133" i="4"/>
  <c r="A133" i="4"/>
  <c r="M132" i="4"/>
  <c r="C132" i="4"/>
  <c r="B132" i="4"/>
  <c r="A132" i="4"/>
  <c r="M131" i="4"/>
  <c r="C131" i="4"/>
  <c r="B131" i="4"/>
  <c r="A131" i="4"/>
  <c r="M130" i="4"/>
  <c r="C130" i="4"/>
  <c r="B130" i="4"/>
  <c r="A130" i="4"/>
  <c r="M129" i="4"/>
  <c r="C129" i="4"/>
  <c r="B129" i="4"/>
  <c r="A129" i="4"/>
  <c r="M128" i="4"/>
  <c r="C128" i="4"/>
  <c r="B128" i="4"/>
  <c r="A128" i="4"/>
  <c r="M127" i="4"/>
  <c r="C127" i="4"/>
  <c r="B127" i="4"/>
  <c r="A127" i="4"/>
  <c r="M126" i="4"/>
  <c r="C126" i="4"/>
  <c r="B126" i="4"/>
  <c r="A126" i="4"/>
  <c r="M125" i="4"/>
  <c r="C125" i="4"/>
  <c r="B125" i="4"/>
  <c r="A125" i="4"/>
  <c r="M124" i="4"/>
  <c r="C124" i="4"/>
  <c r="B124" i="4"/>
  <c r="A124" i="4"/>
  <c r="M123" i="4"/>
  <c r="C123" i="4"/>
  <c r="B123" i="4"/>
  <c r="A123" i="4"/>
  <c r="M122" i="4"/>
  <c r="C122" i="4"/>
  <c r="B122" i="4"/>
  <c r="A122" i="4"/>
  <c r="M121" i="4"/>
  <c r="C121" i="4"/>
  <c r="B121" i="4"/>
  <c r="A121" i="4"/>
  <c r="M120" i="4"/>
  <c r="C120" i="4"/>
  <c r="B120" i="4"/>
  <c r="A120" i="4"/>
  <c r="M119" i="4"/>
  <c r="C119" i="4"/>
  <c r="B119" i="4"/>
  <c r="A119" i="4"/>
  <c r="M118" i="4"/>
  <c r="C118" i="4"/>
  <c r="B118" i="4"/>
  <c r="A118" i="4"/>
  <c r="M117" i="4"/>
  <c r="C117" i="4"/>
  <c r="B117" i="4"/>
  <c r="A117" i="4"/>
  <c r="M116" i="4"/>
  <c r="C116" i="4"/>
  <c r="B116" i="4"/>
  <c r="A116" i="4"/>
  <c r="M115" i="4"/>
  <c r="C115" i="4"/>
  <c r="B115" i="4"/>
  <c r="A115" i="4"/>
  <c r="M114" i="4"/>
  <c r="C114" i="4"/>
  <c r="B114" i="4"/>
  <c r="A114" i="4"/>
  <c r="M113" i="4"/>
  <c r="C113" i="4"/>
  <c r="B113" i="4"/>
  <c r="A113" i="4"/>
  <c r="M112" i="4"/>
  <c r="C112" i="4"/>
  <c r="B112" i="4"/>
  <c r="A112" i="4"/>
  <c r="M111" i="4"/>
  <c r="C111" i="4"/>
  <c r="B111" i="4"/>
  <c r="A111" i="4"/>
  <c r="M110" i="4"/>
  <c r="C110" i="4"/>
  <c r="B110" i="4"/>
  <c r="A110" i="4"/>
  <c r="M109" i="4"/>
  <c r="C109" i="4"/>
  <c r="B109" i="4"/>
  <c r="A109" i="4"/>
  <c r="M108" i="4"/>
  <c r="C108" i="4"/>
  <c r="B108" i="4"/>
  <c r="A108" i="4"/>
  <c r="M107" i="4"/>
  <c r="C107" i="4"/>
  <c r="B107" i="4"/>
  <c r="A107" i="4"/>
  <c r="M106" i="4"/>
  <c r="C106" i="4"/>
  <c r="B106" i="4"/>
  <c r="A106" i="4"/>
  <c r="M105" i="4"/>
  <c r="C105" i="4"/>
  <c r="B105" i="4"/>
  <c r="A105" i="4"/>
  <c r="M104" i="4"/>
  <c r="C104" i="4"/>
  <c r="B104" i="4"/>
  <c r="A104" i="4"/>
  <c r="M103" i="4"/>
  <c r="C103" i="4"/>
  <c r="B103" i="4"/>
  <c r="A103" i="4"/>
  <c r="M102" i="4"/>
  <c r="C102" i="4"/>
  <c r="B102" i="4"/>
  <c r="A102" i="4"/>
  <c r="M101" i="4"/>
  <c r="C101" i="4"/>
  <c r="B101" i="4"/>
  <c r="A101" i="4"/>
  <c r="M100" i="4"/>
  <c r="C100" i="4"/>
  <c r="B100" i="4"/>
  <c r="A100" i="4"/>
  <c r="M99" i="4"/>
  <c r="C99" i="4"/>
  <c r="B99" i="4"/>
  <c r="A99" i="4"/>
  <c r="M98" i="4"/>
  <c r="C98" i="4"/>
  <c r="B98" i="4"/>
  <c r="A98" i="4"/>
  <c r="M97" i="4"/>
  <c r="C97" i="4"/>
  <c r="B97" i="4"/>
  <c r="A97" i="4"/>
  <c r="M96" i="4"/>
  <c r="C96" i="4"/>
  <c r="B96" i="4"/>
  <c r="A96" i="4"/>
  <c r="M95" i="4"/>
  <c r="C95" i="4"/>
  <c r="B95" i="4"/>
  <c r="A95" i="4"/>
  <c r="M94" i="4"/>
  <c r="C94" i="4"/>
  <c r="B94" i="4"/>
  <c r="A94" i="4"/>
  <c r="M93" i="4"/>
  <c r="C93" i="4"/>
  <c r="B93" i="4"/>
  <c r="A93" i="4"/>
  <c r="M92" i="4"/>
  <c r="C92" i="4"/>
  <c r="B92" i="4"/>
  <c r="A92" i="4"/>
  <c r="M91" i="4"/>
  <c r="C91" i="4"/>
  <c r="B91" i="4"/>
  <c r="A91" i="4"/>
  <c r="M90" i="4"/>
  <c r="C90" i="4"/>
  <c r="B90" i="4"/>
  <c r="A90" i="4"/>
  <c r="M89" i="4"/>
  <c r="C89" i="4"/>
  <c r="B89" i="4"/>
  <c r="A89" i="4"/>
  <c r="M88" i="4"/>
  <c r="C88" i="4"/>
  <c r="B88" i="4"/>
  <c r="A88" i="4"/>
  <c r="M87" i="4"/>
  <c r="C87" i="4"/>
  <c r="B87" i="4"/>
  <c r="A87" i="4"/>
  <c r="M86" i="4"/>
  <c r="C86" i="4"/>
  <c r="B86" i="4"/>
  <c r="A86" i="4"/>
  <c r="M85" i="4"/>
  <c r="C85" i="4"/>
  <c r="B85" i="4"/>
  <c r="A85" i="4"/>
  <c r="M84" i="4"/>
  <c r="C84" i="4"/>
  <c r="B84" i="4"/>
  <c r="A84" i="4"/>
  <c r="M83" i="4"/>
  <c r="C83" i="4"/>
  <c r="B83" i="4"/>
  <c r="A83" i="4"/>
  <c r="M82" i="4"/>
  <c r="C82" i="4"/>
  <c r="B82" i="4"/>
  <c r="A82" i="4"/>
  <c r="M81" i="4"/>
  <c r="C81" i="4"/>
  <c r="B81" i="4"/>
  <c r="A81" i="4"/>
  <c r="M80" i="4"/>
  <c r="C80" i="4"/>
  <c r="B80" i="4"/>
  <c r="A80" i="4"/>
  <c r="M79" i="4"/>
  <c r="C79" i="4"/>
  <c r="B79" i="4"/>
  <c r="A79" i="4"/>
  <c r="M78" i="4"/>
  <c r="C78" i="4"/>
  <c r="B78" i="4"/>
  <c r="A78" i="4"/>
  <c r="M77" i="4"/>
  <c r="C77" i="4"/>
  <c r="B77" i="4"/>
  <c r="A77" i="4"/>
  <c r="M76" i="4"/>
  <c r="C76" i="4"/>
  <c r="B76" i="4"/>
  <c r="A76" i="4"/>
  <c r="M75" i="4"/>
  <c r="C75" i="4"/>
  <c r="B75" i="4"/>
  <c r="A75" i="4"/>
  <c r="M74" i="4"/>
  <c r="C74" i="4"/>
  <c r="B74" i="4"/>
  <c r="A74" i="4"/>
  <c r="M73" i="4"/>
  <c r="C73" i="4"/>
  <c r="B73" i="4"/>
  <c r="A73" i="4"/>
  <c r="M72" i="4"/>
  <c r="C72" i="4"/>
  <c r="B72" i="4"/>
  <c r="A72" i="4"/>
  <c r="M71" i="4"/>
  <c r="C71" i="4"/>
  <c r="B71" i="4"/>
  <c r="A71" i="4"/>
  <c r="M70" i="4"/>
  <c r="C70" i="4"/>
  <c r="B70" i="4"/>
  <c r="A70" i="4"/>
  <c r="M69" i="4"/>
  <c r="C69" i="4"/>
  <c r="B69" i="4"/>
  <c r="A69" i="4"/>
  <c r="M68" i="4"/>
  <c r="C68" i="4"/>
  <c r="B68" i="4"/>
  <c r="A68" i="4"/>
  <c r="M67" i="4"/>
  <c r="C67" i="4"/>
  <c r="B67" i="4"/>
  <c r="A67" i="4"/>
  <c r="M66" i="4"/>
  <c r="C66" i="4"/>
  <c r="B66" i="4"/>
  <c r="A66" i="4"/>
  <c r="M65" i="4"/>
  <c r="C65" i="4"/>
  <c r="B65" i="4"/>
  <c r="A65" i="4"/>
  <c r="M64" i="4"/>
  <c r="C64" i="4"/>
  <c r="B64" i="4"/>
  <c r="A64" i="4"/>
  <c r="M63" i="4"/>
  <c r="C63" i="4"/>
  <c r="B63" i="4"/>
  <c r="A63" i="4"/>
  <c r="M62" i="4"/>
  <c r="C62" i="4"/>
  <c r="B62" i="4"/>
  <c r="A62" i="4"/>
  <c r="M61" i="4"/>
  <c r="C61" i="4"/>
  <c r="B61" i="4"/>
  <c r="A61" i="4"/>
  <c r="M60" i="4"/>
  <c r="C60" i="4"/>
  <c r="B60" i="4"/>
  <c r="A60" i="4"/>
  <c r="M59" i="4"/>
  <c r="C59" i="4"/>
  <c r="B59" i="4"/>
  <c r="A59" i="4"/>
  <c r="M58" i="4"/>
  <c r="C58" i="4"/>
  <c r="B58" i="4"/>
  <c r="A58" i="4"/>
  <c r="M57" i="4"/>
  <c r="C57" i="4"/>
  <c r="B57" i="4"/>
  <c r="A57" i="4"/>
  <c r="M56" i="4"/>
  <c r="C56" i="4"/>
  <c r="B56" i="4"/>
  <c r="A56" i="4"/>
  <c r="M55" i="4"/>
  <c r="C55" i="4"/>
  <c r="B55" i="4"/>
  <c r="A55" i="4"/>
  <c r="M54" i="4"/>
  <c r="C54" i="4"/>
  <c r="B54" i="4"/>
  <c r="A54" i="4"/>
  <c r="M53" i="4"/>
  <c r="C53" i="4"/>
  <c r="B53" i="4"/>
  <c r="A53" i="4"/>
  <c r="M52" i="4"/>
  <c r="C52" i="4"/>
  <c r="B52" i="4"/>
  <c r="A52" i="4"/>
  <c r="M51" i="4"/>
  <c r="C51" i="4"/>
  <c r="B51" i="4"/>
  <c r="A51" i="4"/>
  <c r="M50" i="4"/>
  <c r="C50" i="4"/>
  <c r="B50" i="4"/>
  <c r="A50" i="4"/>
  <c r="M49" i="4"/>
  <c r="C49" i="4"/>
  <c r="B49" i="4"/>
  <c r="A49" i="4"/>
  <c r="M48" i="4"/>
  <c r="C48" i="4"/>
  <c r="B48" i="4"/>
  <c r="A48" i="4"/>
  <c r="M47" i="4"/>
  <c r="C47" i="4"/>
  <c r="B47" i="4"/>
  <c r="A47" i="4"/>
  <c r="M46" i="4"/>
  <c r="C46" i="4"/>
  <c r="B46" i="4"/>
  <c r="A46" i="4"/>
  <c r="M45" i="4"/>
  <c r="C45" i="4"/>
  <c r="B45" i="4"/>
  <c r="A45" i="4"/>
  <c r="M44" i="4"/>
  <c r="C44" i="4"/>
  <c r="B44" i="4"/>
  <c r="A44" i="4"/>
  <c r="M43" i="4"/>
  <c r="C43" i="4"/>
  <c r="B43" i="4"/>
  <c r="A43" i="4"/>
  <c r="M42" i="4"/>
  <c r="C42" i="4"/>
  <c r="B42" i="4"/>
  <c r="A42" i="4"/>
  <c r="M41" i="4"/>
  <c r="C41" i="4"/>
  <c r="B41" i="4"/>
  <c r="A41" i="4"/>
  <c r="M40" i="4"/>
  <c r="C40" i="4"/>
  <c r="B40" i="4"/>
  <c r="A40" i="4"/>
  <c r="M39" i="4"/>
  <c r="C39" i="4"/>
  <c r="B39" i="4"/>
  <c r="A39" i="4"/>
  <c r="M38" i="4"/>
  <c r="C38" i="4"/>
  <c r="B38" i="4"/>
  <c r="A38" i="4"/>
  <c r="M37" i="4"/>
  <c r="C37" i="4"/>
  <c r="B37" i="4"/>
  <c r="A37" i="4"/>
  <c r="M36" i="4"/>
  <c r="C36" i="4"/>
  <c r="B36" i="4"/>
  <c r="A36" i="4"/>
  <c r="M35" i="4"/>
  <c r="C35" i="4"/>
  <c r="B35" i="4"/>
  <c r="A35" i="4"/>
  <c r="M34" i="4"/>
  <c r="C34" i="4"/>
  <c r="B34" i="4"/>
  <c r="A34" i="4"/>
  <c r="M33" i="4"/>
  <c r="C33" i="4"/>
  <c r="B33" i="4"/>
  <c r="A33" i="4"/>
  <c r="M32" i="4"/>
  <c r="C32" i="4"/>
  <c r="B32" i="4"/>
  <c r="A32" i="4"/>
  <c r="M31" i="4"/>
  <c r="C31" i="4"/>
  <c r="B31" i="4"/>
  <c r="A31" i="4"/>
  <c r="M30" i="4"/>
  <c r="C30" i="4"/>
  <c r="B30" i="4"/>
  <c r="A30" i="4"/>
  <c r="M29" i="4"/>
  <c r="C29" i="4"/>
  <c r="B29" i="4"/>
  <c r="A29" i="4"/>
  <c r="M28" i="4"/>
  <c r="C28" i="4"/>
  <c r="B28" i="4"/>
  <c r="A28" i="4"/>
  <c r="M27" i="4"/>
  <c r="C27" i="4"/>
  <c r="B27" i="4"/>
  <c r="A27" i="4"/>
  <c r="M26" i="4"/>
  <c r="C26" i="4"/>
  <c r="B26" i="4"/>
  <c r="A26" i="4"/>
  <c r="M25" i="4"/>
  <c r="C25" i="4"/>
  <c r="B25" i="4"/>
  <c r="A25" i="4"/>
  <c r="M24" i="4"/>
  <c r="C24" i="4"/>
  <c r="B24" i="4"/>
  <c r="A24" i="4"/>
  <c r="M23" i="4"/>
  <c r="C23" i="4"/>
  <c r="B23" i="4"/>
  <c r="A23" i="4"/>
  <c r="M22" i="4"/>
  <c r="C22" i="4"/>
  <c r="B22" i="4"/>
  <c r="A22" i="4"/>
  <c r="M21" i="4"/>
  <c r="C21" i="4"/>
  <c r="B21" i="4"/>
  <c r="A21" i="4"/>
  <c r="M20" i="4"/>
  <c r="C20" i="4"/>
  <c r="B20" i="4"/>
  <c r="A20" i="4"/>
  <c r="M19" i="4"/>
  <c r="C19" i="4"/>
  <c r="B19" i="4"/>
  <c r="A19" i="4"/>
  <c r="M18" i="4"/>
  <c r="C18" i="4"/>
  <c r="B18" i="4"/>
  <c r="A18" i="4"/>
  <c r="M17" i="4"/>
  <c r="C17" i="4"/>
  <c r="B17" i="4"/>
  <c r="A17" i="4"/>
  <c r="M16" i="4"/>
  <c r="C16" i="4"/>
  <c r="B16" i="4"/>
  <c r="A16" i="4"/>
  <c r="M15" i="4"/>
  <c r="C15" i="4"/>
  <c r="B15" i="4"/>
  <c r="A15" i="4"/>
  <c r="M14" i="4"/>
  <c r="C14" i="4"/>
  <c r="B14" i="4"/>
  <c r="A14" i="4"/>
  <c r="M13" i="4"/>
  <c r="C13" i="4"/>
  <c r="B13" i="4"/>
  <c r="A13" i="4"/>
  <c r="M12" i="4"/>
  <c r="C12" i="4"/>
  <c r="B12" i="4"/>
  <c r="A12" i="4"/>
  <c r="M11" i="4"/>
  <c r="C11" i="4"/>
  <c r="B11" i="4"/>
  <c r="A11" i="4"/>
  <c r="M10" i="4"/>
  <c r="C10" i="4"/>
  <c r="B10" i="4"/>
  <c r="A10" i="4"/>
  <c r="M9" i="4"/>
  <c r="C9" i="4"/>
  <c r="B9" i="4"/>
  <c r="A9" i="4"/>
  <c r="M8" i="4"/>
  <c r="C8" i="4"/>
  <c r="B8" i="4"/>
  <c r="A8" i="4"/>
  <c r="M7" i="4"/>
  <c r="C7" i="4"/>
  <c r="B7" i="4"/>
  <c r="A7" i="4"/>
  <c r="M6" i="4"/>
  <c r="C6" i="4"/>
  <c r="B6" i="4"/>
  <c r="A6" i="4"/>
  <c r="M5" i="4"/>
  <c r="C5" i="4"/>
  <c r="B5" i="4"/>
  <c r="A5" i="4"/>
  <c r="M4" i="4"/>
  <c r="C4" i="4"/>
  <c r="B4" i="4"/>
  <c r="A4" i="4"/>
  <c r="M3" i="4"/>
  <c r="C3" i="4"/>
  <c r="B3" i="4"/>
  <c r="A3" i="4"/>
  <c r="M2" i="4"/>
  <c r="C2" i="4"/>
  <c r="B2" i="4"/>
  <c r="A2" i="4"/>
  <c r="C301" i="2"/>
  <c r="B301" i="2"/>
  <c r="A301" i="2"/>
  <c r="C300" i="2"/>
  <c r="B300" i="2"/>
  <c r="A300" i="2"/>
  <c r="C299" i="2"/>
  <c r="B299" i="2"/>
  <c r="A299" i="2"/>
  <c r="C298" i="2"/>
  <c r="B298" i="2"/>
  <c r="A298" i="2"/>
  <c r="C297" i="2"/>
  <c r="B297" i="2"/>
  <c r="A297" i="2"/>
  <c r="C296" i="2"/>
  <c r="B296" i="2"/>
  <c r="A296" i="2"/>
  <c r="C295" i="2"/>
  <c r="B295" i="2"/>
  <c r="A295" i="2"/>
  <c r="C294" i="2"/>
  <c r="B294" i="2"/>
  <c r="A294" i="2"/>
  <c r="C293" i="2"/>
  <c r="B293" i="2"/>
  <c r="A293" i="2"/>
  <c r="C292" i="2"/>
  <c r="B292" i="2"/>
  <c r="A292" i="2"/>
  <c r="C291" i="2"/>
  <c r="B291" i="2"/>
  <c r="A291" i="2"/>
  <c r="C290" i="2"/>
  <c r="B290" i="2"/>
  <c r="A290" i="2"/>
  <c r="C289" i="2"/>
  <c r="B289" i="2"/>
  <c r="A289" i="2"/>
  <c r="C288" i="2"/>
  <c r="B288" i="2"/>
  <c r="A288" i="2"/>
  <c r="C287" i="2"/>
  <c r="B287" i="2"/>
  <c r="A287" i="2"/>
  <c r="C286" i="2"/>
  <c r="B286" i="2"/>
  <c r="A286" i="2"/>
  <c r="C285" i="2"/>
  <c r="B285" i="2"/>
  <c r="A285" i="2"/>
  <c r="C284" i="2"/>
  <c r="B284" i="2"/>
  <c r="A284" i="2"/>
  <c r="C283" i="2"/>
  <c r="B283" i="2"/>
  <c r="A283" i="2"/>
  <c r="C282" i="2"/>
  <c r="B282" i="2"/>
  <c r="A282" i="2"/>
  <c r="C281" i="2"/>
  <c r="B281" i="2"/>
  <c r="A281" i="2"/>
  <c r="C280" i="2"/>
  <c r="B280" i="2"/>
  <c r="A280" i="2"/>
  <c r="C279" i="2"/>
  <c r="B279" i="2"/>
  <c r="A279" i="2"/>
  <c r="C278" i="2"/>
  <c r="B278" i="2"/>
  <c r="A278" i="2"/>
  <c r="C277" i="2"/>
  <c r="B277" i="2"/>
  <c r="A277" i="2"/>
  <c r="C276" i="2"/>
  <c r="B276" i="2"/>
  <c r="A276" i="2"/>
  <c r="C275" i="2"/>
  <c r="B275" i="2"/>
  <c r="A275" i="2"/>
  <c r="C274" i="2"/>
  <c r="B274" i="2"/>
  <c r="A274" i="2"/>
  <c r="C273" i="2"/>
  <c r="B273" i="2"/>
  <c r="A273" i="2"/>
  <c r="C272" i="2"/>
  <c r="B272" i="2"/>
  <c r="A272" i="2"/>
  <c r="C271" i="2"/>
  <c r="B271" i="2"/>
  <c r="A271" i="2"/>
  <c r="C270" i="2"/>
  <c r="B270" i="2"/>
  <c r="A270" i="2"/>
  <c r="C269" i="2"/>
  <c r="B269" i="2"/>
  <c r="A269" i="2"/>
  <c r="C268" i="2"/>
  <c r="B268" i="2"/>
  <c r="A268" i="2"/>
  <c r="C267" i="2"/>
  <c r="B267" i="2"/>
  <c r="A267" i="2"/>
  <c r="C266" i="2"/>
  <c r="B266" i="2"/>
  <c r="A266" i="2"/>
  <c r="C265" i="2"/>
  <c r="B265" i="2"/>
  <c r="A265" i="2"/>
  <c r="C264" i="2"/>
  <c r="B264" i="2"/>
  <c r="A264" i="2"/>
  <c r="C263" i="2"/>
  <c r="B263" i="2"/>
  <c r="A263" i="2"/>
  <c r="C262" i="2"/>
  <c r="B262" i="2"/>
  <c r="A262" i="2"/>
  <c r="C261" i="2"/>
  <c r="B261" i="2"/>
  <c r="A261" i="2"/>
  <c r="C260" i="2"/>
  <c r="B260" i="2"/>
  <c r="A260" i="2"/>
  <c r="C259" i="2"/>
  <c r="B259" i="2"/>
  <c r="A259" i="2"/>
  <c r="C258" i="2"/>
  <c r="B258" i="2"/>
  <c r="A258" i="2"/>
  <c r="C257" i="2"/>
  <c r="B257" i="2"/>
  <c r="A257" i="2"/>
  <c r="C256" i="2"/>
  <c r="B256" i="2"/>
  <c r="A256" i="2"/>
  <c r="C255" i="2"/>
  <c r="B255" i="2"/>
  <c r="A255" i="2"/>
  <c r="C254" i="2"/>
  <c r="B254" i="2"/>
  <c r="A254" i="2"/>
  <c r="C253" i="2"/>
  <c r="B253" i="2"/>
  <c r="A253" i="2"/>
  <c r="C252" i="2"/>
  <c r="B252" i="2"/>
  <c r="A252" i="2"/>
  <c r="C251" i="2"/>
  <c r="B251" i="2"/>
  <c r="A251" i="2"/>
  <c r="C250" i="2"/>
  <c r="B250" i="2"/>
  <c r="A250" i="2"/>
  <c r="C249" i="2"/>
  <c r="B249" i="2"/>
  <c r="A249" i="2"/>
  <c r="C248" i="2"/>
  <c r="B248" i="2"/>
  <c r="A248" i="2"/>
  <c r="C247" i="2"/>
  <c r="B247" i="2"/>
  <c r="A247" i="2"/>
  <c r="C246" i="2"/>
  <c r="B246" i="2"/>
  <c r="A246" i="2"/>
  <c r="C245" i="2"/>
  <c r="B245" i="2"/>
  <c r="A245" i="2"/>
  <c r="C244" i="2"/>
  <c r="B244" i="2"/>
  <c r="A244" i="2"/>
  <c r="C243" i="2"/>
  <c r="B243" i="2"/>
  <c r="A243" i="2"/>
  <c r="C242" i="2"/>
  <c r="B242" i="2"/>
  <c r="A242" i="2"/>
  <c r="C241" i="2"/>
  <c r="B241" i="2"/>
  <c r="A241" i="2"/>
  <c r="C240" i="2"/>
  <c r="B240" i="2"/>
  <c r="A240" i="2"/>
  <c r="C239" i="2"/>
  <c r="B239" i="2"/>
  <c r="A239" i="2"/>
  <c r="C238" i="2"/>
  <c r="B238" i="2"/>
  <c r="A238" i="2"/>
  <c r="C237" i="2"/>
  <c r="B237" i="2"/>
  <c r="A237" i="2"/>
  <c r="C236" i="2"/>
  <c r="B236" i="2"/>
  <c r="A236" i="2"/>
  <c r="C235" i="2"/>
  <c r="B235" i="2"/>
  <c r="A235" i="2"/>
  <c r="C234" i="2"/>
  <c r="B234" i="2"/>
  <c r="A234" i="2"/>
  <c r="C233" i="2"/>
  <c r="B233" i="2"/>
  <c r="A233" i="2"/>
  <c r="C232" i="2"/>
  <c r="B232" i="2"/>
  <c r="A232" i="2"/>
  <c r="C231" i="2"/>
  <c r="B231" i="2"/>
  <c r="A231" i="2"/>
  <c r="C230" i="2"/>
  <c r="B230" i="2"/>
  <c r="A230" i="2"/>
  <c r="C229" i="2"/>
  <c r="B229" i="2"/>
  <c r="A229" i="2"/>
  <c r="C228" i="2"/>
  <c r="B228" i="2"/>
  <c r="A228" i="2"/>
  <c r="C227" i="2"/>
  <c r="B227" i="2"/>
  <c r="A227" i="2"/>
  <c r="C226" i="2"/>
  <c r="B226" i="2"/>
  <c r="A226" i="2"/>
  <c r="C225" i="2"/>
  <c r="B225" i="2"/>
  <c r="A225" i="2"/>
  <c r="C224" i="2"/>
  <c r="B224" i="2"/>
  <c r="A224" i="2"/>
  <c r="C223" i="2"/>
  <c r="B223" i="2"/>
  <c r="A223" i="2"/>
  <c r="C222" i="2"/>
  <c r="B222" i="2"/>
  <c r="A222" i="2"/>
  <c r="C221" i="2"/>
  <c r="B221" i="2"/>
  <c r="A221" i="2"/>
  <c r="C220" i="2"/>
  <c r="B220" i="2"/>
  <c r="A220" i="2"/>
  <c r="C219" i="2"/>
  <c r="B219" i="2"/>
  <c r="A219" i="2"/>
  <c r="C218" i="2"/>
  <c r="B218" i="2"/>
  <c r="A218" i="2"/>
  <c r="C217" i="2"/>
  <c r="B217" i="2"/>
  <c r="A217" i="2"/>
  <c r="C216" i="2"/>
  <c r="B216" i="2"/>
  <c r="A216" i="2"/>
  <c r="C215" i="2"/>
  <c r="B215" i="2"/>
  <c r="A215" i="2"/>
  <c r="C214" i="2"/>
  <c r="B214" i="2"/>
  <c r="A214" i="2"/>
  <c r="C213" i="2"/>
  <c r="B213" i="2"/>
  <c r="A213" i="2"/>
  <c r="C212" i="2"/>
  <c r="B212" i="2"/>
  <c r="A212" i="2"/>
  <c r="C211" i="2"/>
  <c r="B211" i="2"/>
  <c r="A211" i="2"/>
  <c r="C210" i="2"/>
  <c r="B210" i="2"/>
  <c r="A210" i="2"/>
  <c r="C209" i="2"/>
  <c r="B209" i="2"/>
  <c r="A209" i="2"/>
  <c r="C208" i="2"/>
  <c r="B208" i="2"/>
  <c r="A208" i="2"/>
  <c r="C207" i="2"/>
  <c r="B207" i="2"/>
  <c r="A207" i="2"/>
  <c r="C206" i="2"/>
  <c r="B206" i="2"/>
  <c r="A206" i="2"/>
  <c r="C205" i="2"/>
  <c r="B205" i="2"/>
  <c r="A205" i="2"/>
  <c r="C204" i="2"/>
  <c r="B204" i="2"/>
  <c r="A204" i="2"/>
  <c r="C203" i="2"/>
  <c r="B203" i="2"/>
  <c r="A203" i="2"/>
  <c r="C202" i="2"/>
  <c r="B202" i="2"/>
  <c r="A202" i="2"/>
  <c r="F201" i="2"/>
  <c r="E201" i="2"/>
  <c r="C201" i="2"/>
  <c r="B201" i="2"/>
  <c r="A201" i="2"/>
  <c r="F200" i="2"/>
  <c r="E200" i="2"/>
  <c r="C200" i="2"/>
  <c r="B200" i="2"/>
  <c r="A200" i="2"/>
  <c r="F199" i="2"/>
  <c r="E199" i="2"/>
  <c r="C199" i="2"/>
  <c r="B199" i="2"/>
  <c r="A199" i="2"/>
  <c r="F198" i="2"/>
  <c r="E198" i="2"/>
  <c r="C198" i="2"/>
  <c r="B198" i="2"/>
  <c r="A198" i="2"/>
  <c r="F197" i="2"/>
  <c r="E197" i="2"/>
  <c r="C197" i="2"/>
  <c r="B197" i="2"/>
  <c r="A197" i="2"/>
  <c r="F196" i="2"/>
  <c r="E196" i="2"/>
  <c r="C196" i="2"/>
  <c r="B196" i="2"/>
  <c r="A196" i="2"/>
  <c r="F195" i="2"/>
  <c r="E195" i="2"/>
  <c r="C195" i="2"/>
  <c r="B195" i="2"/>
  <c r="A195" i="2"/>
  <c r="F194" i="2"/>
  <c r="E194" i="2"/>
  <c r="C194" i="2"/>
  <c r="B194" i="2"/>
  <c r="A194" i="2"/>
  <c r="F193" i="2"/>
  <c r="E193" i="2"/>
  <c r="C193" i="2"/>
  <c r="B193" i="2"/>
  <c r="A193" i="2"/>
  <c r="F192" i="2"/>
  <c r="E192" i="2"/>
  <c r="C192" i="2"/>
  <c r="B192" i="2"/>
  <c r="A192" i="2"/>
  <c r="F191" i="2"/>
  <c r="E191" i="2"/>
  <c r="C191" i="2"/>
  <c r="B191" i="2"/>
  <c r="A191" i="2"/>
  <c r="F190" i="2"/>
  <c r="E190" i="2"/>
  <c r="C190" i="2"/>
  <c r="B190" i="2"/>
  <c r="A190" i="2"/>
  <c r="F189" i="2"/>
  <c r="E189" i="2"/>
  <c r="C189" i="2"/>
  <c r="B189" i="2"/>
  <c r="A189" i="2"/>
  <c r="F188" i="2"/>
  <c r="E188" i="2"/>
  <c r="C188" i="2"/>
  <c r="B188" i="2"/>
  <c r="A188" i="2"/>
  <c r="F187" i="2"/>
  <c r="E187" i="2"/>
  <c r="C187" i="2"/>
  <c r="B187" i="2"/>
  <c r="A187" i="2"/>
  <c r="F186" i="2"/>
  <c r="E186" i="2"/>
  <c r="C186" i="2"/>
  <c r="B186" i="2"/>
  <c r="A186" i="2"/>
  <c r="F185" i="2"/>
  <c r="E185" i="2"/>
  <c r="C185" i="2"/>
  <c r="B185" i="2"/>
  <c r="A185" i="2"/>
  <c r="F184" i="2"/>
  <c r="E184" i="2"/>
  <c r="C184" i="2"/>
  <c r="B184" i="2"/>
  <c r="A184" i="2"/>
  <c r="F183" i="2"/>
  <c r="E183" i="2"/>
  <c r="C183" i="2"/>
  <c r="B183" i="2"/>
  <c r="A183" i="2"/>
  <c r="F182" i="2"/>
  <c r="E182" i="2"/>
  <c r="C182" i="2"/>
  <c r="B182" i="2"/>
  <c r="A182" i="2"/>
  <c r="F181" i="2"/>
  <c r="E181" i="2"/>
  <c r="C181" i="2"/>
  <c r="B181" i="2"/>
  <c r="A181" i="2"/>
  <c r="F180" i="2"/>
  <c r="E180" i="2"/>
  <c r="C180" i="2"/>
  <c r="B180" i="2"/>
  <c r="A180" i="2"/>
  <c r="F179" i="2"/>
  <c r="E179" i="2"/>
  <c r="C179" i="2"/>
  <c r="B179" i="2"/>
  <c r="A179" i="2"/>
  <c r="F178" i="2"/>
  <c r="E178" i="2"/>
  <c r="C178" i="2"/>
  <c r="B178" i="2"/>
  <c r="A178" i="2"/>
  <c r="F177" i="2"/>
  <c r="E177" i="2"/>
  <c r="C177" i="2"/>
  <c r="B177" i="2"/>
  <c r="A177" i="2"/>
  <c r="F176" i="2"/>
  <c r="E176" i="2"/>
  <c r="C176" i="2"/>
  <c r="B176" i="2"/>
  <c r="A176" i="2"/>
  <c r="F175" i="2"/>
  <c r="E175" i="2"/>
  <c r="C175" i="2"/>
  <c r="B175" i="2"/>
  <c r="A175" i="2"/>
  <c r="F174" i="2"/>
  <c r="E174" i="2"/>
  <c r="C174" i="2"/>
  <c r="B174" i="2"/>
  <c r="A174" i="2"/>
  <c r="F173" i="2"/>
  <c r="E173" i="2"/>
  <c r="C173" i="2"/>
  <c r="B173" i="2"/>
  <c r="A173" i="2"/>
  <c r="F172" i="2"/>
  <c r="E172" i="2"/>
  <c r="C172" i="2"/>
  <c r="B172" i="2"/>
  <c r="A172" i="2"/>
  <c r="F171" i="2"/>
  <c r="E171" i="2"/>
  <c r="C171" i="2"/>
  <c r="B171" i="2"/>
  <c r="A171" i="2"/>
  <c r="F170" i="2"/>
  <c r="E170" i="2"/>
  <c r="C170" i="2"/>
  <c r="B170" i="2"/>
  <c r="A170" i="2"/>
  <c r="F169" i="2"/>
  <c r="E169" i="2"/>
  <c r="C169" i="2"/>
  <c r="B169" i="2"/>
  <c r="A169" i="2"/>
  <c r="F168" i="2"/>
  <c r="E168" i="2"/>
  <c r="C168" i="2"/>
  <c r="B168" i="2"/>
  <c r="A168" i="2"/>
  <c r="F167" i="2"/>
  <c r="E167" i="2"/>
  <c r="C167" i="2"/>
  <c r="B167" i="2"/>
  <c r="A167" i="2"/>
  <c r="F166" i="2"/>
  <c r="E166" i="2"/>
  <c r="C166" i="2"/>
  <c r="B166" i="2"/>
  <c r="A166" i="2"/>
  <c r="F165" i="2"/>
  <c r="E165" i="2"/>
  <c r="C165" i="2"/>
  <c r="B165" i="2"/>
  <c r="A165" i="2"/>
  <c r="F164" i="2"/>
  <c r="E164" i="2"/>
  <c r="C164" i="2"/>
  <c r="B164" i="2"/>
  <c r="A164" i="2"/>
  <c r="F163" i="2"/>
  <c r="E163" i="2"/>
  <c r="C163" i="2"/>
  <c r="B163" i="2"/>
  <c r="A163" i="2"/>
  <c r="F162" i="2"/>
  <c r="E162" i="2"/>
  <c r="C162" i="2"/>
  <c r="B162" i="2"/>
  <c r="A162" i="2"/>
  <c r="F161" i="2"/>
  <c r="E161" i="2"/>
  <c r="C161" i="2"/>
  <c r="B161" i="2"/>
  <c r="A161" i="2"/>
  <c r="F160" i="2"/>
  <c r="E160" i="2"/>
  <c r="C160" i="2"/>
  <c r="B160" i="2"/>
  <c r="A160" i="2"/>
  <c r="F159" i="2"/>
  <c r="E159" i="2"/>
  <c r="C159" i="2"/>
  <c r="B159" i="2"/>
  <c r="A159" i="2"/>
  <c r="F158" i="2"/>
  <c r="E158" i="2"/>
  <c r="C158" i="2"/>
  <c r="B158" i="2"/>
  <c r="A158" i="2"/>
  <c r="F157" i="2"/>
  <c r="E157" i="2"/>
  <c r="C157" i="2"/>
  <c r="B157" i="2"/>
  <c r="A157" i="2"/>
  <c r="F156" i="2"/>
  <c r="E156" i="2"/>
  <c r="C156" i="2"/>
  <c r="B156" i="2"/>
  <c r="A156" i="2"/>
  <c r="F155" i="2"/>
  <c r="E155" i="2"/>
  <c r="C155" i="2"/>
  <c r="B155" i="2"/>
  <c r="A155" i="2"/>
  <c r="F154" i="2"/>
  <c r="E154" i="2"/>
  <c r="C154" i="2"/>
  <c r="B154" i="2"/>
  <c r="A154" i="2"/>
  <c r="F153" i="2"/>
  <c r="E153" i="2"/>
  <c r="C153" i="2"/>
  <c r="B153" i="2"/>
  <c r="A153" i="2"/>
  <c r="F152" i="2"/>
  <c r="E152" i="2"/>
  <c r="C152" i="2"/>
  <c r="B152" i="2"/>
  <c r="A152" i="2"/>
  <c r="F151" i="2"/>
  <c r="E151" i="2"/>
  <c r="C151" i="2"/>
  <c r="B151" i="2"/>
  <c r="A151" i="2"/>
  <c r="F150" i="2"/>
  <c r="E150" i="2"/>
  <c r="C150" i="2"/>
  <c r="B150" i="2"/>
  <c r="A150" i="2"/>
  <c r="F149" i="2"/>
  <c r="E149" i="2"/>
  <c r="C149" i="2"/>
  <c r="B149" i="2"/>
  <c r="A149" i="2"/>
  <c r="F148" i="2"/>
  <c r="E148" i="2"/>
  <c r="C148" i="2"/>
  <c r="B148" i="2"/>
  <c r="A148" i="2"/>
  <c r="F147" i="2"/>
  <c r="E147" i="2"/>
  <c r="C147" i="2"/>
  <c r="B147" i="2"/>
  <c r="A147" i="2"/>
  <c r="F146" i="2"/>
  <c r="E146" i="2"/>
  <c r="C146" i="2"/>
  <c r="B146" i="2"/>
  <c r="A146" i="2"/>
  <c r="F145" i="2"/>
  <c r="E145" i="2"/>
  <c r="C145" i="2"/>
  <c r="B145" i="2"/>
  <c r="A145" i="2"/>
  <c r="F144" i="2"/>
  <c r="E144" i="2"/>
  <c r="C144" i="2"/>
  <c r="B144" i="2"/>
  <c r="A144" i="2"/>
  <c r="F143" i="2"/>
  <c r="E143" i="2"/>
  <c r="C143" i="2"/>
  <c r="B143" i="2"/>
  <c r="A143" i="2"/>
  <c r="F142" i="2"/>
  <c r="E142" i="2"/>
  <c r="C142" i="2"/>
  <c r="B142" i="2"/>
  <c r="A142" i="2"/>
  <c r="F141" i="2"/>
  <c r="E141" i="2"/>
  <c r="C141" i="2"/>
  <c r="B141" i="2"/>
  <c r="A141" i="2"/>
  <c r="F140" i="2"/>
  <c r="E140" i="2"/>
  <c r="C140" i="2"/>
  <c r="B140" i="2"/>
  <c r="A140" i="2"/>
  <c r="F139" i="2"/>
  <c r="E139" i="2"/>
  <c r="C139" i="2"/>
  <c r="B139" i="2"/>
  <c r="A139" i="2"/>
  <c r="F138" i="2"/>
  <c r="E138" i="2"/>
  <c r="C138" i="2"/>
  <c r="B138" i="2"/>
  <c r="A138" i="2"/>
  <c r="F137" i="2"/>
  <c r="E137" i="2"/>
  <c r="C137" i="2"/>
  <c r="B137" i="2"/>
  <c r="A137" i="2"/>
  <c r="F136" i="2"/>
  <c r="E136" i="2"/>
  <c r="C136" i="2"/>
  <c r="B136" i="2"/>
  <c r="A136" i="2"/>
  <c r="F135" i="2"/>
  <c r="E135" i="2"/>
  <c r="C135" i="2"/>
  <c r="B135" i="2"/>
  <c r="A135" i="2"/>
  <c r="F134" i="2"/>
  <c r="E134" i="2"/>
  <c r="C134" i="2"/>
  <c r="B134" i="2"/>
  <c r="A134" i="2"/>
  <c r="F133" i="2"/>
  <c r="E133" i="2"/>
  <c r="C133" i="2"/>
  <c r="B133" i="2"/>
  <c r="A133" i="2"/>
  <c r="F132" i="2"/>
  <c r="E132" i="2"/>
  <c r="C132" i="2"/>
  <c r="B132" i="2"/>
  <c r="A132" i="2"/>
  <c r="F131" i="2"/>
  <c r="E131" i="2"/>
  <c r="C131" i="2"/>
  <c r="B131" i="2"/>
  <c r="A131" i="2"/>
  <c r="F130" i="2"/>
  <c r="E130" i="2"/>
  <c r="C130" i="2"/>
  <c r="B130" i="2"/>
  <c r="A130" i="2"/>
  <c r="F129" i="2"/>
  <c r="E129" i="2"/>
  <c r="C129" i="2"/>
  <c r="B129" i="2"/>
  <c r="A129" i="2"/>
  <c r="F128" i="2"/>
  <c r="E128" i="2"/>
  <c r="C128" i="2"/>
  <c r="B128" i="2"/>
  <c r="A128" i="2"/>
  <c r="F127" i="2"/>
  <c r="E127" i="2"/>
  <c r="C127" i="2"/>
  <c r="B127" i="2"/>
  <c r="A127" i="2"/>
  <c r="F126" i="2"/>
  <c r="E126" i="2"/>
  <c r="C126" i="2"/>
  <c r="B126" i="2"/>
  <c r="A126" i="2"/>
  <c r="F125" i="2"/>
  <c r="E125" i="2"/>
  <c r="C125" i="2"/>
  <c r="B125" i="2"/>
  <c r="A125" i="2"/>
  <c r="F124" i="2"/>
  <c r="E124" i="2"/>
  <c r="C124" i="2"/>
  <c r="B124" i="2"/>
  <c r="A124" i="2"/>
  <c r="F123" i="2"/>
  <c r="E123" i="2"/>
  <c r="C123" i="2"/>
  <c r="B123" i="2"/>
  <c r="A123" i="2"/>
  <c r="F122" i="2"/>
  <c r="E122" i="2"/>
  <c r="C122" i="2"/>
  <c r="B122" i="2"/>
  <c r="A122" i="2"/>
  <c r="F121" i="2"/>
  <c r="E121" i="2"/>
  <c r="C121" i="2"/>
  <c r="B121" i="2"/>
  <c r="A121" i="2"/>
  <c r="F120" i="2"/>
  <c r="E120" i="2"/>
  <c r="C120" i="2"/>
  <c r="B120" i="2"/>
  <c r="A120" i="2"/>
  <c r="F119" i="2"/>
  <c r="E119" i="2"/>
  <c r="C119" i="2"/>
  <c r="B119" i="2"/>
  <c r="A119" i="2"/>
  <c r="F118" i="2"/>
  <c r="E118" i="2"/>
  <c r="C118" i="2"/>
  <c r="B118" i="2"/>
  <c r="A118" i="2"/>
  <c r="F117" i="2"/>
  <c r="E117" i="2"/>
  <c r="C117" i="2"/>
  <c r="B117" i="2"/>
  <c r="A117" i="2"/>
  <c r="F116" i="2"/>
  <c r="E116" i="2"/>
  <c r="C116" i="2"/>
  <c r="B116" i="2"/>
  <c r="A116" i="2"/>
  <c r="F115" i="2"/>
  <c r="E115" i="2"/>
  <c r="C115" i="2"/>
  <c r="B115" i="2"/>
  <c r="A115" i="2"/>
  <c r="F114" i="2"/>
  <c r="E114" i="2"/>
  <c r="C114" i="2"/>
  <c r="B114" i="2"/>
  <c r="A114" i="2"/>
  <c r="F113" i="2"/>
  <c r="E113" i="2"/>
  <c r="C113" i="2"/>
  <c r="B113" i="2"/>
  <c r="A113" i="2"/>
  <c r="F112" i="2"/>
  <c r="E112" i="2"/>
  <c r="C112" i="2"/>
  <c r="B112" i="2"/>
  <c r="A112" i="2"/>
  <c r="F111" i="2"/>
  <c r="E111" i="2"/>
  <c r="C111" i="2"/>
  <c r="B111" i="2"/>
  <c r="A111" i="2"/>
  <c r="F110" i="2"/>
  <c r="E110" i="2"/>
  <c r="C110" i="2"/>
  <c r="B110" i="2"/>
  <c r="A110" i="2"/>
  <c r="F109" i="2"/>
  <c r="E109" i="2"/>
  <c r="C109" i="2"/>
  <c r="B109" i="2"/>
  <c r="A109" i="2"/>
  <c r="F108" i="2"/>
  <c r="E108" i="2"/>
  <c r="C108" i="2"/>
  <c r="B108" i="2"/>
  <c r="A108" i="2"/>
  <c r="F107" i="2"/>
  <c r="E107" i="2"/>
  <c r="C107" i="2"/>
  <c r="B107" i="2"/>
  <c r="A107" i="2"/>
  <c r="F106" i="2"/>
  <c r="E106" i="2"/>
  <c r="C106" i="2"/>
  <c r="B106" i="2"/>
  <c r="A106" i="2"/>
  <c r="F105" i="2"/>
  <c r="E105" i="2"/>
  <c r="C105" i="2"/>
  <c r="B105" i="2"/>
  <c r="A105" i="2"/>
  <c r="F104" i="2"/>
  <c r="E104" i="2"/>
  <c r="C104" i="2"/>
  <c r="B104" i="2"/>
  <c r="A104" i="2"/>
  <c r="F103" i="2"/>
  <c r="E103" i="2"/>
  <c r="C103" i="2"/>
  <c r="B103" i="2"/>
  <c r="A103" i="2"/>
  <c r="F102" i="2"/>
  <c r="E102" i="2"/>
  <c r="C102" i="2"/>
  <c r="B102" i="2"/>
  <c r="A102" i="2"/>
  <c r="F101" i="2"/>
  <c r="E101" i="2"/>
  <c r="C101" i="2"/>
  <c r="B101" i="2"/>
  <c r="A101" i="2"/>
  <c r="F100" i="2"/>
  <c r="E100" i="2"/>
  <c r="C100" i="2"/>
  <c r="B100" i="2"/>
  <c r="A100" i="2"/>
  <c r="F99" i="2"/>
  <c r="E99" i="2"/>
  <c r="C99" i="2"/>
  <c r="B99" i="2"/>
  <c r="A99" i="2"/>
  <c r="F98" i="2"/>
  <c r="E98" i="2"/>
  <c r="C98" i="2"/>
  <c r="B98" i="2"/>
  <c r="A98" i="2"/>
  <c r="F97" i="2"/>
  <c r="E97" i="2"/>
  <c r="C97" i="2"/>
  <c r="B97" i="2"/>
  <c r="A97" i="2"/>
  <c r="F96" i="2"/>
  <c r="E96" i="2"/>
  <c r="C96" i="2"/>
  <c r="B96" i="2"/>
  <c r="A96" i="2"/>
  <c r="F95" i="2"/>
  <c r="E95" i="2"/>
  <c r="C95" i="2"/>
  <c r="B95" i="2"/>
  <c r="A95" i="2"/>
  <c r="F94" i="2"/>
  <c r="E94" i="2"/>
  <c r="C94" i="2"/>
  <c r="B94" i="2"/>
  <c r="A94" i="2"/>
  <c r="F93" i="2"/>
  <c r="E93" i="2"/>
  <c r="C93" i="2"/>
  <c r="B93" i="2"/>
  <c r="A93" i="2"/>
  <c r="F92" i="2"/>
  <c r="E92" i="2"/>
  <c r="C92" i="2"/>
  <c r="B92" i="2"/>
  <c r="A92" i="2"/>
  <c r="F91" i="2"/>
  <c r="E91" i="2"/>
  <c r="C91" i="2"/>
  <c r="B91" i="2"/>
  <c r="A91" i="2"/>
  <c r="F90" i="2"/>
  <c r="E90" i="2"/>
  <c r="C90" i="2"/>
  <c r="B90" i="2"/>
  <c r="A90" i="2"/>
  <c r="F89" i="2"/>
  <c r="E89" i="2"/>
  <c r="C89" i="2"/>
  <c r="B89" i="2"/>
  <c r="A89" i="2"/>
  <c r="F88" i="2"/>
  <c r="E88" i="2"/>
  <c r="C88" i="2"/>
  <c r="B88" i="2"/>
  <c r="A88" i="2"/>
  <c r="F87" i="2"/>
  <c r="E87" i="2"/>
  <c r="C87" i="2"/>
  <c r="B87" i="2"/>
  <c r="A87" i="2"/>
  <c r="F86" i="2"/>
  <c r="E86" i="2"/>
  <c r="C86" i="2"/>
  <c r="B86" i="2"/>
  <c r="A86" i="2"/>
  <c r="F85" i="2"/>
  <c r="E85" i="2"/>
  <c r="C85" i="2"/>
  <c r="B85" i="2"/>
  <c r="A85" i="2"/>
  <c r="F84" i="2"/>
  <c r="E84" i="2"/>
  <c r="C84" i="2"/>
  <c r="B84" i="2"/>
  <c r="A84" i="2"/>
  <c r="F83" i="2"/>
  <c r="E83" i="2"/>
  <c r="C83" i="2"/>
  <c r="B83" i="2"/>
  <c r="A83" i="2"/>
  <c r="F82" i="2"/>
  <c r="E82" i="2"/>
  <c r="C82" i="2"/>
  <c r="B82" i="2"/>
  <c r="A82" i="2"/>
  <c r="F81" i="2"/>
  <c r="E81" i="2"/>
  <c r="C81" i="2"/>
  <c r="B81" i="2"/>
  <c r="A81" i="2"/>
  <c r="F80" i="2"/>
  <c r="E80" i="2"/>
  <c r="C80" i="2"/>
  <c r="B80" i="2"/>
  <c r="A80" i="2"/>
  <c r="F79" i="2"/>
  <c r="E79" i="2"/>
  <c r="C79" i="2"/>
  <c r="B79" i="2"/>
  <c r="A79" i="2"/>
  <c r="F78" i="2"/>
  <c r="E78" i="2"/>
  <c r="C78" i="2"/>
  <c r="B78" i="2"/>
  <c r="A78" i="2"/>
  <c r="F77" i="2"/>
  <c r="E77" i="2"/>
  <c r="C77" i="2"/>
  <c r="B77" i="2"/>
  <c r="A77" i="2"/>
  <c r="F76" i="2"/>
  <c r="E76" i="2"/>
  <c r="C76" i="2"/>
  <c r="B76" i="2"/>
  <c r="A76" i="2"/>
  <c r="F75" i="2"/>
  <c r="E75" i="2"/>
  <c r="C75" i="2"/>
  <c r="B75" i="2"/>
  <c r="A75" i="2"/>
  <c r="F74" i="2"/>
  <c r="E74" i="2"/>
  <c r="C74" i="2"/>
  <c r="B74" i="2"/>
  <c r="A74" i="2"/>
  <c r="F73" i="2"/>
  <c r="E73" i="2"/>
  <c r="C73" i="2"/>
  <c r="B73" i="2"/>
  <c r="A73" i="2"/>
  <c r="F72" i="2"/>
  <c r="E72" i="2"/>
  <c r="C72" i="2"/>
  <c r="B72" i="2"/>
  <c r="A72" i="2"/>
  <c r="F71" i="2"/>
  <c r="E71" i="2"/>
  <c r="C71" i="2"/>
  <c r="B71" i="2"/>
  <c r="A71" i="2"/>
  <c r="F70" i="2"/>
  <c r="E70" i="2"/>
  <c r="C70" i="2"/>
  <c r="B70" i="2"/>
  <c r="A70" i="2"/>
  <c r="F69" i="2"/>
  <c r="E69" i="2"/>
  <c r="C69" i="2"/>
  <c r="B69" i="2"/>
  <c r="A69" i="2"/>
  <c r="F68" i="2"/>
  <c r="E68" i="2"/>
  <c r="C68" i="2"/>
  <c r="B68" i="2"/>
  <c r="A68" i="2"/>
  <c r="F67" i="2"/>
  <c r="E67" i="2"/>
  <c r="C67" i="2"/>
  <c r="B67" i="2"/>
  <c r="A67" i="2"/>
  <c r="F66" i="2"/>
  <c r="E66" i="2"/>
  <c r="C66" i="2"/>
  <c r="B66" i="2"/>
  <c r="A66" i="2"/>
  <c r="F65" i="2"/>
  <c r="E65" i="2"/>
  <c r="C65" i="2"/>
  <c r="B65" i="2"/>
  <c r="A65" i="2"/>
  <c r="F64" i="2"/>
  <c r="E64" i="2"/>
  <c r="C64" i="2"/>
  <c r="B64" i="2"/>
  <c r="A64" i="2"/>
  <c r="F63" i="2"/>
  <c r="E63" i="2"/>
  <c r="C63" i="2"/>
  <c r="B63" i="2"/>
  <c r="A63" i="2"/>
  <c r="F62" i="2"/>
  <c r="E62" i="2"/>
  <c r="C62" i="2"/>
  <c r="B62" i="2"/>
  <c r="A62" i="2"/>
  <c r="F61" i="2"/>
  <c r="E61" i="2"/>
  <c r="C61" i="2"/>
  <c r="B61" i="2"/>
  <c r="A61" i="2"/>
  <c r="F60" i="2"/>
  <c r="E60" i="2"/>
  <c r="C60" i="2"/>
  <c r="B60" i="2"/>
  <c r="A60" i="2"/>
  <c r="F59" i="2"/>
  <c r="E59" i="2"/>
  <c r="C59" i="2"/>
  <c r="B59" i="2"/>
  <c r="A59" i="2"/>
  <c r="F58" i="2"/>
  <c r="E58" i="2"/>
  <c r="C58" i="2"/>
  <c r="B58" i="2"/>
  <c r="A58" i="2"/>
  <c r="F57" i="2"/>
  <c r="E57" i="2"/>
  <c r="C57" i="2"/>
  <c r="B57" i="2"/>
  <c r="A57" i="2"/>
  <c r="F56" i="2"/>
  <c r="E56" i="2"/>
  <c r="C56" i="2"/>
  <c r="B56" i="2"/>
  <c r="A56" i="2"/>
  <c r="F55" i="2"/>
  <c r="E55" i="2"/>
  <c r="C55" i="2"/>
  <c r="B55" i="2"/>
  <c r="A55" i="2"/>
  <c r="F54" i="2"/>
  <c r="E54" i="2"/>
  <c r="C54" i="2"/>
  <c r="B54" i="2"/>
  <c r="A54" i="2"/>
  <c r="F53" i="2"/>
  <c r="E53" i="2"/>
  <c r="C53" i="2"/>
  <c r="B53" i="2"/>
  <c r="A53" i="2"/>
  <c r="F52" i="2"/>
  <c r="E52" i="2"/>
  <c r="C52" i="2"/>
  <c r="B52" i="2"/>
  <c r="A52" i="2"/>
  <c r="F51" i="2"/>
  <c r="E51" i="2"/>
  <c r="C51" i="2"/>
  <c r="B51" i="2"/>
  <c r="A51" i="2"/>
  <c r="F50" i="2"/>
  <c r="E50" i="2"/>
  <c r="C50" i="2"/>
  <c r="B50" i="2"/>
  <c r="A50" i="2"/>
  <c r="F49" i="2"/>
  <c r="E49" i="2"/>
  <c r="C49" i="2"/>
  <c r="B49" i="2"/>
  <c r="A49" i="2"/>
  <c r="F48" i="2"/>
  <c r="E48" i="2"/>
  <c r="C48" i="2"/>
  <c r="B48" i="2"/>
  <c r="A48" i="2"/>
  <c r="F47" i="2"/>
  <c r="E47" i="2"/>
  <c r="C47" i="2"/>
  <c r="B47" i="2"/>
  <c r="A47" i="2"/>
  <c r="F46" i="2"/>
  <c r="E46" i="2"/>
  <c r="C46" i="2"/>
  <c r="B46" i="2"/>
  <c r="A46" i="2"/>
  <c r="F45" i="2"/>
  <c r="E45" i="2"/>
  <c r="C45" i="2"/>
  <c r="B45" i="2"/>
  <c r="A45" i="2"/>
  <c r="F44" i="2"/>
  <c r="E44" i="2"/>
  <c r="C44" i="2"/>
  <c r="B44" i="2"/>
  <c r="A44" i="2"/>
  <c r="F43" i="2"/>
  <c r="E43" i="2"/>
  <c r="C43" i="2"/>
  <c r="B43" i="2"/>
  <c r="A43" i="2"/>
  <c r="F42" i="2"/>
  <c r="E42" i="2"/>
  <c r="C42" i="2"/>
  <c r="B42" i="2"/>
  <c r="A42" i="2"/>
  <c r="F41" i="2"/>
  <c r="E41" i="2"/>
  <c r="C41" i="2"/>
  <c r="B41" i="2"/>
  <c r="A41" i="2"/>
  <c r="F40" i="2"/>
  <c r="E40" i="2"/>
  <c r="C40" i="2"/>
  <c r="B40" i="2"/>
  <c r="A40" i="2"/>
  <c r="F39" i="2"/>
  <c r="E39" i="2"/>
  <c r="C39" i="2"/>
  <c r="B39" i="2"/>
  <c r="A39" i="2"/>
  <c r="F38" i="2"/>
  <c r="E38" i="2"/>
  <c r="C38" i="2"/>
  <c r="B38" i="2"/>
  <c r="A38" i="2"/>
  <c r="F37" i="2"/>
  <c r="E37" i="2"/>
  <c r="C37" i="2"/>
  <c r="B37" i="2"/>
  <c r="A37" i="2"/>
  <c r="F36" i="2"/>
  <c r="E36" i="2"/>
  <c r="C36" i="2"/>
  <c r="B36" i="2"/>
  <c r="A36" i="2"/>
  <c r="F35" i="2"/>
  <c r="E35" i="2"/>
  <c r="C35" i="2"/>
  <c r="B35" i="2"/>
  <c r="A35" i="2"/>
  <c r="F34" i="2"/>
  <c r="E34" i="2"/>
  <c r="C34" i="2"/>
  <c r="B34" i="2"/>
  <c r="A34" i="2"/>
  <c r="F33" i="2"/>
  <c r="E33" i="2"/>
  <c r="C33" i="2"/>
  <c r="B33" i="2"/>
  <c r="A33" i="2"/>
  <c r="F32" i="2"/>
  <c r="E32" i="2"/>
  <c r="C32" i="2"/>
  <c r="B32" i="2"/>
  <c r="A32" i="2"/>
  <c r="F31" i="2"/>
  <c r="E31" i="2"/>
  <c r="C31" i="2"/>
  <c r="B31" i="2"/>
  <c r="A31" i="2"/>
  <c r="F30" i="2"/>
  <c r="E30" i="2"/>
  <c r="C30" i="2"/>
  <c r="B30" i="2"/>
  <c r="A30" i="2"/>
  <c r="F29" i="2"/>
  <c r="E29" i="2"/>
  <c r="C29" i="2"/>
  <c r="B29" i="2"/>
  <c r="A29" i="2"/>
  <c r="F28" i="2"/>
  <c r="E28" i="2"/>
  <c r="C28" i="2"/>
  <c r="B28" i="2"/>
  <c r="A28" i="2"/>
  <c r="F27" i="2"/>
  <c r="E27" i="2"/>
  <c r="C27" i="2"/>
  <c r="B27" i="2"/>
  <c r="A27" i="2"/>
  <c r="F26" i="2"/>
  <c r="E26" i="2"/>
  <c r="C26" i="2"/>
  <c r="B26" i="2"/>
  <c r="A26" i="2"/>
  <c r="F25" i="2"/>
  <c r="E25" i="2"/>
  <c r="C25" i="2"/>
  <c r="B25" i="2"/>
  <c r="A25" i="2"/>
  <c r="F24" i="2"/>
  <c r="E24" i="2"/>
  <c r="C24" i="2"/>
  <c r="B24" i="2"/>
  <c r="A24" i="2"/>
  <c r="F23" i="2"/>
  <c r="E23" i="2"/>
  <c r="C23" i="2"/>
  <c r="B23" i="2"/>
  <c r="A23" i="2"/>
  <c r="F22" i="2"/>
  <c r="E22" i="2"/>
  <c r="C22" i="2"/>
  <c r="B22" i="2"/>
  <c r="A22" i="2"/>
  <c r="F21" i="2"/>
  <c r="E21" i="2"/>
  <c r="C21" i="2"/>
  <c r="B21" i="2"/>
  <c r="A21" i="2"/>
  <c r="F20" i="2"/>
  <c r="E20" i="2"/>
  <c r="C20" i="2"/>
  <c r="B20" i="2"/>
  <c r="A20" i="2"/>
  <c r="F19" i="2"/>
  <c r="E19" i="2"/>
  <c r="C19" i="2"/>
  <c r="B19" i="2"/>
  <c r="A19" i="2"/>
  <c r="F18" i="2"/>
  <c r="E18" i="2"/>
  <c r="C18" i="2"/>
  <c r="B18" i="2"/>
  <c r="A18" i="2"/>
  <c r="F17" i="2"/>
  <c r="E17" i="2"/>
  <c r="C17" i="2"/>
  <c r="B17" i="2"/>
  <c r="A17" i="2"/>
  <c r="F16" i="2"/>
  <c r="E16" i="2"/>
  <c r="C16" i="2"/>
  <c r="B16" i="2"/>
  <c r="A16" i="2"/>
  <c r="F15" i="2"/>
  <c r="E15" i="2"/>
  <c r="C15" i="2"/>
  <c r="B15" i="2"/>
  <c r="A15" i="2"/>
  <c r="F14" i="2"/>
  <c r="E14" i="2"/>
  <c r="C14" i="2"/>
  <c r="B14" i="2"/>
  <c r="A14" i="2"/>
  <c r="F13" i="2"/>
  <c r="E13" i="2"/>
  <c r="C13" i="2"/>
  <c r="B13" i="2"/>
  <c r="A13" i="2"/>
  <c r="F12" i="2"/>
  <c r="E12" i="2"/>
  <c r="C12" i="2"/>
  <c r="B12" i="2"/>
  <c r="A12" i="2"/>
  <c r="F11" i="2"/>
  <c r="E11" i="2"/>
  <c r="C11" i="2"/>
  <c r="B11" i="2"/>
  <c r="A11" i="2"/>
  <c r="F10" i="2"/>
  <c r="E10" i="2"/>
  <c r="C10" i="2"/>
  <c r="B10" i="2"/>
  <c r="A10" i="2"/>
  <c r="F9" i="2"/>
  <c r="E9" i="2"/>
  <c r="C9" i="2"/>
  <c r="B9" i="2"/>
  <c r="A9" i="2"/>
  <c r="F8" i="2"/>
  <c r="E8" i="2"/>
  <c r="C8" i="2"/>
  <c r="B8" i="2"/>
  <c r="A8" i="2"/>
  <c r="F7" i="2"/>
  <c r="E7" i="2"/>
  <c r="C7" i="2"/>
  <c r="B7" i="2"/>
  <c r="A7" i="2"/>
  <c r="F6" i="2"/>
  <c r="E6" i="2"/>
  <c r="C6" i="2"/>
  <c r="B6" i="2"/>
  <c r="A6" i="2"/>
  <c r="F5" i="2"/>
  <c r="E5" i="2"/>
  <c r="C5" i="2"/>
  <c r="B5" i="2"/>
  <c r="A5" i="2"/>
  <c r="F4" i="2"/>
  <c r="E4" i="2"/>
  <c r="C4" i="2"/>
  <c r="B4" i="2"/>
  <c r="A4" i="2"/>
  <c r="F3" i="2"/>
  <c r="E3" i="2"/>
  <c r="C3" i="2"/>
  <c r="B3" i="2"/>
  <c r="A3" i="2"/>
  <c r="F2" i="2"/>
  <c r="E2" i="2"/>
  <c r="C2" i="2"/>
  <c r="B2" i="2"/>
  <c r="A2" i="2"/>
  <c r="AS301" i="1"/>
  <c r="G301" i="2" s="1"/>
  <c r="AP301" i="1"/>
  <c r="F301" i="2" s="1"/>
  <c r="AO301" i="1"/>
  <c r="E301" i="2" s="1"/>
  <c r="AN301" i="1"/>
  <c r="F301" i="1"/>
  <c r="D301" i="2" s="1"/>
  <c r="AS300" i="1"/>
  <c r="G300" i="2" s="1"/>
  <c r="AP300" i="1"/>
  <c r="F300" i="2" s="1"/>
  <c r="AO300" i="1"/>
  <c r="E300" i="2" s="1"/>
  <c r="AN300" i="1"/>
  <c r="F300" i="1"/>
  <c r="D300" i="2" s="1"/>
  <c r="AS299" i="1"/>
  <c r="G299" i="2" s="1"/>
  <c r="AP299" i="1"/>
  <c r="F299" i="2" s="1"/>
  <c r="AO299" i="1"/>
  <c r="E299" i="2" s="1"/>
  <c r="AN299" i="1"/>
  <c r="F299" i="1"/>
  <c r="D299" i="2" s="1"/>
  <c r="AS298" i="1"/>
  <c r="G298" i="2" s="1"/>
  <c r="AP298" i="1"/>
  <c r="F298" i="2" s="1"/>
  <c r="AO298" i="1"/>
  <c r="E298" i="2" s="1"/>
  <c r="AN298" i="1"/>
  <c r="F298" i="1"/>
  <c r="D298" i="2" s="1"/>
  <c r="AS297" i="1"/>
  <c r="G297" i="2" s="1"/>
  <c r="AP297" i="1"/>
  <c r="F297" i="2" s="1"/>
  <c r="AO297" i="1"/>
  <c r="E297" i="2" s="1"/>
  <c r="AN297" i="1"/>
  <c r="F297" i="1"/>
  <c r="D297" i="2" s="1"/>
  <c r="AS296" i="1"/>
  <c r="G296" i="2" s="1"/>
  <c r="AP296" i="1"/>
  <c r="F296" i="2" s="1"/>
  <c r="AO296" i="1"/>
  <c r="E296" i="2" s="1"/>
  <c r="AN296" i="1"/>
  <c r="F296" i="1"/>
  <c r="D296" i="2" s="1"/>
  <c r="AS295" i="1"/>
  <c r="G295" i="2" s="1"/>
  <c r="AP295" i="1"/>
  <c r="F295" i="2" s="1"/>
  <c r="AO295" i="1"/>
  <c r="E295" i="2" s="1"/>
  <c r="AN295" i="1"/>
  <c r="F295" i="1"/>
  <c r="D295" i="2" s="1"/>
  <c r="AS294" i="1"/>
  <c r="G294" i="2" s="1"/>
  <c r="AP294" i="1"/>
  <c r="F294" i="2" s="1"/>
  <c r="AO294" i="1"/>
  <c r="E294" i="2" s="1"/>
  <c r="AN294" i="1"/>
  <c r="F294" i="1"/>
  <c r="D294" i="2" s="1"/>
  <c r="AS293" i="1"/>
  <c r="G293" i="2" s="1"/>
  <c r="AP293" i="1"/>
  <c r="F293" i="2" s="1"/>
  <c r="AO293" i="1"/>
  <c r="E293" i="2" s="1"/>
  <c r="AN293" i="1"/>
  <c r="F293" i="1"/>
  <c r="D293" i="2" s="1"/>
  <c r="AS292" i="1"/>
  <c r="G292" i="2" s="1"/>
  <c r="AP292" i="1"/>
  <c r="F292" i="2" s="1"/>
  <c r="AO292" i="1"/>
  <c r="E292" i="2" s="1"/>
  <c r="AN292" i="1"/>
  <c r="F292" i="1"/>
  <c r="D292" i="2" s="1"/>
  <c r="AS291" i="1"/>
  <c r="G291" i="2" s="1"/>
  <c r="AP291" i="1"/>
  <c r="F291" i="2" s="1"/>
  <c r="AO291" i="1"/>
  <c r="E291" i="2" s="1"/>
  <c r="AN291" i="1"/>
  <c r="F291" i="1"/>
  <c r="D291" i="2" s="1"/>
  <c r="AS290" i="1"/>
  <c r="G290" i="2" s="1"/>
  <c r="AP290" i="1"/>
  <c r="F290" i="2" s="1"/>
  <c r="AO290" i="1"/>
  <c r="E290" i="2" s="1"/>
  <c r="AN290" i="1"/>
  <c r="F290" i="1"/>
  <c r="D290" i="2" s="1"/>
  <c r="AS289" i="1"/>
  <c r="G289" i="2" s="1"/>
  <c r="AP289" i="1"/>
  <c r="F289" i="2" s="1"/>
  <c r="AO289" i="1"/>
  <c r="E289" i="2" s="1"/>
  <c r="AN289" i="1"/>
  <c r="F289" i="1"/>
  <c r="D289" i="2" s="1"/>
  <c r="AS288" i="1"/>
  <c r="G288" i="2" s="1"/>
  <c r="AP288" i="1"/>
  <c r="F288" i="2" s="1"/>
  <c r="AO288" i="1"/>
  <c r="E288" i="2" s="1"/>
  <c r="AN288" i="1"/>
  <c r="F288" i="1"/>
  <c r="D288" i="2" s="1"/>
  <c r="AS287" i="1"/>
  <c r="G287" i="2" s="1"/>
  <c r="AP287" i="1"/>
  <c r="F287" i="2" s="1"/>
  <c r="AO287" i="1"/>
  <c r="E287" i="2" s="1"/>
  <c r="AN287" i="1"/>
  <c r="F287" i="1"/>
  <c r="D287" i="2" s="1"/>
  <c r="AS286" i="1"/>
  <c r="G286" i="2" s="1"/>
  <c r="AP286" i="1"/>
  <c r="F286" i="2" s="1"/>
  <c r="AO286" i="1"/>
  <c r="E286" i="2" s="1"/>
  <c r="AN286" i="1"/>
  <c r="F286" i="1"/>
  <c r="D286" i="2" s="1"/>
  <c r="AS285" i="1"/>
  <c r="G285" i="2" s="1"/>
  <c r="AP285" i="1"/>
  <c r="F285" i="2" s="1"/>
  <c r="AO285" i="1"/>
  <c r="E285" i="2" s="1"/>
  <c r="AN285" i="1"/>
  <c r="F285" i="1"/>
  <c r="D285" i="2" s="1"/>
  <c r="AS284" i="1"/>
  <c r="G284" i="2" s="1"/>
  <c r="AP284" i="1"/>
  <c r="F284" i="2" s="1"/>
  <c r="AO284" i="1"/>
  <c r="E284" i="2" s="1"/>
  <c r="AN284" i="1"/>
  <c r="F284" i="1"/>
  <c r="D284" i="2" s="1"/>
  <c r="AS283" i="1"/>
  <c r="G283" i="2" s="1"/>
  <c r="AP283" i="1"/>
  <c r="F283" i="2" s="1"/>
  <c r="AO283" i="1"/>
  <c r="E283" i="2" s="1"/>
  <c r="AN283" i="1"/>
  <c r="F283" i="1"/>
  <c r="D283" i="2" s="1"/>
  <c r="AS282" i="1"/>
  <c r="G282" i="2" s="1"/>
  <c r="AP282" i="1"/>
  <c r="F282" i="2" s="1"/>
  <c r="AO282" i="1"/>
  <c r="E282" i="2" s="1"/>
  <c r="AN282" i="1"/>
  <c r="F282" i="1"/>
  <c r="D282" i="2" s="1"/>
  <c r="AS281" i="1"/>
  <c r="G281" i="2" s="1"/>
  <c r="AP281" i="1"/>
  <c r="F281" i="2" s="1"/>
  <c r="AO281" i="1"/>
  <c r="E281" i="2" s="1"/>
  <c r="AN281" i="1"/>
  <c r="F281" i="1"/>
  <c r="D281" i="2" s="1"/>
  <c r="AS280" i="1"/>
  <c r="G280" i="2" s="1"/>
  <c r="AP280" i="1"/>
  <c r="F280" i="2" s="1"/>
  <c r="AO280" i="1"/>
  <c r="E280" i="2" s="1"/>
  <c r="AN280" i="1"/>
  <c r="F280" i="1"/>
  <c r="D280" i="2" s="1"/>
  <c r="AS279" i="1"/>
  <c r="G279" i="2" s="1"/>
  <c r="AP279" i="1"/>
  <c r="F279" i="2" s="1"/>
  <c r="AO279" i="1"/>
  <c r="E279" i="2" s="1"/>
  <c r="AN279" i="1"/>
  <c r="F279" i="1"/>
  <c r="D279" i="2" s="1"/>
  <c r="AS278" i="1"/>
  <c r="G278" i="2" s="1"/>
  <c r="AP278" i="1"/>
  <c r="F278" i="2" s="1"/>
  <c r="AO278" i="1"/>
  <c r="E278" i="2" s="1"/>
  <c r="AN278" i="1"/>
  <c r="F278" i="1"/>
  <c r="D278" i="2" s="1"/>
  <c r="AS277" i="1"/>
  <c r="G277" i="2" s="1"/>
  <c r="AP277" i="1"/>
  <c r="F277" i="2" s="1"/>
  <c r="AO277" i="1"/>
  <c r="E277" i="2" s="1"/>
  <c r="AN277" i="1"/>
  <c r="F277" i="1"/>
  <c r="D277" i="2" s="1"/>
  <c r="AS276" i="1"/>
  <c r="G276" i="2" s="1"/>
  <c r="AP276" i="1"/>
  <c r="F276" i="2" s="1"/>
  <c r="AO276" i="1"/>
  <c r="E276" i="2" s="1"/>
  <c r="AN276" i="1"/>
  <c r="F276" i="1"/>
  <c r="D276" i="2" s="1"/>
  <c r="AS275" i="1"/>
  <c r="G275" i="2" s="1"/>
  <c r="AP275" i="1"/>
  <c r="F275" i="2" s="1"/>
  <c r="AO275" i="1"/>
  <c r="E275" i="2" s="1"/>
  <c r="AN275" i="1"/>
  <c r="F275" i="1"/>
  <c r="D275" i="2" s="1"/>
  <c r="AS274" i="1"/>
  <c r="G274" i="2" s="1"/>
  <c r="AP274" i="1"/>
  <c r="F274" i="2" s="1"/>
  <c r="AO274" i="1"/>
  <c r="E274" i="2" s="1"/>
  <c r="AN274" i="1"/>
  <c r="F274" i="1"/>
  <c r="D274" i="2" s="1"/>
  <c r="AS273" i="1"/>
  <c r="G273" i="2" s="1"/>
  <c r="AP273" i="1"/>
  <c r="F273" i="2" s="1"/>
  <c r="AO273" i="1"/>
  <c r="E273" i="2" s="1"/>
  <c r="AN273" i="1"/>
  <c r="F273" i="1"/>
  <c r="D273" i="2" s="1"/>
  <c r="AS272" i="1"/>
  <c r="G272" i="2" s="1"/>
  <c r="AP272" i="1"/>
  <c r="F272" i="2" s="1"/>
  <c r="AO272" i="1"/>
  <c r="E272" i="2" s="1"/>
  <c r="AN272" i="1"/>
  <c r="F272" i="1"/>
  <c r="D272" i="2" s="1"/>
  <c r="AS271" i="1"/>
  <c r="G271" i="2" s="1"/>
  <c r="AP271" i="1"/>
  <c r="F271" i="2" s="1"/>
  <c r="AO271" i="1"/>
  <c r="E271" i="2" s="1"/>
  <c r="AN271" i="1"/>
  <c r="F271" i="1"/>
  <c r="D271" i="2" s="1"/>
  <c r="AS270" i="1"/>
  <c r="G270" i="2" s="1"/>
  <c r="AP270" i="1"/>
  <c r="F270" i="2" s="1"/>
  <c r="AO270" i="1"/>
  <c r="E270" i="2" s="1"/>
  <c r="AN270" i="1"/>
  <c r="F270" i="1"/>
  <c r="D270" i="2" s="1"/>
  <c r="AS269" i="1"/>
  <c r="G269" i="2" s="1"/>
  <c r="AP269" i="1"/>
  <c r="F269" i="2" s="1"/>
  <c r="AO269" i="1"/>
  <c r="E269" i="2" s="1"/>
  <c r="AN269" i="1"/>
  <c r="F269" i="1"/>
  <c r="D269" i="2" s="1"/>
  <c r="AS268" i="1"/>
  <c r="G268" i="2" s="1"/>
  <c r="AP268" i="1"/>
  <c r="F268" i="2" s="1"/>
  <c r="AO268" i="1"/>
  <c r="E268" i="2" s="1"/>
  <c r="AN268" i="1"/>
  <c r="F268" i="1"/>
  <c r="D268" i="2" s="1"/>
  <c r="AS267" i="1"/>
  <c r="G267" i="2" s="1"/>
  <c r="AP267" i="1"/>
  <c r="F267" i="2" s="1"/>
  <c r="AO267" i="1"/>
  <c r="E267" i="2" s="1"/>
  <c r="AN267" i="1"/>
  <c r="F267" i="1"/>
  <c r="D267" i="2" s="1"/>
  <c r="AS266" i="1"/>
  <c r="G266" i="2" s="1"/>
  <c r="AP266" i="1"/>
  <c r="F266" i="2" s="1"/>
  <c r="AO266" i="1"/>
  <c r="E266" i="2" s="1"/>
  <c r="AN266" i="1"/>
  <c r="F266" i="1"/>
  <c r="D266" i="2" s="1"/>
  <c r="AS265" i="1"/>
  <c r="G265" i="2" s="1"/>
  <c r="AP265" i="1"/>
  <c r="F265" i="2" s="1"/>
  <c r="AO265" i="1"/>
  <c r="E265" i="2" s="1"/>
  <c r="AN265" i="1"/>
  <c r="F265" i="1"/>
  <c r="D265" i="2" s="1"/>
  <c r="AS264" i="1"/>
  <c r="G264" i="2" s="1"/>
  <c r="AP264" i="1"/>
  <c r="F264" i="2" s="1"/>
  <c r="AO264" i="1"/>
  <c r="E264" i="2" s="1"/>
  <c r="AN264" i="1"/>
  <c r="F264" i="1"/>
  <c r="D264" i="2" s="1"/>
  <c r="AS263" i="1"/>
  <c r="G263" i="2" s="1"/>
  <c r="AP263" i="1"/>
  <c r="F263" i="2" s="1"/>
  <c r="AO263" i="1"/>
  <c r="E263" i="2" s="1"/>
  <c r="AN263" i="1"/>
  <c r="F263" i="1"/>
  <c r="D263" i="2" s="1"/>
  <c r="AS262" i="1"/>
  <c r="G262" i="2" s="1"/>
  <c r="AP262" i="1"/>
  <c r="F262" i="2" s="1"/>
  <c r="AO262" i="1"/>
  <c r="E262" i="2" s="1"/>
  <c r="AN262" i="1"/>
  <c r="F262" i="1"/>
  <c r="D262" i="2" s="1"/>
  <c r="AS261" i="1"/>
  <c r="G261" i="2" s="1"/>
  <c r="AP261" i="1"/>
  <c r="F261" i="2" s="1"/>
  <c r="AO261" i="1"/>
  <c r="E261" i="2" s="1"/>
  <c r="AN261" i="1"/>
  <c r="F261" i="1"/>
  <c r="D261" i="2" s="1"/>
  <c r="AS260" i="1"/>
  <c r="G260" i="2" s="1"/>
  <c r="AP260" i="1"/>
  <c r="F260" i="2" s="1"/>
  <c r="AO260" i="1"/>
  <c r="E260" i="2" s="1"/>
  <c r="AN260" i="1"/>
  <c r="F260" i="1"/>
  <c r="D260" i="2" s="1"/>
  <c r="AS259" i="1"/>
  <c r="G259" i="2" s="1"/>
  <c r="AP259" i="1"/>
  <c r="F259" i="2" s="1"/>
  <c r="AO259" i="1"/>
  <c r="E259" i="2" s="1"/>
  <c r="AN259" i="1"/>
  <c r="F259" i="1"/>
  <c r="D259" i="2" s="1"/>
  <c r="AS258" i="1"/>
  <c r="G258" i="2" s="1"/>
  <c r="AP258" i="1"/>
  <c r="F258" i="2" s="1"/>
  <c r="AO258" i="1"/>
  <c r="E258" i="2" s="1"/>
  <c r="AN258" i="1"/>
  <c r="F258" i="1"/>
  <c r="D258" i="2" s="1"/>
  <c r="AS257" i="1"/>
  <c r="G257" i="2" s="1"/>
  <c r="AP257" i="1"/>
  <c r="F257" i="2" s="1"/>
  <c r="AO257" i="1"/>
  <c r="E257" i="2" s="1"/>
  <c r="AN257" i="1"/>
  <c r="F257" i="1"/>
  <c r="D257" i="2" s="1"/>
  <c r="AS256" i="1"/>
  <c r="G256" i="2" s="1"/>
  <c r="AP256" i="1"/>
  <c r="F256" i="2" s="1"/>
  <c r="AO256" i="1"/>
  <c r="E256" i="2" s="1"/>
  <c r="AN256" i="1"/>
  <c r="F256" i="1"/>
  <c r="D256" i="2" s="1"/>
  <c r="AS255" i="1"/>
  <c r="G255" i="2" s="1"/>
  <c r="AP255" i="1"/>
  <c r="F255" i="2" s="1"/>
  <c r="AO255" i="1"/>
  <c r="E255" i="2" s="1"/>
  <c r="AN255" i="1"/>
  <c r="F255" i="1"/>
  <c r="D255" i="2" s="1"/>
  <c r="AS254" i="1"/>
  <c r="G254" i="2" s="1"/>
  <c r="AP254" i="1"/>
  <c r="F254" i="2" s="1"/>
  <c r="AO254" i="1"/>
  <c r="E254" i="2" s="1"/>
  <c r="AN254" i="1"/>
  <c r="F254" i="1"/>
  <c r="D254" i="2" s="1"/>
  <c r="AS253" i="1"/>
  <c r="G253" i="2" s="1"/>
  <c r="AP253" i="1"/>
  <c r="F253" i="2" s="1"/>
  <c r="AO253" i="1"/>
  <c r="E253" i="2" s="1"/>
  <c r="AN253" i="1"/>
  <c r="F253" i="1"/>
  <c r="D253" i="2" s="1"/>
  <c r="AS252" i="1"/>
  <c r="G252" i="2" s="1"/>
  <c r="AP252" i="1"/>
  <c r="F252" i="2" s="1"/>
  <c r="AO252" i="1"/>
  <c r="E252" i="2" s="1"/>
  <c r="AN252" i="1"/>
  <c r="F252" i="1"/>
  <c r="D252" i="2" s="1"/>
  <c r="AS251" i="1"/>
  <c r="G251" i="2" s="1"/>
  <c r="AP251" i="1"/>
  <c r="F251" i="2" s="1"/>
  <c r="AO251" i="1"/>
  <c r="E251" i="2" s="1"/>
  <c r="AN251" i="1"/>
  <c r="F251" i="1"/>
  <c r="D251" i="2" s="1"/>
  <c r="AS250" i="1"/>
  <c r="G250" i="2" s="1"/>
  <c r="AP250" i="1"/>
  <c r="F250" i="2" s="1"/>
  <c r="AO250" i="1"/>
  <c r="E250" i="2" s="1"/>
  <c r="AN250" i="1"/>
  <c r="F250" i="1"/>
  <c r="D250" i="2" s="1"/>
  <c r="AS249" i="1"/>
  <c r="G249" i="2" s="1"/>
  <c r="AP249" i="1"/>
  <c r="F249" i="2" s="1"/>
  <c r="AO249" i="1"/>
  <c r="E249" i="2" s="1"/>
  <c r="AN249" i="1"/>
  <c r="F249" i="1"/>
  <c r="D249" i="2" s="1"/>
  <c r="AS248" i="1"/>
  <c r="G248" i="2" s="1"/>
  <c r="AP248" i="1"/>
  <c r="F248" i="2" s="1"/>
  <c r="AO248" i="1"/>
  <c r="E248" i="2" s="1"/>
  <c r="AN248" i="1"/>
  <c r="F248" i="1"/>
  <c r="D248" i="2" s="1"/>
  <c r="AS247" i="1"/>
  <c r="G247" i="2" s="1"/>
  <c r="AP247" i="1"/>
  <c r="F247" i="2" s="1"/>
  <c r="AO247" i="1"/>
  <c r="E247" i="2" s="1"/>
  <c r="AN247" i="1"/>
  <c r="F247" i="1"/>
  <c r="D247" i="2" s="1"/>
  <c r="AS246" i="1"/>
  <c r="G246" i="2" s="1"/>
  <c r="AP246" i="1"/>
  <c r="F246" i="2" s="1"/>
  <c r="AO246" i="1"/>
  <c r="E246" i="2" s="1"/>
  <c r="AN246" i="1"/>
  <c r="F246" i="1"/>
  <c r="D246" i="2" s="1"/>
  <c r="AS245" i="1"/>
  <c r="G245" i="2" s="1"/>
  <c r="AP245" i="1"/>
  <c r="F245" i="2" s="1"/>
  <c r="AO245" i="1"/>
  <c r="E245" i="2" s="1"/>
  <c r="AN245" i="1"/>
  <c r="F245" i="1"/>
  <c r="D245" i="2" s="1"/>
  <c r="AS244" i="1"/>
  <c r="G244" i="2" s="1"/>
  <c r="AP244" i="1"/>
  <c r="F244" i="2" s="1"/>
  <c r="AO244" i="1"/>
  <c r="E244" i="2" s="1"/>
  <c r="AN244" i="1"/>
  <c r="F244" i="1"/>
  <c r="D244" i="2" s="1"/>
  <c r="AS243" i="1"/>
  <c r="G243" i="2" s="1"/>
  <c r="AP243" i="1"/>
  <c r="F243" i="2" s="1"/>
  <c r="AO243" i="1"/>
  <c r="E243" i="2" s="1"/>
  <c r="AN243" i="1"/>
  <c r="F243" i="1"/>
  <c r="D243" i="2" s="1"/>
  <c r="AS242" i="1"/>
  <c r="G242" i="2" s="1"/>
  <c r="AP242" i="1"/>
  <c r="F242" i="2" s="1"/>
  <c r="AO242" i="1"/>
  <c r="E242" i="2" s="1"/>
  <c r="AN242" i="1"/>
  <c r="F242" i="1"/>
  <c r="D242" i="2" s="1"/>
  <c r="AS241" i="1"/>
  <c r="G241" i="2" s="1"/>
  <c r="AP241" i="1"/>
  <c r="F241" i="2" s="1"/>
  <c r="AO241" i="1"/>
  <c r="E241" i="2" s="1"/>
  <c r="AN241" i="1"/>
  <c r="F241" i="1"/>
  <c r="D241" i="2" s="1"/>
  <c r="AS240" i="1"/>
  <c r="G240" i="2" s="1"/>
  <c r="AP240" i="1"/>
  <c r="F240" i="2" s="1"/>
  <c r="AO240" i="1"/>
  <c r="E240" i="2" s="1"/>
  <c r="AN240" i="1"/>
  <c r="F240" i="1"/>
  <c r="D240" i="2" s="1"/>
  <c r="AS239" i="1"/>
  <c r="G239" i="2" s="1"/>
  <c r="AP239" i="1"/>
  <c r="F239" i="2" s="1"/>
  <c r="AO239" i="1"/>
  <c r="E239" i="2" s="1"/>
  <c r="AN239" i="1"/>
  <c r="F239" i="1"/>
  <c r="D239" i="2" s="1"/>
  <c r="AS238" i="1"/>
  <c r="G238" i="2" s="1"/>
  <c r="AP238" i="1"/>
  <c r="F238" i="2" s="1"/>
  <c r="AO238" i="1"/>
  <c r="E238" i="2" s="1"/>
  <c r="AN238" i="1"/>
  <c r="F238" i="1"/>
  <c r="D238" i="2" s="1"/>
  <c r="AS237" i="1"/>
  <c r="G237" i="2" s="1"/>
  <c r="AP237" i="1"/>
  <c r="F237" i="2" s="1"/>
  <c r="AO237" i="1"/>
  <c r="E237" i="2" s="1"/>
  <c r="AN237" i="1"/>
  <c r="F237" i="1"/>
  <c r="D237" i="2" s="1"/>
  <c r="AS236" i="1"/>
  <c r="G236" i="2" s="1"/>
  <c r="AP236" i="1"/>
  <c r="F236" i="2" s="1"/>
  <c r="AO236" i="1"/>
  <c r="E236" i="2" s="1"/>
  <c r="AN236" i="1"/>
  <c r="F236" i="1"/>
  <c r="D236" i="2" s="1"/>
  <c r="AS235" i="1"/>
  <c r="G235" i="2" s="1"/>
  <c r="AP235" i="1"/>
  <c r="F235" i="2" s="1"/>
  <c r="AO235" i="1"/>
  <c r="E235" i="2" s="1"/>
  <c r="AN235" i="1"/>
  <c r="F235" i="1"/>
  <c r="D235" i="2" s="1"/>
  <c r="AS234" i="1"/>
  <c r="G234" i="2" s="1"/>
  <c r="AP234" i="1"/>
  <c r="F234" i="2" s="1"/>
  <c r="AO234" i="1"/>
  <c r="E234" i="2" s="1"/>
  <c r="AN234" i="1"/>
  <c r="F234" i="1"/>
  <c r="D234" i="2" s="1"/>
  <c r="AS233" i="1"/>
  <c r="G233" i="2" s="1"/>
  <c r="AP233" i="1"/>
  <c r="F233" i="2" s="1"/>
  <c r="AO233" i="1"/>
  <c r="E233" i="2" s="1"/>
  <c r="AN233" i="1"/>
  <c r="F233" i="1"/>
  <c r="D233" i="2" s="1"/>
  <c r="AS232" i="1"/>
  <c r="G232" i="2" s="1"/>
  <c r="AP232" i="1"/>
  <c r="F232" i="2" s="1"/>
  <c r="AO232" i="1"/>
  <c r="E232" i="2" s="1"/>
  <c r="AN232" i="1"/>
  <c r="F232" i="1"/>
  <c r="D232" i="2" s="1"/>
  <c r="AS231" i="1"/>
  <c r="G231" i="2" s="1"/>
  <c r="AP231" i="1"/>
  <c r="F231" i="2" s="1"/>
  <c r="AO231" i="1"/>
  <c r="E231" i="2" s="1"/>
  <c r="AN231" i="1"/>
  <c r="F231" i="1"/>
  <c r="D231" i="2" s="1"/>
  <c r="AS230" i="1"/>
  <c r="G230" i="2" s="1"/>
  <c r="AP230" i="1"/>
  <c r="F230" i="2" s="1"/>
  <c r="AO230" i="1"/>
  <c r="E230" i="2" s="1"/>
  <c r="AN230" i="1"/>
  <c r="F230" i="1"/>
  <c r="D230" i="2" s="1"/>
  <c r="AS229" i="1"/>
  <c r="G229" i="2" s="1"/>
  <c r="AP229" i="1"/>
  <c r="F229" i="2" s="1"/>
  <c r="AO229" i="1"/>
  <c r="E229" i="2" s="1"/>
  <c r="AN229" i="1"/>
  <c r="F229" i="1"/>
  <c r="D229" i="2" s="1"/>
  <c r="AS228" i="1"/>
  <c r="G228" i="2" s="1"/>
  <c r="AP228" i="1"/>
  <c r="F228" i="2" s="1"/>
  <c r="AO228" i="1"/>
  <c r="E228" i="2" s="1"/>
  <c r="AN228" i="1"/>
  <c r="F228" i="1"/>
  <c r="D228" i="2" s="1"/>
  <c r="AS227" i="1"/>
  <c r="G227" i="2" s="1"/>
  <c r="AP227" i="1"/>
  <c r="F227" i="2" s="1"/>
  <c r="AO227" i="1"/>
  <c r="E227" i="2" s="1"/>
  <c r="AN227" i="1"/>
  <c r="F227" i="1"/>
  <c r="D227" i="2" s="1"/>
  <c r="AS226" i="1"/>
  <c r="G226" i="2" s="1"/>
  <c r="AP226" i="1"/>
  <c r="F226" i="2" s="1"/>
  <c r="AO226" i="1"/>
  <c r="E226" i="2" s="1"/>
  <c r="AN226" i="1"/>
  <c r="F226" i="1"/>
  <c r="D226" i="2" s="1"/>
  <c r="AS225" i="1"/>
  <c r="G225" i="2" s="1"/>
  <c r="AP225" i="1"/>
  <c r="F225" i="2" s="1"/>
  <c r="AO225" i="1"/>
  <c r="E225" i="2" s="1"/>
  <c r="AN225" i="1"/>
  <c r="F225" i="1"/>
  <c r="D225" i="2" s="1"/>
  <c r="AS224" i="1"/>
  <c r="G224" i="2" s="1"/>
  <c r="AP224" i="1"/>
  <c r="F224" i="2" s="1"/>
  <c r="AO224" i="1"/>
  <c r="E224" i="2" s="1"/>
  <c r="AN224" i="1"/>
  <c r="F224" i="1"/>
  <c r="D224" i="2" s="1"/>
  <c r="AS223" i="1"/>
  <c r="G223" i="2" s="1"/>
  <c r="AP223" i="1"/>
  <c r="F223" i="2" s="1"/>
  <c r="AO223" i="1"/>
  <c r="E223" i="2" s="1"/>
  <c r="AN223" i="1"/>
  <c r="F223" i="1"/>
  <c r="D223" i="2" s="1"/>
  <c r="AS222" i="1"/>
  <c r="G222" i="2" s="1"/>
  <c r="AP222" i="1"/>
  <c r="F222" i="2" s="1"/>
  <c r="AO222" i="1"/>
  <c r="E222" i="2" s="1"/>
  <c r="AN222" i="1"/>
  <c r="F222" i="1"/>
  <c r="D222" i="2" s="1"/>
  <c r="AS221" i="1"/>
  <c r="G221" i="2" s="1"/>
  <c r="AP221" i="1"/>
  <c r="F221" i="2" s="1"/>
  <c r="AO221" i="1"/>
  <c r="E221" i="2" s="1"/>
  <c r="AN221" i="1"/>
  <c r="F221" i="1"/>
  <c r="D221" i="2" s="1"/>
  <c r="AS220" i="1"/>
  <c r="G220" i="2" s="1"/>
  <c r="AP220" i="1"/>
  <c r="F220" i="2" s="1"/>
  <c r="AO220" i="1"/>
  <c r="E220" i="2" s="1"/>
  <c r="AN220" i="1"/>
  <c r="F220" i="1"/>
  <c r="D220" i="2" s="1"/>
  <c r="AS219" i="1"/>
  <c r="G219" i="2" s="1"/>
  <c r="AP219" i="1"/>
  <c r="F219" i="2" s="1"/>
  <c r="AO219" i="1"/>
  <c r="E219" i="2" s="1"/>
  <c r="AN219" i="1"/>
  <c r="F219" i="1"/>
  <c r="D219" i="2" s="1"/>
  <c r="AS218" i="1"/>
  <c r="G218" i="2" s="1"/>
  <c r="AP218" i="1"/>
  <c r="F218" i="2" s="1"/>
  <c r="AO218" i="1"/>
  <c r="E218" i="2" s="1"/>
  <c r="AN218" i="1"/>
  <c r="F218" i="1"/>
  <c r="D218" i="2" s="1"/>
  <c r="AS217" i="1"/>
  <c r="G217" i="2" s="1"/>
  <c r="AP217" i="1"/>
  <c r="F217" i="2" s="1"/>
  <c r="AO217" i="1"/>
  <c r="E217" i="2" s="1"/>
  <c r="AN217" i="1"/>
  <c r="F217" i="1"/>
  <c r="D217" i="2" s="1"/>
  <c r="AS216" i="1"/>
  <c r="G216" i="2" s="1"/>
  <c r="AP216" i="1"/>
  <c r="F216" i="2" s="1"/>
  <c r="AO216" i="1"/>
  <c r="E216" i="2" s="1"/>
  <c r="AN216" i="1"/>
  <c r="F216" i="1"/>
  <c r="D216" i="2" s="1"/>
  <c r="AS215" i="1"/>
  <c r="G215" i="2" s="1"/>
  <c r="AP215" i="1"/>
  <c r="F215" i="2" s="1"/>
  <c r="AO215" i="1"/>
  <c r="E215" i="2" s="1"/>
  <c r="AN215" i="1"/>
  <c r="F215" i="1"/>
  <c r="D215" i="2" s="1"/>
  <c r="AS214" i="1"/>
  <c r="G214" i="2" s="1"/>
  <c r="AP214" i="1"/>
  <c r="F214" i="2" s="1"/>
  <c r="AO214" i="1"/>
  <c r="E214" i="2" s="1"/>
  <c r="AN214" i="1"/>
  <c r="F214" i="1"/>
  <c r="D214" i="2" s="1"/>
  <c r="AS213" i="1"/>
  <c r="G213" i="2" s="1"/>
  <c r="AP213" i="1"/>
  <c r="F213" i="2" s="1"/>
  <c r="AO213" i="1"/>
  <c r="E213" i="2" s="1"/>
  <c r="AN213" i="1"/>
  <c r="F213" i="1"/>
  <c r="D213" i="2" s="1"/>
  <c r="AS212" i="1"/>
  <c r="G212" i="2" s="1"/>
  <c r="AP212" i="1"/>
  <c r="F212" i="2" s="1"/>
  <c r="AO212" i="1"/>
  <c r="E212" i="2" s="1"/>
  <c r="AN212" i="1"/>
  <c r="F212" i="1"/>
  <c r="D212" i="2" s="1"/>
  <c r="AS211" i="1"/>
  <c r="G211" i="2" s="1"/>
  <c r="AP211" i="1"/>
  <c r="F211" i="2" s="1"/>
  <c r="AO211" i="1"/>
  <c r="E211" i="2" s="1"/>
  <c r="AN211" i="1"/>
  <c r="F211" i="1"/>
  <c r="D211" i="2" s="1"/>
  <c r="AS210" i="1"/>
  <c r="G210" i="2" s="1"/>
  <c r="AP210" i="1"/>
  <c r="F210" i="2" s="1"/>
  <c r="AO210" i="1"/>
  <c r="E210" i="2" s="1"/>
  <c r="AN210" i="1"/>
  <c r="F210" i="1"/>
  <c r="D210" i="2" s="1"/>
  <c r="AS209" i="1"/>
  <c r="G209" i="2" s="1"/>
  <c r="AP209" i="1"/>
  <c r="F209" i="2" s="1"/>
  <c r="AO209" i="1"/>
  <c r="E209" i="2" s="1"/>
  <c r="AN209" i="1"/>
  <c r="F209" i="1"/>
  <c r="D209" i="2" s="1"/>
  <c r="AS208" i="1"/>
  <c r="G208" i="2" s="1"/>
  <c r="AP208" i="1"/>
  <c r="F208" i="2" s="1"/>
  <c r="AO208" i="1"/>
  <c r="E208" i="2" s="1"/>
  <c r="AN208" i="1"/>
  <c r="F208" i="1"/>
  <c r="D208" i="2" s="1"/>
  <c r="AS207" i="1"/>
  <c r="G207" i="2" s="1"/>
  <c r="AP207" i="1"/>
  <c r="F207" i="2" s="1"/>
  <c r="AO207" i="1"/>
  <c r="E207" i="2" s="1"/>
  <c r="AN207" i="1"/>
  <c r="F207" i="1"/>
  <c r="D207" i="2" s="1"/>
  <c r="AS206" i="1"/>
  <c r="G206" i="2" s="1"/>
  <c r="AP206" i="1"/>
  <c r="F206" i="2" s="1"/>
  <c r="AO206" i="1"/>
  <c r="E206" i="2" s="1"/>
  <c r="AN206" i="1"/>
  <c r="F206" i="1"/>
  <c r="D206" i="2" s="1"/>
  <c r="AS205" i="1"/>
  <c r="G205" i="2" s="1"/>
  <c r="AP205" i="1"/>
  <c r="F205" i="2" s="1"/>
  <c r="AO205" i="1"/>
  <c r="E205" i="2" s="1"/>
  <c r="AN205" i="1"/>
  <c r="F205" i="1"/>
  <c r="D205" i="2" s="1"/>
  <c r="AS204" i="1"/>
  <c r="G204" i="2" s="1"/>
  <c r="AP204" i="1"/>
  <c r="F204" i="2" s="1"/>
  <c r="AO204" i="1"/>
  <c r="E204" i="2" s="1"/>
  <c r="AN204" i="1"/>
  <c r="F204" i="1"/>
  <c r="D204" i="2" s="1"/>
  <c r="AS203" i="1"/>
  <c r="G203" i="2" s="1"/>
  <c r="AP203" i="1"/>
  <c r="F203" i="2" s="1"/>
  <c r="AO203" i="1"/>
  <c r="E203" i="2" s="1"/>
  <c r="AN203" i="1"/>
  <c r="F203" i="1"/>
  <c r="D203" i="2" s="1"/>
  <c r="AS202" i="1"/>
  <c r="G202" i="2" s="1"/>
  <c r="AP202" i="1"/>
  <c r="F202" i="2" s="1"/>
  <c r="AO202" i="1"/>
  <c r="E202" i="2" s="1"/>
  <c r="AN202" i="1"/>
  <c r="F202" i="1"/>
  <c r="D202" i="2" s="1"/>
  <c r="AS201" i="1"/>
  <c r="G201" i="2" s="1"/>
  <c r="AN201" i="1"/>
  <c r="F201" i="1"/>
  <c r="D201" i="2" s="1"/>
  <c r="AS200" i="1"/>
  <c r="G200" i="2" s="1"/>
  <c r="AN200" i="1"/>
  <c r="F200" i="1"/>
  <c r="D200" i="2" s="1"/>
  <c r="AS199" i="1"/>
  <c r="G199" i="2" s="1"/>
  <c r="AN199" i="1"/>
  <c r="F199" i="1"/>
  <c r="D199" i="2" s="1"/>
  <c r="AS198" i="1"/>
  <c r="G198" i="2" s="1"/>
  <c r="AN198" i="1"/>
  <c r="F198" i="1"/>
  <c r="D198" i="2" s="1"/>
  <c r="AS197" i="1"/>
  <c r="G197" i="2" s="1"/>
  <c r="AN197" i="1"/>
  <c r="F197" i="1"/>
  <c r="D197" i="2" s="1"/>
  <c r="AS196" i="1"/>
  <c r="G196" i="2" s="1"/>
  <c r="AN196" i="1"/>
  <c r="F196" i="1"/>
  <c r="D196" i="2" s="1"/>
  <c r="AS195" i="1"/>
  <c r="G195" i="2" s="1"/>
  <c r="AN195" i="1"/>
  <c r="F195" i="1"/>
  <c r="D195" i="2" s="1"/>
  <c r="AS194" i="1"/>
  <c r="G194" i="2" s="1"/>
  <c r="AN194" i="1"/>
  <c r="F194" i="1"/>
  <c r="D194" i="2" s="1"/>
  <c r="AS193" i="1"/>
  <c r="G193" i="2" s="1"/>
  <c r="AN193" i="1"/>
  <c r="F193" i="1"/>
  <c r="D193" i="2" s="1"/>
  <c r="AS192" i="1"/>
  <c r="G192" i="2" s="1"/>
  <c r="AN192" i="1"/>
  <c r="F192" i="1"/>
  <c r="D192" i="2" s="1"/>
  <c r="AS191" i="1"/>
  <c r="G191" i="2" s="1"/>
  <c r="AN191" i="1"/>
  <c r="F191" i="1"/>
  <c r="D191" i="2" s="1"/>
  <c r="AS190" i="1"/>
  <c r="G190" i="2" s="1"/>
  <c r="AN190" i="1"/>
  <c r="F190" i="1"/>
  <c r="D190" i="2" s="1"/>
  <c r="AS189" i="1"/>
  <c r="G189" i="2" s="1"/>
  <c r="AN189" i="1"/>
  <c r="F189" i="1"/>
  <c r="D189" i="2" s="1"/>
  <c r="AS188" i="1"/>
  <c r="G188" i="2" s="1"/>
  <c r="AN188" i="1"/>
  <c r="F188" i="1"/>
  <c r="D188" i="2" s="1"/>
  <c r="AS187" i="1"/>
  <c r="G187" i="2" s="1"/>
  <c r="AN187" i="1"/>
  <c r="F187" i="1"/>
  <c r="D187" i="2" s="1"/>
  <c r="AS186" i="1"/>
  <c r="G186" i="2" s="1"/>
  <c r="AN186" i="1"/>
  <c r="F186" i="1"/>
  <c r="D186" i="2" s="1"/>
  <c r="AS185" i="1"/>
  <c r="G185" i="2" s="1"/>
  <c r="AN185" i="1"/>
  <c r="F185" i="1"/>
  <c r="D185" i="2" s="1"/>
  <c r="AS184" i="1"/>
  <c r="G184" i="2" s="1"/>
  <c r="AN184" i="1"/>
  <c r="F184" i="1"/>
  <c r="D184" i="2" s="1"/>
  <c r="AS183" i="1"/>
  <c r="G183" i="2" s="1"/>
  <c r="AN183" i="1"/>
  <c r="F183" i="1"/>
  <c r="D183" i="2" s="1"/>
  <c r="AS182" i="1"/>
  <c r="G182" i="2" s="1"/>
  <c r="AN182" i="1"/>
  <c r="F182" i="1"/>
  <c r="D182" i="2" s="1"/>
  <c r="AS181" i="1"/>
  <c r="G181" i="2" s="1"/>
  <c r="AN181" i="1"/>
  <c r="F181" i="1"/>
  <c r="D181" i="2" s="1"/>
  <c r="AS180" i="1"/>
  <c r="G180" i="2" s="1"/>
  <c r="AN180" i="1"/>
  <c r="F180" i="1"/>
  <c r="D180" i="2" s="1"/>
  <c r="AS179" i="1"/>
  <c r="G179" i="2" s="1"/>
  <c r="AN179" i="1"/>
  <c r="F179" i="1"/>
  <c r="D179" i="2" s="1"/>
  <c r="AS178" i="1"/>
  <c r="G178" i="2" s="1"/>
  <c r="AN178" i="1"/>
  <c r="F178" i="1"/>
  <c r="D178" i="2" s="1"/>
  <c r="AS177" i="1"/>
  <c r="G177" i="2" s="1"/>
  <c r="AN177" i="1"/>
  <c r="F177" i="1"/>
  <c r="D177" i="2" s="1"/>
  <c r="AS176" i="1"/>
  <c r="G176" i="2" s="1"/>
  <c r="AN176" i="1"/>
  <c r="F176" i="1"/>
  <c r="D176" i="2" s="1"/>
  <c r="AS175" i="1"/>
  <c r="G175" i="2" s="1"/>
  <c r="AN175" i="1"/>
  <c r="F175" i="1"/>
  <c r="D175" i="2" s="1"/>
  <c r="AS174" i="1"/>
  <c r="G174" i="2" s="1"/>
  <c r="AN174" i="1"/>
  <c r="F174" i="1"/>
  <c r="D174" i="2" s="1"/>
  <c r="AS173" i="1"/>
  <c r="G173" i="2" s="1"/>
  <c r="AN173" i="1"/>
  <c r="F173" i="1"/>
  <c r="D173" i="2" s="1"/>
  <c r="AS172" i="1"/>
  <c r="G172" i="2" s="1"/>
  <c r="AN172" i="1"/>
  <c r="F172" i="1"/>
  <c r="D172" i="2" s="1"/>
  <c r="AS171" i="1"/>
  <c r="G171" i="2" s="1"/>
  <c r="AN171" i="1"/>
  <c r="F171" i="1"/>
  <c r="D171" i="2" s="1"/>
  <c r="AS170" i="1"/>
  <c r="G170" i="2" s="1"/>
  <c r="AN170" i="1"/>
  <c r="F170" i="1"/>
  <c r="D170" i="2" s="1"/>
  <c r="AS169" i="1"/>
  <c r="G169" i="2" s="1"/>
  <c r="AN169" i="1"/>
  <c r="F169" i="1"/>
  <c r="D169" i="2" s="1"/>
  <c r="AS168" i="1"/>
  <c r="G168" i="2" s="1"/>
  <c r="AN168" i="1"/>
  <c r="F168" i="1"/>
  <c r="D168" i="2" s="1"/>
  <c r="AS167" i="1"/>
  <c r="G167" i="2" s="1"/>
  <c r="AN167" i="1"/>
  <c r="F167" i="1"/>
  <c r="D167" i="2" s="1"/>
  <c r="AS166" i="1"/>
  <c r="G166" i="2" s="1"/>
  <c r="AN166" i="1"/>
  <c r="F166" i="1"/>
  <c r="D166" i="2" s="1"/>
  <c r="AS165" i="1"/>
  <c r="G165" i="2" s="1"/>
  <c r="AN165" i="1"/>
  <c r="F165" i="1"/>
  <c r="D165" i="2" s="1"/>
  <c r="AS164" i="1"/>
  <c r="G164" i="2" s="1"/>
  <c r="AN164" i="1"/>
  <c r="F164" i="1"/>
  <c r="D164" i="2" s="1"/>
  <c r="AS163" i="1"/>
  <c r="G163" i="2" s="1"/>
  <c r="AN163" i="1"/>
  <c r="F163" i="1"/>
  <c r="D163" i="2" s="1"/>
  <c r="AS162" i="1"/>
  <c r="G162" i="2" s="1"/>
  <c r="AN162" i="1"/>
  <c r="F162" i="1"/>
  <c r="D162" i="2" s="1"/>
  <c r="AS161" i="1"/>
  <c r="G161" i="2" s="1"/>
  <c r="AN161" i="1"/>
  <c r="F161" i="1"/>
  <c r="D161" i="2" s="1"/>
  <c r="AS160" i="1"/>
  <c r="G160" i="2" s="1"/>
  <c r="AN160" i="1"/>
  <c r="F160" i="1"/>
  <c r="D160" i="2" s="1"/>
  <c r="AS159" i="1"/>
  <c r="G159" i="2" s="1"/>
  <c r="AN159" i="1"/>
  <c r="F159" i="1"/>
  <c r="D159" i="2" s="1"/>
  <c r="AS158" i="1"/>
  <c r="G158" i="2" s="1"/>
  <c r="AN158" i="1"/>
  <c r="F158" i="1"/>
  <c r="D158" i="2" s="1"/>
  <c r="AS157" i="1"/>
  <c r="G157" i="2" s="1"/>
  <c r="AN157" i="1"/>
  <c r="F157" i="1"/>
  <c r="D157" i="2" s="1"/>
  <c r="AS156" i="1"/>
  <c r="G156" i="2" s="1"/>
  <c r="AN156" i="1"/>
  <c r="F156" i="1"/>
  <c r="D156" i="2" s="1"/>
  <c r="AS155" i="1"/>
  <c r="G155" i="2" s="1"/>
  <c r="AN155" i="1"/>
  <c r="F155" i="1"/>
  <c r="D155" i="2" s="1"/>
  <c r="AS154" i="1"/>
  <c r="G154" i="2" s="1"/>
  <c r="AN154" i="1"/>
  <c r="F154" i="1"/>
  <c r="D154" i="2" s="1"/>
  <c r="AS153" i="1"/>
  <c r="G153" i="2" s="1"/>
  <c r="AN153" i="1"/>
  <c r="F153" i="1"/>
  <c r="D153" i="2" s="1"/>
  <c r="AS152" i="1"/>
  <c r="G152" i="2" s="1"/>
  <c r="AN152" i="1"/>
  <c r="F152" i="1"/>
  <c r="D152" i="2" s="1"/>
  <c r="AS151" i="1"/>
  <c r="G151" i="2" s="1"/>
  <c r="AN151" i="1"/>
  <c r="F151" i="1"/>
  <c r="D151" i="2" s="1"/>
  <c r="AS150" i="1"/>
  <c r="G150" i="2" s="1"/>
  <c r="AN150" i="1"/>
  <c r="F150" i="1"/>
  <c r="D150" i="2" s="1"/>
  <c r="AS149" i="1"/>
  <c r="G149" i="2" s="1"/>
  <c r="AN149" i="1"/>
  <c r="F149" i="1"/>
  <c r="D149" i="2" s="1"/>
  <c r="AS148" i="1"/>
  <c r="G148" i="2" s="1"/>
  <c r="AN148" i="1"/>
  <c r="F148" i="1"/>
  <c r="D148" i="2" s="1"/>
  <c r="AS147" i="1"/>
  <c r="G147" i="2" s="1"/>
  <c r="AN147" i="1"/>
  <c r="F147" i="1"/>
  <c r="D147" i="2" s="1"/>
  <c r="AS146" i="1"/>
  <c r="G146" i="2" s="1"/>
  <c r="AN146" i="1"/>
  <c r="F146" i="1"/>
  <c r="D146" i="2" s="1"/>
  <c r="AS145" i="1"/>
  <c r="G145" i="2" s="1"/>
  <c r="AN145" i="1"/>
  <c r="F145" i="1"/>
  <c r="D145" i="2" s="1"/>
  <c r="AS144" i="1"/>
  <c r="G144" i="2" s="1"/>
  <c r="AN144" i="1"/>
  <c r="F144" i="1"/>
  <c r="D144" i="2" s="1"/>
  <c r="AS143" i="1"/>
  <c r="G143" i="2" s="1"/>
  <c r="AN143" i="1"/>
  <c r="F143" i="1"/>
  <c r="D143" i="2" s="1"/>
  <c r="AS142" i="1"/>
  <c r="G142" i="2" s="1"/>
  <c r="AN142" i="1"/>
  <c r="F142" i="1"/>
  <c r="D142" i="2" s="1"/>
  <c r="AS141" i="1"/>
  <c r="G141" i="2" s="1"/>
  <c r="AN141" i="1"/>
  <c r="F141" i="1"/>
  <c r="D141" i="2" s="1"/>
  <c r="AS140" i="1"/>
  <c r="G140" i="2" s="1"/>
  <c r="AN140" i="1"/>
  <c r="F140" i="1"/>
  <c r="D140" i="2" s="1"/>
  <c r="AS139" i="1"/>
  <c r="G139" i="2" s="1"/>
  <c r="AN139" i="1"/>
  <c r="F139" i="1"/>
  <c r="D139" i="2" s="1"/>
  <c r="AS138" i="1"/>
  <c r="G138" i="2" s="1"/>
  <c r="AN138" i="1"/>
  <c r="F138" i="1"/>
  <c r="D138" i="2" s="1"/>
  <c r="AS137" i="1"/>
  <c r="G137" i="2" s="1"/>
  <c r="AN137" i="1"/>
  <c r="F137" i="1"/>
  <c r="D137" i="2" s="1"/>
  <c r="AS136" i="1"/>
  <c r="G136" i="2" s="1"/>
  <c r="AN136" i="1"/>
  <c r="F136" i="1"/>
  <c r="D136" i="2" s="1"/>
  <c r="AS135" i="1"/>
  <c r="G135" i="2" s="1"/>
  <c r="AN135" i="1"/>
  <c r="F135" i="1"/>
  <c r="D135" i="2" s="1"/>
  <c r="AS134" i="1"/>
  <c r="G134" i="2" s="1"/>
  <c r="AN134" i="1"/>
  <c r="F134" i="1"/>
  <c r="D134" i="2" s="1"/>
  <c r="AS133" i="1"/>
  <c r="G133" i="2" s="1"/>
  <c r="AN133" i="1"/>
  <c r="F133" i="1"/>
  <c r="D133" i="2" s="1"/>
  <c r="AS132" i="1"/>
  <c r="G132" i="2" s="1"/>
  <c r="AN132" i="1"/>
  <c r="F132" i="1"/>
  <c r="D132" i="2" s="1"/>
  <c r="AS131" i="1"/>
  <c r="G131" i="2" s="1"/>
  <c r="AN131" i="1"/>
  <c r="F131" i="1"/>
  <c r="D131" i="2" s="1"/>
  <c r="AS130" i="1"/>
  <c r="G130" i="2" s="1"/>
  <c r="AN130" i="1"/>
  <c r="F130" i="1"/>
  <c r="D130" i="2" s="1"/>
  <c r="AS129" i="1"/>
  <c r="G129" i="2" s="1"/>
  <c r="AN129" i="1"/>
  <c r="F129" i="1"/>
  <c r="D129" i="2" s="1"/>
  <c r="AS128" i="1"/>
  <c r="G128" i="2" s="1"/>
  <c r="AN128" i="1"/>
  <c r="F128" i="1"/>
  <c r="D128" i="2" s="1"/>
  <c r="AS127" i="1"/>
  <c r="G127" i="2" s="1"/>
  <c r="AN127" i="1"/>
  <c r="F127" i="1"/>
  <c r="D127" i="2" s="1"/>
  <c r="AS126" i="1"/>
  <c r="G126" i="2" s="1"/>
  <c r="AN126" i="1"/>
  <c r="F126" i="1"/>
  <c r="D126" i="2" s="1"/>
  <c r="AS125" i="1"/>
  <c r="G125" i="2" s="1"/>
  <c r="AN125" i="1"/>
  <c r="F125" i="1"/>
  <c r="D125" i="2" s="1"/>
  <c r="AS124" i="1"/>
  <c r="G124" i="2" s="1"/>
  <c r="AN124" i="1"/>
  <c r="F124" i="1"/>
  <c r="D124" i="2" s="1"/>
  <c r="AS123" i="1"/>
  <c r="G123" i="2" s="1"/>
  <c r="AN123" i="1"/>
  <c r="F123" i="1"/>
  <c r="D123" i="2" s="1"/>
  <c r="AS122" i="1"/>
  <c r="G122" i="2" s="1"/>
  <c r="AN122" i="1"/>
  <c r="F122" i="1"/>
  <c r="D122" i="2" s="1"/>
  <c r="AS121" i="1"/>
  <c r="G121" i="2" s="1"/>
  <c r="AN121" i="1"/>
  <c r="F121" i="1"/>
  <c r="D121" i="2" s="1"/>
  <c r="AS120" i="1"/>
  <c r="G120" i="2" s="1"/>
  <c r="AN120" i="1"/>
  <c r="F120" i="1"/>
  <c r="D120" i="2" s="1"/>
  <c r="AS119" i="1"/>
  <c r="G119" i="2" s="1"/>
  <c r="AN119" i="1"/>
  <c r="F119" i="1"/>
  <c r="D119" i="2" s="1"/>
  <c r="AS118" i="1"/>
  <c r="G118" i="2" s="1"/>
  <c r="AN118" i="1"/>
  <c r="F118" i="1"/>
  <c r="D118" i="2" s="1"/>
  <c r="AS117" i="1"/>
  <c r="G117" i="2" s="1"/>
  <c r="AN117" i="1"/>
  <c r="F117" i="1"/>
  <c r="D117" i="2" s="1"/>
  <c r="AS116" i="1"/>
  <c r="G116" i="2" s="1"/>
  <c r="AN116" i="1"/>
  <c r="F116" i="1"/>
  <c r="D116" i="2" s="1"/>
  <c r="AS115" i="1"/>
  <c r="G115" i="2" s="1"/>
  <c r="AN115" i="1"/>
  <c r="F115" i="1"/>
  <c r="D115" i="2" s="1"/>
  <c r="AS114" i="1"/>
  <c r="G114" i="2" s="1"/>
  <c r="AN114" i="1"/>
  <c r="F114" i="1"/>
  <c r="D114" i="2" s="1"/>
  <c r="AS113" i="1"/>
  <c r="G113" i="2" s="1"/>
  <c r="AN113" i="1"/>
  <c r="F113" i="1"/>
  <c r="D113" i="2" s="1"/>
  <c r="AS112" i="1"/>
  <c r="G112" i="2" s="1"/>
  <c r="AN112" i="1"/>
  <c r="F112" i="1"/>
  <c r="D112" i="2" s="1"/>
  <c r="AS111" i="1"/>
  <c r="G111" i="2" s="1"/>
  <c r="AN111" i="1"/>
  <c r="F111" i="1"/>
  <c r="D111" i="2" s="1"/>
  <c r="AS110" i="1"/>
  <c r="G110" i="2" s="1"/>
  <c r="AN110" i="1"/>
  <c r="F110" i="1"/>
  <c r="D110" i="2" s="1"/>
  <c r="AS109" i="1"/>
  <c r="G109" i="2" s="1"/>
  <c r="AN109" i="1"/>
  <c r="F109" i="1"/>
  <c r="D109" i="2" s="1"/>
  <c r="AS108" i="1"/>
  <c r="G108" i="2" s="1"/>
  <c r="AN108" i="1"/>
  <c r="F108" i="1"/>
  <c r="D108" i="2" s="1"/>
  <c r="AS107" i="1"/>
  <c r="G107" i="2" s="1"/>
  <c r="AN107" i="1"/>
  <c r="F107" i="1"/>
  <c r="D107" i="2" s="1"/>
  <c r="AS106" i="1"/>
  <c r="G106" i="2" s="1"/>
  <c r="AN106" i="1"/>
  <c r="F106" i="1"/>
  <c r="D106" i="2" s="1"/>
  <c r="AS105" i="1"/>
  <c r="G105" i="2" s="1"/>
  <c r="AN105" i="1"/>
  <c r="F105" i="1"/>
  <c r="D105" i="2" s="1"/>
  <c r="AS104" i="1"/>
  <c r="G104" i="2" s="1"/>
  <c r="AN104" i="1"/>
  <c r="F104" i="1"/>
  <c r="D104" i="2" s="1"/>
  <c r="AS103" i="1"/>
  <c r="G103" i="2" s="1"/>
  <c r="AN103" i="1"/>
  <c r="F103" i="1"/>
  <c r="D103" i="2" s="1"/>
  <c r="AS102" i="1"/>
  <c r="G102" i="2" s="1"/>
  <c r="AN102" i="1"/>
  <c r="F102" i="1"/>
  <c r="D102" i="2" s="1"/>
  <c r="AS101" i="1"/>
  <c r="G101" i="2" s="1"/>
  <c r="AN101" i="1"/>
  <c r="F101" i="1"/>
  <c r="D101" i="2" s="1"/>
  <c r="AS100" i="1"/>
  <c r="G100" i="2" s="1"/>
  <c r="AN100" i="1"/>
  <c r="F100" i="1"/>
  <c r="D100" i="2" s="1"/>
  <c r="AS99" i="1"/>
  <c r="G99" i="2" s="1"/>
  <c r="AN99" i="1"/>
  <c r="F99" i="1"/>
  <c r="D99" i="2" s="1"/>
  <c r="AS98" i="1"/>
  <c r="G98" i="2" s="1"/>
  <c r="AN98" i="1"/>
  <c r="F98" i="1"/>
  <c r="D98" i="2" s="1"/>
  <c r="AS97" i="1"/>
  <c r="G97" i="2" s="1"/>
  <c r="AN97" i="1"/>
  <c r="F97" i="1"/>
  <c r="D97" i="2" s="1"/>
  <c r="AS96" i="1"/>
  <c r="G96" i="2" s="1"/>
  <c r="AN96" i="1"/>
  <c r="F96" i="1"/>
  <c r="D96" i="2" s="1"/>
  <c r="AS95" i="1"/>
  <c r="G95" i="2" s="1"/>
  <c r="AN95" i="1"/>
  <c r="F95" i="1"/>
  <c r="D95" i="2" s="1"/>
  <c r="AS94" i="1"/>
  <c r="G94" i="2" s="1"/>
  <c r="AN94" i="1"/>
  <c r="F94" i="1"/>
  <c r="D94" i="2" s="1"/>
  <c r="AS93" i="1"/>
  <c r="G93" i="2" s="1"/>
  <c r="AN93" i="1"/>
  <c r="F93" i="1"/>
  <c r="D93" i="2" s="1"/>
  <c r="AS92" i="1"/>
  <c r="G92" i="2" s="1"/>
  <c r="AN92" i="1"/>
  <c r="F92" i="1"/>
  <c r="D92" i="2" s="1"/>
  <c r="AS91" i="1"/>
  <c r="G91" i="2" s="1"/>
  <c r="AN91" i="1"/>
  <c r="F91" i="1"/>
  <c r="D91" i="2" s="1"/>
  <c r="AS90" i="1"/>
  <c r="G90" i="2" s="1"/>
  <c r="AN90" i="1"/>
  <c r="F90" i="1"/>
  <c r="D90" i="2" s="1"/>
  <c r="AS89" i="1"/>
  <c r="G89" i="2" s="1"/>
  <c r="AN89" i="1"/>
  <c r="F89" i="1"/>
  <c r="D89" i="2" s="1"/>
  <c r="AS88" i="1"/>
  <c r="G88" i="2" s="1"/>
  <c r="AN88" i="1"/>
  <c r="F88" i="1"/>
  <c r="D88" i="2" s="1"/>
  <c r="H88" i="2" s="1"/>
  <c r="J88" i="2" s="1"/>
  <c r="AS87" i="1"/>
  <c r="G87" i="2" s="1"/>
  <c r="AN87" i="1"/>
  <c r="F87" i="1"/>
  <c r="D87" i="2" s="1"/>
  <c r="AS86" i="1"/>
  <c r="G86" i="2" s="1"/>
  <c r="AN86" i="1"/>
  <c r="F86" i="1"/>
  <c r="D86" i="2" s="1"/>
  <c r="AS85" i="1"/>
  <c r="G85" i="2" s="1"/>
  <c r="AN85" i="1"/>
  <c r="F85" i="1"/>
  <c r="D85" i="2" s="1"/>
  <c r="AS84" i="1"/>
  <c r="G84" i="2" s="1"/>
  <c r="AN84" i="1"/>
  <c r="F84" i="1"/>
  <c r="D84" i="2" s="1"/>
  <c r="AS83" i="1"/>
  <c r="G83" i="2" s="1"/>
  <c r="AN83" i="1"/>
  <c r="F83" i="1"/>
  <c r="D83" i="2" s="1"/>
  <c r="AS82" i="1"/>
  <c r="G82" i="2" s="1"/>
  <c r="AN82" i="1"/>
  <c r="F82" i="1"/>
  <c r="D82" i="2" s="1"/>
  <c r="AS81" i="1"/>
  <c r="G81" i="2" s="1"/>
  <c r="AN81" i="1"/>
  <c r="F81" i="1"/>
  <c r="D81" i="2" s="1"/>
  <c r="AS80" i="1"/>
  <c r="G80" i="2" s="1"/>
  <c r="AN80" i="1"/>
  <c r="F80" i="1"/>
  <c r="D80" i="2" s="1"/>
  <c r="AS79" i="1"/>
  <c r="G79" i="2" s="1"/>
  <c r="AN79" i="1"/>
  <c r="F79" i="1"/>
  <c r="D79" i="2" s="1"/>
  <c r="AS78" i="1"/>
  <c r="G78" i="2" s="1"/>
  <c r="AN78" i="1"/>
  <c r="F78" i="1"/>
  <c r="D78" i="2" s="1"/>
  <c r="AS77" i="1"/>
  <c r="G77" i="2" s="1"/>
  <c r="AN77" i="1"/>
  <c r="F77" i="1"/>
  <c r="D77" i="2" s="1"/>
  <c r="AS76" i="1"/>
  <c r="G76" i="2" s="1"/>
  <c r="AN76" i="1"/>
  <c r="F76" i="1"/>
  <c r="D76" i="2" s="1"/>
  <c r="AS75" i="1"/>
  <c r="G75" i="2" s="1"/>
  <c r="AN75" i="1"/>
  <c r="F75" i="1"/>
  <c r="D75" i="2" s="1"/>
  <c r="AS74" i="1"/>
  <c r="G74" i="2" s="1"/>
  <c r="AN74" i="1"/>
  <c r="F74" i="1"/>
  <c r="D74" i="2" s="1"/>
  <c r="AS73" i="1"/>
  <c r="G73" i="2" s="1"/>
  <c r="AN73" i="1"/>
  <c r="F73" i="1"/>
  <c r="D73" i="2" s="1"/>
  <c r="AS72" i="1"/>
  <c r="G72" i="2" s="1"/>
  <c r="AN72" i="1"/>
  <c r="F72" i="1"/>
  <c r="D72" i="2" s="1"/>
  <c r="AS71" i="1"/>
  <c r="G71" i="2" s="1"/>
  <c r="AN71" i="1"/>
  <c r="F71" i="1"/>
  <c r="D71" i="2" s="1"/>
  <c r="AS70" i="1"/>
  <c r="G70" i="2" s="1"/>
  <c r="AN70" i="1"/>
  <c r="F70" i="1"/>
  <c r="D70" i="2" s="1"/>
  <c r="AS69" i="1"/>
  <c r="G69" i="2" s="1"/>
  <c r="AN69" i="1"/>
  <c r="F69" i="1"/>
  <c r="D69" i="2" s="1"/>
  <c r="AS68" i="1"/>
  <c r="G68" i="2" s="1"/>
  <c r="AN68" i="1"/>
  <c r="F68" i="1"/>
  <c r="D68" i="2" s="1"/>
  <c r="AS67" i="1"/>
  <c r="G67" i="2" s="1"/>
  <c r="AN67" i="1"/>
  <c r="F67" i="1"/>
  <c r="D67" i="2" s="1"/>
  <c r="AS66" i="1"/>
  <c r="G66" i="2" s="1"/>
  <c r="AN66" i="1"/>
  <c r="F66" i="1"/>
  <c r="D66" i="2" s="1"/>
  <c r="AS65" i="1"/>
  <c r="G65" i="2" s="1"/>
  <c r="AN65" i="1"/>
  <c r="F65" i="1"/>
  <c r="D65" i="2" s="1"/>
  <c r="AS64" i="1"/>
  <c r="G64" i="2" s="1"/>
  <c r="AN64" i="1"/>
  <c r="F64" i="1"/>
  <c r="D64" i="2" s="1"/>
  <c r="AS63" i="1"/>
  <c r="G63" i="2" s="1"/>
  <c r="AN63" i="1"/>
  <c r="F63" i="1"/>
  <c r="D63" i="2" s="1"/>
  <c r="AS62" i="1"/>
  <c r="G62" i="2" s="1"/>
  <c r="AN62" i="1"/>
  <c r="F62" i="1"/>
  <c r="D62" i="2" s="1"/>
  <c r="AS61" i="1"/>
  <c r="G61" i="2" s="1"/>
  <c r="AN61" i="1"/>
  <c r="F61" i="1"/>
  <c r="D61" i="2" s="1"/>
  <c r="AS60" i="1"/>
  <c r="G60" i="2" s="1"/>
  <c r="AN60" i="1"/>
  <c r="F60" i="1"/>
  <c r="D60" i="2" s="1"/>
  <c r="AS59" i="1"/>
  <c r="G59" i="2" s="1"/>
  <c r="AN59" i="1"/>
  <c r="F59" i="1"/>
  <c r="D59" i="2" s="1"/>
  <c r="AS58" i="1"/>
  <c r="G58" i="2" s="1"/>
  <c r="AN58" i="1"/>
  <c r="F58" i="1"/>
  <c r="D58" i="2" s="1"/>
  <c r="AS57" i="1"/>
  <c r="G57" i="2" s="1"/>
  <c r="AN57" i="1"/>
  <c r="F57" i="1"/>
  <c r="D57" i="2" s="1"/>
  <c r="AS56" i="1"/>
  <c r="G56" i="2" s="1"/>
  <c r="AN56" i="1"/>
  <c r="F56" i="1"/>
  <c r="D56" i="2" s="1"/>
  <c r="AS55" i="1"/>
  <c r="G55" i="2" s="1"/>
  <c r="AN55" i="1"/>
  <c r="F55" i="1"/>
  <c r="D55" i="2" s="1"/>
  <c r="AS54" i="1"/>
  <c r="G54" i="2" s="1"/>
  <c r="AN54" i="1"/>
  <c r="F54" i="1"/>
  <c r="D54" i="2" s="1"/>
  <c r="AS53" i="1"/>
  <c r="G53" i="2" s="1"/>
  <c r="AN53" i="1"/>
  <c r="F53" i="1"/>
  <c r="D53" i="2" s="1"/>
  <c r="AS52" i="1"/>
  <c r="G52" i="2" s="1"/>
  <c r="AN52" i="1"/>
  <c r="F52" i="1"/>
  <c r="D52" i="2" s="1"/>
  <c r="AS51" i="1"/>
  <c r="G51" i="2" s="1"/>
  <c r="AN51" i="1"/>
  <c r="F51" i="1"/>
  <c r="D51" i="2" s="1"/>
  <c r="AS50" i="1"/>
  <c r="G50" i="2" s="1"/>
  <c r="AN50" i="1"/>
  <c r="F50" i="1"/>
  <c r="D50" i="2" s="1"/>
  <c r="AS49" i="1"/>
  <c r="G49" i="2" s="1"/>
  <c r="AN49" i="1"/>
  <c r="F49" i="1"/>
  <c r="D49" i="2" s="1"/>
  <c r="AS48" i="1"/>
  <c r="G48" i="2" s="1"/>
  <c r="AN48" i="1"/>
  <c r="F48" i="1"/>
  <c r="D48" i="2" s="1"/>
  <c r="AS47" i="1"/>
  <c r="G47" i="2" s="1"/>
  <c r="AN47" i="1"/>
  <c r="F47" i="1"/>
  <c r="D47" i="2" s="1"/>
  <c r="AS46" i="1"/>
  <c r="G46" i="2" s="1"/>
  <c r="AN46" i="1"/>
  <c r="F46" i="1"/>
  <c r="D46" i="2" s="1"/>
  <c r="AS45" i="1"/>
  <c r="G45" i="2" s="1"/>
  <c r="AN45" i="1"/>
  <c r="F45" i="1"/>
  <c r="D45" i="2" s="1"/>
  <c r="AS44" i="1"/>
  <c r="G44" i="2" s="1"/>
  <c r="AN44" i="1"/>
  <c r="F44" i="1"/>
  <c r="D44" i="2" s="1"/>
  <c r="AS43" i="1"/>
  <c r="G43" i="2" s="1"/>
  <c r="AN43" i="1"/>
  <c r="F43" i="1"/>
  <c r="D43" i="2" s="1"/>
  <c r="AS42" i="1"/>
  <c r="G42" i="2" s="1"/>
  <c r="AN42" i="1"/>
  <c r="F42" i="1"/>
  <c r="D42" i="2" s="1"/>
  <c r="AS41" i="1"/>
  <c r="G41" i="2" s="1"/>
  <c r="AN41" i="1"/>
  <c r="F41" i="1"/>
  <c r="D41" i="2" s="1"/>
  <c r="AS40" i="1"/>
  <c r="G40" i="2" s="1"/>
  <c r="AN40" i="1"/>
  <c r="F40" i="1"/>
  <c r="D40" i="2" s="1"/>
  <c r="AS39" i="1"/>
  <c r="G39" i="2" s="1"/>
  <c r="AN39" i="1"/>
  <c r="F39" i="1"/>
  <c r="D39" i="2" s="1"/>
  <c r="AS38" i="1"/>
  <c r="G38" i="2" s="1"/>
  <c r="AN38" i="1"/>
  <c r="F38" i="1"/>
  <c r="D38" i="2" s="1"/>
  <c r="AS37" i="1"/>
  <c r="G37" i="2" s="1"/>
  <c r="AN37" i="1"/>
  <c r="F37" i="1"/>
  <c r="D37" i="2" s="1"/>
  <c r="AS36" i="1"/>
  <c r="G36" i="2" s="1"/>
  <c r="AN36" i="1"/>
  <c r="F36" i="1"/>
  <c r="D36" i="2" s="1"/>
  <c r="AS35" i="1"/>
  <c r="G35" i="2" s="1"/>
  <c r="AN35" i="1"/>
  <c r="F35" i="1"/>
  <c r="D35" i="2" s="1"/>
  <c r="AS34" i="1"/>
  <c r="G34" i="2" s="1"/>
  <c r="AN34" i="1"/>
  <c r="F34" i="1"/>
  <c r="D34" i="2" s="1"/>
  <c r="AS33" i="1"/>
  <c r="G33" i="2" s="1"/>
  <c r="AN33" i="1"/>
  <c r="F33" i="1"/>
  <c r="D33" i="2" s="1"/>
  <c r="AS32" i="1"/>
  <c r="G32" i="2" s="1"/>
  <c r="AN32" i="1"/>
  <c r="F32" i="1"/>
  <c r="D32" i="2" s="1"/>
  <c r="AS31" i="1"/>
  <c r="G31" i="2" s="1"/>
  <c r="AN31" i="1"/>
  <c r="F31" i="1"/>
  <c r="D31" i="2" s="1"/>
  <c r="AS30" i="1"/>
  <c r="G30" i="2" s="1"/>
  <c r="AN30" i="1"/>
  <c r="F30" i="1"/>
  <c r="D30" i="2" s="1"/>
  <c r="AS29" i="1"/>
  <c r="G29" i="2" s="1"/>
  <c r="AN29" i="1"/>
  <c r="F29" i="1"/>
  <c r="D29" i="2" s="1"/>
  <c r="AS28" i="1"/>
  <c r="G28" i="2" s="1"/>
  <c r="AN28" i="1"/>
  <c r="F28" i="1"/>
  <c r="D28" i="2" s="1"/>
  <c r="AS27" i="1"/>
  <c r="G27" i="2" s="1"/>
  <c r="AN27" i="1"/>
  <c r="F27" i="1"/>
  <c r="D27" i="2" s="1"/>
  <c r="AS26" i="1"/>
  <c r="G26" i="2" s="1"/>
  <c r="AN26" i="1"/>
  <c r="F26" i="1"/>
  <c r="D26" i="2" s="1"/>
  <c r="AS25" i="1"/>
  <c r="G25" i="2" s="1"/>
  <c r="AN25" i="1"/>
  <c r="F25" i="1"/>
  <c r="D25" i="2" s="1"/>
  <c r="AS24" i="1"/>
  <c r="G24" i="2" s="1"/>
  <c r="AN24" i="1"/>
  <c r="F24" i="1"/>
  <c r="D24" i="2" s="1"/>
  <c r="AS23" i="1"/>
  <c r="G23" i="2" s="1"/>
  <c r="AN23" i="1"/>
  <c r="F23" i="1"/>
  <c r="D23" i="2" s="1"/>
  <c r="AS22" i="1"/>
  <c r="G22" i="2" s="1"/>
  <c r="AN22" i="1"/>
  <c r="F22" i="1"/>
  <c r="D22" i="2" s="1"/>
  <c r="AS21" i="1"/>
  <c r="G21" i="2" s="1"/>
  <c r="AN21" i="1"/>
  <c r="F21" i="1"/>
  <c r="D21" i="2" s="1"/>
  <c r="AS20" i="1"/>
  <c r="G20" i="2" s="1"/>
  <c r="AN20" i="1"/>
  <c r="F20" i="1"/>
  <c r="D20" i="2" s="1"/>
  <c r="AS19" i="1"/>
  <c r="G19" i="2" s="1"/>
  <c r="AN19" i="1"/>
  <c r="F19" i="1"/>
  <c r="D19" i="2" s="1"/>
  <c r="AS18" i="1"/>
  <c r="G18" i="2" s="1"/>
  <c r="AN18" i="1"/>
  <c r="F18" i="1"/>
  <c r="D18" i="2" s="1"/>
  <c r="AS17" i="1"/>
  <c r="G17" i="2" s="1"/>
  <c r="AN17" i="1"/>
  <c r="F17" i="1"/>
  <c r="D17" i="2" s="1"/>
  <c r="AS16" i="1"/>
  <c r="G16" i="2" s="1"/>
  <c r="AN16" i="1"/>
  <c r="F16" i="1"/>
  <c r="D16" i="2" s="1"/>
  <c r="AS15" i="1"/>
  <c r="G15" i="2" s="1"/>
  <c r="AN15" i="1"/>
  <c r="F15" i="1"/>
  <c r="D15" i="2" s="1"/>
  <c r="AS14" i="1"/>
  <c r="G14" i="2" s="1"/>
  <c r="AN14" i="1"/>
  <c r="F14" i="1"/>
  <c r="D14" i="2" s="1"/>
  <c r="AS13" i="1"/>
  <c r="G13" i="2" s="1"/>
  <c r="AN13" i="1"/>
  <c r="F13" i="1"/>
  <c r="D13" i="2" s="1"/>
  <c r="AS12" i="1"/>
  <c r="G12" i="2" s="1"/>
  <c r="AN12" i="1"/>
  <c r="F12" i="1"/>
  <c r="D12" i="2" s="1"/>
  <c r="AS11" i="1"/>
  <c r="G11" i="2" s="1"/>
  <c r="AN11" i="1"/>
  <c r="F11" i="1"/>
  <c r="D11" i="2" s="1"/>
  <c r="AS10" i="1"/>
  <c r="G10" i="2" s="1"/>
  <c r="AN10" i="1"/>
  <c r="F10" i="1"/>
  <c r="D10" i="2" s="1"/>
  <c r="AS9" i="1"/>
  <c r="G9" i="2" s="1"/>
  <c r="AN9" i="1"/>
  <c r="F9" i="1"/>
  <c r="D9" i="2" s="1"/>
  <c r="AS8" i="1"/>
  <c r="G8" i="2" s="1"/>
  <c r="AN8" i="1"/>
  <c r="F8" i="1"/>
  <c r="D8" i="2" s="1"/>
  <c r="AS7" i="1"/>
  <c r="G7" i="2" s="1"/>
  <c r="AN7" i="1"/>
  <c r="F7" i="1"/>
  <c r="D7" i="2" s="1"/>
  <c r="AS6" i="1"/>
  <c r="G6" i="2" s="1"/>
  <c r="AN6" i="1"/>
  <c r="F6" i="1"/>
  <c r="D6" i="2" s="1"/>
  <c r="AS5" i="1"/>
  <c r="G5" i="2" s="1"/>
  <c r="AN5" i="1"/>
  <c r="F5" i="1"/>
  <c r="D5" i="2" s="1"/>
  <c r="AS4" i="1"/>
  <c r="G4" i="2" s="1"/>
  <c r="AN4" i="1"/>
  <c r="F4" i="1"/>
  <c r="D4" i="2" s="1"/>
  <c r="AS3" i="1"/>
  <c r="G3" i="2" s="1"/>
  <c r="AN3" i="1"/>
  <c r="F3" i="1"/>
  <c r="D3" i="2" s="1"/>
  <c r="AS2" i="1"/>
  <c r="G2" i="2" s="1"/>
  <c r="AN2" i="1"/>
  <c r="F2" i="1"/>
  <c r="D2" i="2" s="1"/>
  <c r="AO301" i="3"/>
  <c r="AN301" i="3"/>
  <c r="AP301" i="3" s="1"/>
  <c r="AJ301" i="3"/>
  <c r="AK301" i="3" s="1"/>
  <c r="AI301" i="3"/>
  <c r="V301" i="3"/>
  <c r="U301" i="3"/>
  <c r="G301" i="3"/>
  <c r="C301" i="3"/>
  <c r="B301" i="3"/>
  <c r="A301" i="3"/>
  <c r="AP300" i="3"/>
  <c r="AO300" i="3"/>
  <c r="AN300" i="3"/>
  <c r="AI300" i="3"/>
  <c r="V300" i="3"/>
  <c r="U300" i="3"/>
  <c r="AJ300" i="3" s="1"/>
  <c r="AK300" i="3" s="1"/>
  <c r="G300" i="3"/>
  <c r="C300" i="3"/>
  <c r="B300" i="3"/>
  <c r="A300" i="3"/>
  <c r="AO299" i="3"/>
  <c r="AN299" i="3"/>
  <c r="AP299" i="3" s="1"/>
  <c r="AI299" i="3"/>
  <c r="AJ299" i="3" s="1"/>
  <c r="AK299" i="3" s="1"/>
  <c r="V299" i="3"/>
  <c r="U299" i="3"/>
  <c r="G299" i="3"/>
  <c r="C299" i="3"/>
  <c r="B299" i="3"/>
  <c r="A299" i="3"/>
  <c r="AO298" i="3"/>
  <c r="AN298" i="3"/>
  <c r="AP298" i="3" s="1"/>
  <c r="AI298" i="3"/>
  <c r="U298" i="3"/>
  <c r="AJ298" i="3" s="1"/>
  <c r="AK298" i="3" s="1"/>
  <c r="G298" i="3"/>
  <c r="C298" i="3"/>
  <c r="B298" i="3"/>
  <c r="A298" i="3"/>
  <c r="AO297" i="3"/>
  <c r="AK297" i="3"/>
  <c r="AJ297" i="3"/>
  <c r="AI297" i="3"/>
  <c r="V297" i="3"/>
  <c r="U297" i="3"/>
  <c r="G297" i="3"/>
  <c r="AN297" i="3" s="1"/>
  <c r="AP297" i="3" s="1"/>
  <c r="C297" i="3"/>
  <c r="B297" i="3"/>
  <c r="A297" i="3"/>
  <c r="AO296" i="3"/>
  <c r="AN296" i="3"/>
  <c r="AP296" i="3" s="1"/>
  <c r="AJ296" i="3"/>
  <c r="AK296" i="3" s="1"/>
  <c r="AI296" i="3"/>
  <c r="U296" i="3"/>
  <c r="V296" i="3" s="1"/>
  <c r="G296" i="3"/>
  <c r="C296" i="3"/>
  <c r="B296" i="3"/>
  <c r="A296" i="3"/>
  <c r="AP295" i="3"/>
  <c r="AO295" i="3"/>
  <c r="AJ295" i="3"/>
  <c r="AK295" i="3" s="1"/>
  <c r="AI295" i="3"/>
  <c r="V295" i="3"/>
  <c r="U295" i="3"/>
  <c r="G295" i="3"/>
  <c r="AN295" i="3" s="1"/>
  <c r="C295" i="3"/>
  <c r="B295" i="3"/>
  <c r="A295" i="3"/>
  <c r="AO294" i="3"/>
  <c r="AI294" i="3"/>
  <c r="AJ294" i="3" s="1"/>
  <c r="AK294" i="3" s="1"/>
  <c r="V294" i="3"/>
  <c r="U294" i="3"/>
  <c r="G294" i="3"/>
  <c r="AN294" i="3" s="1"/>
  <c r="AP294" i="3" s="1"/>
  <c r="C294" i="3"/>
  <c r="B294" i="3"/>
  <c r="A294" i="3"/>
  <c r="AO293" i="3"/>
  <c r="AI293" i="3"/>
  <c r="AJ293" i="3" s="1"/>
  <c r="AK293" i="3" s="1"/>
  <c r="V293" i="3"/>
  <c r="U293" i="3"/>
  <c r="G293" i="3"/>
  <c r="AN293" i="3" s="1"/>
  <c r="AP293" i="3" s="1"/>
  <c r="C293" i="3"/>
  <c r="B293" i="3"/>
  <c r="A293" i="3"/>
  <c r="AO292" i="3"/>
  <c r="AN292" i="3"/>
  <c r="AP292" i="3" s="1"/>
  <c r="AI292" i="3"/>
  <c r="V292" i="3"/>
  <c r="U292" i="3"/>
  <c r="AJ292" i="3" s="1"/>
  <c r="AK292" i="3" s="1"/>
  <c r="G292" i="3"/>
  <c r="C292" i="3"/>
  <c r="B292" i="3"/>
  <c r="A292" i="3"/>
  <c r="AO291" i="3"/>
  <c r="AN291" i="3"/>
  <c r="AP291" i="3" s="1"/>
  <c r="AI291" i="3"/>
  <c r="AJ291" i="3" s="1"/>
  <c r="AK291" i="3" s="1"/>
  <c r="V291" i="3"/>
  <c r="U291" i="3"/>
  <c r="G291" i="3"/>
  <c r="C291" i="3"/>
  <c r="B291" i="3"/>
  <c r="A291" i="3"/>
  <c r="AO290" i="3"/>
  <c r="AN290" i="3"/>
  <c r="AP290" i="3" s="1"/>
  <c r="AI290" i="3"/>
  <c r="U290" i="3"/>
  <c r="AJ290" i="3" s="1"/>
  <c r="AK290" i="3" s="1"/>
  <c r="G290" i="3"/>
  <c r="C290" i="3"/>
  <c r="B290" i="3"/>
  <c r="A290" i="3"/>
  <c r="AO289" i="3"/>
  <c r="AN289" i="3"/>
  <c r="AP289" i="3" s="1"/>
  <c r="AK289" i="3"/>
  <c r="AJ289" i="3"/>
  <c r="AI289" i="3"/>
  <c r="V289" i="3"/>
  <c r="U289" i="3"/>
  <c r="G289" i="3"/>
  <c r="C289" i="3"/>
  <c r="B289" i="3"/>
  <c r="A289" i="3"/>
  <c r="AO288" i="3"/>
  <c r="AI288" i="3"/>
  <c r="U288" i="3"/>
  <c r="G288" i="3"/>
  <c r="AN288" i="3" s="1"/>
  <c r="AP288" i="3" s="1"/>
  <c r="C288" i="3"/>
  <c r="B288" i="3"/>
  <c r="A288" i="3"/>
  <c r="AO287" i="3"/>
  <c r="AK287" i="3"/>
  <c r="AJ287" i="3"/>
  <c r="AI287" i="3"/>
  <c r="V287" i="3"/>
  <c r="U287" i="3"/>
  <c r="G287" i="3"/>
  <c r="AN287" i="3" s="1"/>
  <c r="AP287" i="3" s="1"/>
  <c r="C287" i="3"/>
  <c r="B287" i="3"/>
  <c r="A287" i="3"/>
  <c r="AO286" i="3"/>
  <c r="AI286" i="3"/>
  <c r="AJ286" i="3" s="1"/>
  <c r="AK286" i="3" s="1"/>
  <c r="V286" i="3"/>
  <c r="U286" i="3"/>
  <c r="G286" i="3"/>
  <c r="AN286" i="3" s="1"/>
  <c r="AP286" i="3" s="1"/>
  <c r="C286" i="3"/>
  <c r="B286" i="3"/>
  <c r="A286" i="3"/>
  <c r="AO285" i="3"/>
  <c r="AN285" i="3"/>
  <c r="AP285" i="3" s="1"/>
  <c r="AI285" i="3"/>
  <c r="AJ285" i="3" s="1"/>
  <c r="AK285" i="3" s="1"/>
  <c r="V285" i="3"/>
  <c r="U285" i="3"/>
  <c r="G285" i="3"/>
  <c r="C285" i="3"/>
  <c r="B285" i="3"/>
  <c r="A285" i="3"/>
  <c r="AO284" i="3"/>
  <c r="AP284" i="3" s="1"/>
  <c r="AN284" i="3"/>
  <c r="AI284" i="3"/>
  <c r="V284" i="3"/>
  <c r="U284" i="3"/>
  <c r="AJ284" i="3" s="1"/>
  <c r="AK284" i="3" s="1"/>
  <c r="G284" i="3"/>
  <c r="C284" i="3"/>
  <c r="B284" i="3"/>
  <c r="A284" i="3"/>
  <c r="AO283" i="3"/>
  <c r="AN283" i="3"/>
  <c r="AP283" i="3" s="1"/>
  <c r="AI283" i="3"/>
  <c r="AJ283" i="3" s="1"/>
  <c r="AK283" i="3" s="1"/>
  <c r="V283" i="3"/>
  <c r="U283" i="3"/>
  <c r="G283" i="3"/>
  <c r="C283" i="3"/>
  <c r="B283" i="3"/>
  <c r="A283" i="3"/>
  <c r="AO282" i="3"/>
  <c r="AN282" i="3"/>
  <c r="AP282" i="3" s="1"/>
  <c r="AI282" i="3"/>
  <c r="U282" i="3"/>
  <c r="AJ282" i="3" s="1"/>
  <c r="AK282" i="3" s="1"/>
  <c r="G282" i="3"/>
  <c r="C282" i="3"/>
  <c r="B282" i="3"/>
  <c r="A282" i="3"/>
  <c r="AO281" i="3"/>
  <c r="AK281" i="3"/>
  <c r="AJ281" i="3"/>
  <c r="AI281" i="3"/>
  <c r="V281" i="3"/>
  <c r="U281" i="3"/>
  <c r="G281" i="3"/>
  <c r="AN281" i="3" s="1"/>
  <c r="AP281" i="3" s="1"/>
  <c r="C281" i="3"/>
  <c r="B281" i="3"/>
  <c r="A281" i="3"/>
  <c r="AO280" i="3"/>
  <c r="AN280" i="3"/>
  <c r="AP280" i="3" s="1"/>
  <c r="AJ280" i="3"/>
  <c r="AK280" i="3" s="1"/>
  <c r="AI280" i="3"/>
  <c r="U280" i="3"/>
  <c r="V280" i="3" s="1"/>
  <c r="G280" i="3"/>
  <c r="C280" i="3"/>
  <c r="B280" i="3"/>
  <c r="A280" i="3"/>
  <c r="AP279" i="3"/>
  <c r="AO279" i="3"/>
  <c r="AJ279" i="3"/>
  <c r="AK279" i="3" s="1"/>
  <c r="AI279" i="3"/>
  <c r="V279" i="3"/>
  <c r="U279" i="3"/>
  <c r="G279" i="3"/>
  <c r="AN279" i="3" s="1"/>
  <c r="C279" i="3"/>
  <c r="B279" i="3"/>
  <c r="A279" i="3"/>
  <c r="AO278" i="3"/>
  <c r="AI278" i="3"/>
  <c r="AJ278" i="3" s="1"/>
  <c r="AK278" i="3" s="1"/>
  <c r="V278" i="3"/>
  <c r="U278" i="3"/>
  <c r="G278" i="3"/>
  <c r="AN278" i="3" s="1"/>
  <c r="AP278" i="3" s="1"/>
  <c r="C278" i="3"/>
  <c r="B278" i="3"/>
  <c r="A278" i="3"/>
  <c r="AO277" i="3"/>
  <c r="AI277" i="3"/>
  <c r="AJ277" i="3" s="1"/>
  <c r="AK277" i="3" s="1"/>
  <c r="V277" i="3"/>
  <c r="U277" i="3"/>
  <c r="G277" i="3"/>
  <c r="AN277" i="3" s="1"/>
  <c r="AP277" i="3" s="1"/>
  <c r="C277" i="3"/>
  <c r="B277" i="3"/>
  <c r="A277" i="3"/>
  <c r="AO276" i="3"/>
  <c r="AN276" i="3"/>
  <c r="AP276" i="3" s="1"/>
  <c r="AI276" i="3"/>
  <c r="V276" i="3"/>
  <c r="U276" i="3"/>
  <c r="AJ276" i="3" s="1"/>
  <c r="AK276" i="3" s="1"/>
  <c r="G276" i="3"/>
  <c r="C276" i="3"/>
  <c r="B276" i="3"/>
  <c r="A276" i="3"/>
  <c r="AO275" i="3"/>
  <c r="AN275" i="3"/>
  <c r="AP275" i="3" s="1"/>
  <c r="AI275" i="3"/>
  <c r="AJ275" i="3" s="1"/>
  <c r="AK275" i="3" s="1"/>
  <c r="V275" i="3"/>
  <c r="U275" i="3"/>
  <c r="G275" i="3"/>
  <c r="C275" i="3"/>
  <c r="B275" i="3"/>
  <c r="A275" i="3"/>
  <c r="AO274" i="3"/>
  <c r="AN274" i="3"/>
  <c r="AP274" i="3" s="1"/>
  <c r="AI274" i="3"/>
  <c r="U274" i="3"/>
  <c r="AJ274" i="3" s="1"/>
  <c r="AK274" i="3" s="1"/>
  <c r="G274" i="3"/>
  <c r="C274" i="3"/>
  <c r="B274" i="3"/>
  <c r="A274" i="3"/>
  <c r="AO273" i="3"/>
  <c r="AN273" i="3"/>
  <c r="AP273" i="3" s="1"/>
  <c r="AK273" i="3"/>
  <c r="AJ273" i="3"/>
  <c r="AI273" i="3"/>
  <c r="V273" i="3"/>
  <c r="U273" i="3"/>
  <c r="G273" i="3"/>
  <c r="C273" i="3"/>
  <c r="B273" i="3"/>
  <c r="A273" i="3"/>
  <c r="AO272" i="3"/>
  <c r="AI272" i="3"/>
  <c r="U272" i="3"/>
  <c r="G272" i="3"/>
  <c r="AN272" i="3" s="1"/>
  <c r="AP272" i="3" s="1"/>
  <c r="C272" i="3"/>
  <c r="B272" i="3"/>
  <c r="A272" i="3"/>
  <c r="AO271" i="3"/>
  <c r="AJ271" i="3"/>
  <c r="AK271" i="3" s="1"/>
  <c r="AI271" i="3"/>
  <c r="V271" i="3"/>
  <c r="U271" i="3"/>
  <c r="G271" i="3"/>
  <c r="AN271" i="3" s="1"/>
  <c r="AP271" i="3" s="1"/>
  <c r="C271" i="3"/>
  <c r="B271" i="3"/>
  <c r="A271" i="3"/>
  <c r="AO270" i="3"/>
  <c r="AI270" i="3"/>
  <c r="AJ270" i="3" s="1"/>
  <c r="AK270" i="3" s="1"/>
  <c r="V270" i="3"/>
  <c r="U270" i="3"/>
  <c r="G270" i="3"/>
  <c r="AN270" i="3" s="1"/>
  <c r="AP270" i="3" s="1"/>
  <c r="C270" i="3"/>
  <c r="B270" i="3"/>
  <c r="A270" i="3"/>
  <c r="AO269" i="3"/>
  <c r="AN269" i="3"/>
  <c r="AP269" i="3" s="1"/>
  <c r="AJ269" i="3"/>
  <c r="AK269" i="3" s="1"/>
  <c r="AI269" i="3"/>
  <c r="V269" i="3"/>
  <c r="U269" i="3"/>
  <c r="G269" i="3"/>
  <c r="C269" i="3"/>
  <c r="B269" i="3"/>
  <c r="A269" i="3"/>
  <c r="AP268" i="3"/>
  <c r="AO268" i="3"/>
  <c r="AN268" i="3"/>
  <c r="AI268" i="3"/>
  <c r="V268" i="3"/>
  <c r="U268" i="3"/>
  <c r="AJ268" i="3" s="1"/>
  <c r="AK268" i="3" s="1"/>
  <c r="G268" i="3"/>
  <c r="C268" i="3"/>
  <c r="B268" i="3"/>
  <c r="A268" i="3"/>
  <c r="AO267" i="3"/>
  <c r="AN267" i="3"/>
  <c r="AP267" i="3" s="1"/>
  <c r="AI267" i="3"/>
  <c r="AJ267" i="3" s="1"/>
  <c r="AK267" i="3" s="1"/>
  <c r="V267" i="3"/>
  <c r="U267" i="3"/>
  <c r="G267" i="3"/>
  <c r="C267" i="3"/>
  <c r="B267" i="3"/>
  <c r="A267" i="3"/>
  <c r="AO266" i="3"/>
  <c r="AN266" i="3"/>
  <c r="AP266" i="3" s="1"/>
  <c r="AI266" i="3"/>
  <c r="U266" i="3"/>
  <c r="AJ266" i="3" s="1"/>
  <c r="AK266" i="3" s="1"/>
  <c r="G266" i="3"/>
  <c r="C266" i="3"/>
  <c r="B266" i="3"/>
  <c r="A266" i="3"/>
  <c r="AO265" i="3"/>
  <c r="AK265" i="3"/>
  <c r="AJ265" i="3"/>
  <c r="AI265" i="3"/>
  <c r="V265" i="3"/>
  <c r="U265" i="3"/>
  <c r="G265" i="3"/>
  <c r="AN265" i="3" s="1"/>
  <c r="AP265" i="3" s="1"/>
  <c r="C265" i="3"/>
  <c r="B265" i="3"/>
  <c r="A265" i="3"/>
  <c r="AO264" i="3"/>
  <c r="AN264" i="3"/>
  <c r="AP264" i="3" s="1"/>
  <c r="AJ264" i="3"/>
  <c r="AK264" i="3" s="1"/>
  <c r="AI264" i="3"/>
  <c r="U264" i="3"/>
  <c r="V264" i="3" s="1"/>
  <c r="G264" i="3"/>
  <c r="C264" i="3"/>
  <c r="B264" i="3"/>
  <c r="A264" i="3"/>
  <c r="AP263" i="3"/>
  <c r="AO263" i="3"/>
  <c r="AJ263" i="3"/>
  <c r="AK263" i="3" s="1"/>
  <c r="AI263" i="3"/>
  <c r="V263" i="3"/>
  <c r="U263" i="3"/>
  <c r="G263" i="3"/>
  <c r="AN263" i="3" s="1"/>
  <c r="C263" i="3"/>
  <c r="B263" i="3"/>
  <c r="A263" i="3"/>
  <c r="AO262" i="3"/>
  <c r="AI262" i="3"/>
  <c r="AJ262" i="3" s="1"/>
  <c r="AK262" i="3" s="1"/>
  <c r="V262" i="3"/>
  <c r="U262" i="3"/>
  <c r="G262" i="3"/>
  <c r="AN262" i="3" s="1"/>
  <c r="AP262" i="3" s="1"/>
  <c r="C262" i="3"/>
  <c r="B262" i="3"/>
  <c r="A262" i="3"/>
  <c r="AO261" i="3"/>
  <c r="AI261" i="3"/>
  <c r="AJ261" i="3" s="1"/>
  <c r="AK261" i="3" s="1"/>
  <c r="V261" i="3"/>
  <c r="U261" i="3"/>
  <c r="G261" i="3"/>
  <c r="AN261" i="3" s="1"/>
  <c r="AP261" i="3" s="1"/>
  <c r="C261" i="3"/>
  <c r="B261" i="3"/>
  <c r="A261" i="3"/>
  <c r="AO260" i="3"/>
  <c r="AN260" i="3"/>
  <c r="AP260" i="3" s="1"/>
  <c r="AI260" i="3"/>
  <c r="V260" i="3"/>
  <c r="U260" i="3"/>
  <c r="AJ260" i="3" s="1"/>
  <c r="AK260" i="3" s="1"/>
  <c r="G260" i="3"/>
  <c r="C260" i="3"/>
  <c r="B260" i="3"/>
  <c r="A260" i="3"/>
  <c r="AO259" i="3"/>
  <c r="AN259" i="3"/>
  <c r="AP259" i="3" s="1"/>
  <c r="AI259" i="3"/>
  <c r="AJ259" i="3" s="1"/>
  <c r="AK259" i="3" s="1"/>
  <c r="V259" i="3"/>
  <c r="U259" i="3"/>
  <c r="G259" i="3"/>
  <c r="C259" i="3"/>
  <c r="B259" i="3"/>
  <c r="A259" i="3"/>
  <c r="AO258" i="3"/>
  <c r="AN258" i="3"/>
  <c r="AP258" i="3" s="1"/>
  <c r="AI258" i="3"/>
  <c r="U258" i="3"/>
  <c r="AJ258" i="3" s="1"/>
  <c r="AK258" i="3" s="1"/>
  <c r="G258" i="3"/>
  <c r="C258" i="3"/>
  <c r="B258" i="3"/>
  <c r="A258" i="3"/>
  <c r="AO257" i="3"/>
  <c r="AN257" i="3"/>
  <c r="AP257" i="3" s="1"/>
  <c r="AK257" i="3"/>
  <c r="AJ257" i="3"/>
  <c r="AI257" i="3"/>
  <c r="V257" i="3"/>
  <c r="U257" i="3"/>
  <c r="G257" i="3"/>
  <c r="C257" i="3"/>
  <c r="B257" i="3"/>
  <c r="A257" i="3"/>
  <c r="AO256" i="3"/>
  <c r="AI256" i="3"/>
  <c r="U256" i="3"/>
  <c r="G256" i="3"/>
  <c r="AN256" i="3" s="1"/>
  <c r="AP256" i="3" s="1"/>
  <c r="C256" i="3"/>
  <c r="B256" i="3"/>
  <c r="A256" i="3"/>
  <c r="AO255" i="3"/>
  <c r="AK255" i="3"/>
  <c r="AJ255" i="3"/>
  <c r="AI255" i="3"/>
  <c r="V255" i="3"/>
  <c r="U255" i="3"/>
  <c r="G255" i="3"/>
  <c r="AN255" i="3" s="1"/>
  <c r="AP255" i="3" s="1"/>
  <c r="C255" i="3"/>
  <c r="B255" i="3"/>
  <c r="A255" i="3"/>
  <c r="AO254" i="3"/>
  <c r="AI254" i="3"/>
  <c r="AJ254" i="3" s="1"/>
  <c r="AK254" i="3" s="1"/>
  <c r="V254" i="3"/>
  <c r="U254" i="3"/>
  <c r="G254" i="3"/>
  <c r="AN254" i="3" s="1"/>
  <c r="AP254" i="3" s="1"/>
  <c r="C254" i="3"/>
  <c r="B254" i="3"/>
  <c r="A254" i="3"/>
  <c r="AO253" i="3"/>
  <c r="AN253" i="3"/>
  <c r="AP253" i="3" s="1"/>
  <c r="AI253" i="3"/>
  <c r="AJ253" i="3" s="1"/>
  <c r="AK253" i="3" s="1"/>
  <c r="V253" i="3"/>
  <c r="U253" i="3"/>
  <c r="G253" i="3"/>
  <c r="C253" i="3"/>
  <c r="B253" i="3"/>
  <c r="A253" i="3"/>
  <c r="AO252" i="3"/>
  <c r="AP252" i="3" s="1"/>
  <c r="AN252" i="3"/>
  <c r="AI252" i="3"/>
  <c r="V252" i="3"/>
  <c r="U252" i="3"/>
  <c r="AJ252" i="3" s="1"/>
  <c r="AK252" i="3" s="1"/>
  <c r="G252" i="3"/>
  <c r="C252" i="3"/>
  <c r="B252" i="3"/>
  <c r="A252" i="3"/>
  <c r="AO251" i="3"/>
  <c r="AN251" i="3"/>
  <c r="AP251" i="3" s="1"/>
  <c r="AI251" i="3"/>
  <c r="V251" i="3"/>
  <c r="U251" i="3"/>
  <c r="AJ251" i="3" s="1"/>
  <c r="AK251" i="3" s="1"/>
  <c r="G251" i="3"/>
  <c r="C251" i="3"/>
  <c r="B251" i="3"/>
  <c r="A251" i="3"/>
  <c r="AO250" i="3"/>
  <c r="AN250" i="3"/>
  <c r="AP250" i="3" s="1"/>
  <c r="AI250" i="3"/>
  <c r="V250" i="3"/>
  <c r="U250" i="3"/>
  <c r="AJ250" i="3" s="1"/>
  <c r="AK250" i="3" s="1"/>
  <c r="G250" i="3"/>
  <c r="C250" i="3"/>
  <c r="B250" i="3"/>
  <c r="A250" i="3"/>
  <c r="AO249" i="3"/>
  <c r="AN249" i="3"/>
  <c r="AP249" i="3" s="1"/>
  <c r="AI249" i="3"/>
  <c r="V249" i="3"/>
  <c r="U249" i="3"/>
  <c r="G249" i="3"/>
  <c r="C249" i="3"/>
  <c r="B249" i="3"/>
  <c r="A249" i="3"/>
  <c r="AO248" i="3"/>
  <c r="AN248" i="3"/>
  <c r="AP248" i="3" s="1"/>
  <c r="AI248" i="3"/>
  <c r="V248" i="3"/>
  <c r="U248" i="3"/>
  <c r="AJ248" i="3" s="1"/>
  <c r="AK248" i="3" s="1"/>
  <c r="G248" i="3"/>
  <c r="C248" i="3"/>
  <c r="B248" i="3"/>
  <c r="A248" i="3"/>
  <c r="AO247" i="3"/>
  <c r="AN247" i="3"/>
  <c r="AP247" i="3" s="1"/>
  <c r="AI247" i="3"/>
  <c r="V247" i="3"/>
  <c r="U247" i="3"/>
  <c r="AJ247" i="3" s="1"/>
  <c r="AK247" i="3" s="1"/>
  <c r="G247" i="3"/>
  <c r="C247" i="3"/>
  <c r="B247" i="3"/>
  <c r="A247" i="3"/>
  <c r="AO246" i="3"/>
  <c r="AN246" i="3"/>
  <c r="AP246" i="3" s="1"/>
  <c r="AI246" i="3"/>
  <c r="V246" i="3"/>
  <c r="U246" i="3"/>
  <c r="AJ246" i="3" s="1"/>
  <c r="AK246" i="3" s="1"/>
  <c r="G246" i="3"/>
  <c r="C246" i="3"/>
  <c r="B246" i="3"/>
  <c r="A246" i="3"/>
  <c r="AO245" i="3"/>
  <c r="AN245" i="3"/>
  <c r="AP245" i="3" s="1"/>
  <c r="AI245" i="3"/>
  <c r="V245" i="3"/>
  <c r="U245" i="3"/>
  <c r="G245" i="3"/>
  <c r="C245" i="3"/>
  <c r="B245" i="3"/>
  <c r="A245" i="3"/>
  <c r="AO244" i="3"/>
  <c r="AN244" i="3"/>
  <c r="AP244" i="3" s="1"/>
  <c r="AI244" i="3"/>
  <c r="V244" i="3"/>
  <c r="U244" i="3"/>
  <c r="AJ244" i="3" s="1"/>
  <c r="AK244" i="3" s="1"/>
  <c r="G244" i="3"/>
  <c r="C244" i="3"/>
  <c r="B244" i="3"/>
  <c r="A244" i="3"/>
  <c r="AO243" i="3"/>
  <c r="AN243" i="3"/>
  <c r="AP243" i="3" s="1"/>
  <c r="AI243" i="3"/>
  <c r="V243" i="3"/>
  <c r="U243" i="3"/>
  <c r="AJ243" i="3" s="1"/>
  <c r="AK243" i="3" s="1"/>
  <c r="G243" i="3"/>
  <c r="C243" i="3"/>
  <c r="B243" i="3"/>
  <c r="A243" i="3"/>
  <c r="AO242" i="3"/>
  <c r="AN242" i="3"/>
  <c r="AP242" i="3" s="1"/>
  <c r="AI242" i="3"/>
  <c r="V242" i="3"/>
  <c r="U242" i="3"/>
  <c r="AJ242" i="3" s="1"/>
  <c r="AK242" i="3" s="1"/>
  <c r="G242" i="3"/>
  <c r="C242" i="3"/>
  <c r="B242" i="3"/>
  <c r="A242" i="3"/>
  <c r="AO241" i="3"/>
  <c r="AN241" i="3"/>
  <c r="AP241" i="3" s="1"/>
  <c r="AI241" i="3"/>
  <c r="V241" i="3"/>
  <c r="U241" i="3"/>
  <c r="G241" i="3"/>
  <c r="C241" i="3"/>
  <c r="B241" i="3"/>
  <c r="A241" i="3"/>
  <c r="AO240" i="3"/>
  <c r="AN240" i="3"/>
  <c r="AP240" i="3" s="1"/>
  <c r="AI240" i="3"/>
  <c r="V240" i="3"/>
  <c r="U240" i="3"/>
  <c r="AJ240" i="3" s="1"/>
  <c r="AK240" i="3" s="1"/>
  <c r="G240" i="3"/>
  <c r="C240" i="3"/>
  <c r="B240" i="3"/>
  <c r="A240" i="3"/>
  <c r="AO239" i="3"/>
  <c r="AN239" i="3"/>
  <c r="AP239" i="3" s="1"/>
  <c r="AI239" i="3"/>
  <c r="V239" i="3"/>
  <c r="U239" i="3"/>
  <c r="AJ239" i="3" s="1"/>
  <c r="AK239" i="3" s="1"/>
  <c r="G239" i="3"/>
  <c r="C239" i="3"/>
  <c r="B239" i="3"/>
  <c r="A239" i="3"/>
  <c r="AO238" i="3"/>
  <c r="AN238" i="3"/>
  <c r="AP238" i="3" s="1"/>
  <c r="AI238" i="3"/>
  <c r="V238" i="3"/>
  <c r="U238" i="3"/>
  <c r="AJ238" i="3" s="1"/>
  <c r="AK238" i="3" s="1"/>
  <c r="G238" i="3"/>
  <c r="C238" i="3"/>
  <c r="B238" i="3"/>
  <c r="A238" i="3"/>
  <c r="AO237" i="3"/>
  <c r="AN237" i="3"/>
  <c r="AP237" i="3" s="1"/>
  <c r="AI237" i="3"/>
  <c r="V237" i="3"/>
  <c r="U237" i="3"/>
  <c r="G237" i="3"/>
  <c r="C237" i="3"/>
  <c r="B237" i="3"/>
  <c r="A237" i="3"/>
  <c r="AO236" i="3"/>
  <c r="AN236" i="3"/>
  <c r="AP236" i="3" s="1"/>
  <c r="AI236" i="3"/>
  <c r="V236" i="3"/>
  <c r="U236" i="3"/>
  <c r="AJ236" i="3" s="1"/>
  <c r="AK236" i="3" s="1"/>
  <c r="G236" i="3"/>
  <c r="C236" i="3"/>
  <c r="B236" i="3"/>
  <c r="A236" i="3"/>
  <c r="AO235" i="3"/>
  <c r="AN235" i="3"/>
  <c r="AP235" i="3" s="1"/>
  <c r="AI235" i="3"/>
  <c r="V235" i="3"/>
  <c r="U235" i="3"/>
  <c r="AJ235" i="3" s="1"/>
  <c r="AK235" i="3" s="1"/>
  <c r="G235" i="3"/>
  <c r="C235" i="3"/>
  <c r="B235" i="3"/>
  <c r="A235" i="3"/>
  <c r="AO234" i="3"/>
  <c r="AN234" i="3"/>
  <c r="AI234" i="3"/>
  <c r="V234" i="3"/>
  <c r="U234" i="3"/>
  <c r="AJ234" i="3" s="1"/>
  <c r="AK234" i="3" s="1"/>
  <c r="G234" i="3"/>
  <c r="C234" i="3"/>
  <c r="B234" i="3"/>
  <c r="A234" i="3"/>
  <c r="AO233" i="3"/>
  <c r="AN233" i="3"/>
  <c r="AP233" i="3" s="1"/>
  <c r="AI233" i="3"/>
  <c r="V233" i="3"/>
  <c r="U233" i="3"/>
  <c r="G233" i="3"/>
  <c r="C233" i="3"/>
  <c r="B233" i="3"/>
  <c r="A233" i="3"/>
  <c r="AO232" i="3"/>
  <c r="AN232" i="3"/>
  <c r="AP232" i="3" s="1"/>
  <c r="AI232" i="3"/>
  <c r="U232" i="3"/>
  <c r="AJ232" i="3" s="1"/>
  <c r="AK232" i="3" s="1"/>
  <c r="G232" i="3"/>
  <c r="C232" i="3"/>
  <c r="B232" i="3"/>
  <c r="A232" i="3"/>
  <c r="AO231" i="3"/>
  <c r="AN231" i="3"/>
  <c r="AP231" i="3" s="1"/>
  <c r="AI231" i="3"/>
  <c r="V231" i="3"/>
  <c r="U231" i="3"/>
  <c r="AJ231" i="3" s="1"/>
  <c r="AK231" i="3" s="1"/>
  <c r="G231" i="3"/>
  <c r="C231" i="3"/>
  <c r="B231" i="3"/>
  <c r="A231" i="3"/>
  <c r="AO230" i="3"/>
  <c r="AN230" i="3"/>
  <c r="AI230" i="3"/>
  <c r="U230" i="3"/>
  <c r="AJ230" i="3" s="1"/>
  <c r="AK230" i="3" s="1"/>
  <c r="G230" i="3"/>
  <c r="C230" i="3"/>
  <c r="B230" i="3"/>
  <c r="A230" i="3"/>
  <c r="AO229" i="3"/>
  <c r="AN229" i="3"/>
  <c r="AP229" i="3" s="1"/>
  <c r="AI229" i="3"/>
  <c r="V229" i="3"/>
  <c r="U229" i="3"/>
  <c r="AJ229" i="3" s="1"/>
  <c r="AK229" i="3" s="1"/>
  <c r="G229" i="3"/>
  <c r="C229" i="3"/>
  <c r="B229" i="3"/>
  <c r="A229" i="3"/>
  <c r="AO228" i="3"/>
  <c r="AN228" i="3"/>
  <c r="AP228" i="3" s="1"/>
  <c r="AI228" i="3"/>
  <c r="U228" i="3"/>
  <c r="AJ228" i="3" s="1"/>
  <c r="AK228" i="3" s="1"/>
  <c r="G228" i="3"/>
  <c r="C228" i="3"/>
  <c r="B228" i="3"/>
  <c r="A228" i="3"/>
  <c r="AO227" i="3"/>
  <c r="AN227" i="3"/>
  <c r="AP227" i="3" s="1"/>
  <c r="AI227" i="3"/>
  <c r="V227" i="3"/>
  <c r="U227" i="3"/>
  <c r="AJ227" i="3" s="1"/>
  <c r="AK227" i="3" s="1"/>
  <c r="G227" i="3"/>
  <c r="C227" i="3"/>
  <c r="B227" i="3"/>
  <c r="A227" i="3"/>
  <c r="AO226" i="3"/>
  <c r="AN226" i="3"/>
  <c r="AP226" i="3" s="1"/>
  <c r="AI226" i="3"/>
  <c r="U226" i="3"/>
  <c r="AJ226" i="3" s="1"/>
  <c r="AK226" i="3" s="1"/>
  <c r="G226" i="3"/>
  <c r="C226" i="3"/>
  <c r="B226" i="3"/>
  <c r="A226" i="3"/>
  <c r="AO225" i="3"/>
  <c r="AN225" i="3"/>
  <c r="AP225" i="3" s="1"/>
  <c r="AI225" i="3"/>
  <c r="V225" i="3"/>
  <c r="U225" i="3"/>
  <c r="G225" i="3"/>
  <c r="C225" i="3"/>
  <c r="B225" i="3"/>
  <c r="A225" i="3"/>
  <c r="AO224" i="3"/>
  <c r="AN224" i="3"/>
  <c r="AP224" i="3" s="1"/>
  <c r="AI224" i="3"/>
  <c r="U224" i="3"/>
  <c r="AJ224" i="3" s="1"/>
  <c r="AK224" i="3" s="1"/>
  <c r="G224" i="3"/>
  <c r="C224" i="3"/>
  <c r="B224" i="3"/>
  <c r="A224" i="3"/>
  <c r="AO223" i="3"/>
  <c r="AN223" i="3"/>
  <c r="AP223" i="3" s="1"/>
  <c r="AI223" i="3"/>
  <c r="V223" i="3"/>
  <c r="U223" i="3"/>
  <c r="G223" i="3"/>
  <c r="C223" i="3"/>
  <c r="B223" i="3"/>
  <c r="A223" i="3"/>
  <c r="AO222" i="3"/>
  <c r="AN222" i="3"/>
  <c r="AI222" i="3"/>
  <c r="U222" i="3"/>
  <c r="AJ222" i="3" s="1"/>
  <c r="AK222" i="3" s="1"/>
  <c r="G222" i="3"/>
  <c r="C222" i="3"/>
  <c r="B222" i="3"/>
  <c r="A222" i="3"/>
  <c r="AO221" i="3"/>
  <c r="AN221" i="3"/>
  <c r="AP221" i="3" s="1"/>
  <c r="AI221" i="3"/>
  <c r="V221" i="3"/>
  <c r="U221" i="3"/>
  <c r="AJ221" i="3" s="1"/>
  <c r="AK221" i="3" s="1"/>
  <c r="G221" i="3"/>
  <c r="C221" i="3"/>
  <c r="B221" i="3"/>
  <c r="A221" i="3"/>
  <c r="AO220" i="3"/>
  <c r="AN220" i="3"/>
  <c r="AI220" i="3"/>
  <c r="U220" i="3"/>
  <c r="AJ220" i="3" s="1"/>
  <c r="AK220" i="3" s="1"/>
  <c r="G220" i="3"/>
  <c r="C220" i="3"/>
  <c r="B220" i="3"/>
  <c r="A220" i="3"/>
  <c r="AO219" i="3"/>
  <c r="AN219" i="3"/>
  <c r="AP219" i="3" s="1"/>
  <c r="AI219" i="3"/>
  <c r="V219" i="3"/>
  <c r="U219" i="3"/>
  <c r="G219" i="3"/>
  <c r="C219" i="3"/>
  <c r="B219" i="3"/>
  <c r="A219" i="3"/>
  <c r="AO218" i="3"/>
  <c r="AN218" i="3"/>
  <c r="AI218" i="3"/>
  <c r="U218" i="3"/>
  <c r="AJ218" i="3" s="1"/>
  <c r="AK218" i="3" s="1"/>
  <c r="G218" i="3"/>
  <c r="C218" i="3"/>
  <c r="B218" i="3"/>
  <c r="A218" i="3"/>
  <c r="AO217" i="3"/>
  <c r="AN217" i="3"/>
  <c r="AP217" i="3" s="1"/>
  <c r="AI217" i="3"/>
  <c r="V217" i="3"/>
  <c r="U217" i="3"/>
  <c r="G217" i="3"/>
  <c r="C217" i="3"/>
  <c r="B217" i="3"/>
  <c r="A217" i="3"/>
  <c r="AO216" i="3"/>
  <c r="AN216" i="3"/>
  <c r="AP216" i="3" s="1"/>
  <c r="AI216" i="3"/>
  <c r="U216" i="3"/>
  <c r="AJ216" i="3" s="1"/>
  <c r="AK216" i="3" s="1"/>
  <c r="G216" i="3"/>
  <c r="C216" i="3"/>
  <c r="B216" i="3"/>
  <c r="A216" i="3"/>
  <c r="AO215" i="3"/>
  <c r="AN215" i="3"/>
  <c r="AP215" i="3" s="1"/>
  <c r="AI215" i="3"/>
  <c r="V215" i="3"/>
  <c r="U215" i="3"/>
  <c r="AJ215" i="3" s="1"/>
  <c r="AK215" i="3" s="1"/>
  <c r="G215" i="3"/>
  <c r="C215" i="3"/>
  <c r="B215" i="3"/>
  <c r="A215" i="3"/>
  <c r="AO214" i="3"/>
  <c r="AN214" i="3"/>
  <c r="AI214" i="3"/>
  <c r="U214" i="3"/>
  <c r="AJ214" i="3" s="1"/>
  <c r="AK214" i="3" s="1"/>
  <c r="G214" i="3"/>
  <c r="C214" i="3"/>
  <c r="B214" i="3"/>
  <c r="A214" i="3"/>
  <c r="AO213" i="3"/>
  <c r="AN213" i="3"/>
  <c r="AP213" i="3" s="1"/>
  <c r="AI213" i="3"/>
  <c r="V213" i="3"/>
  <c r="U213" i="3"/>
  <c r="AJ213" i="3" s="1"/>
  <c r="AK213" i="3" s="1"/>
  <c r="G213" i="3"/>
  <c r="C213" i="3"/>
  <c r="B213" i="3"/>
  <c r="A213" i="3"/>
  <c r="AO212" i="3"/>
  <c r="AN212" i="3"/>
  <c r="AP212" i="3" s="1"/>
  <c r="AI212" i="3"/>
  <c r="U212" i="3"/>
  <c r="AJ212" i="3" s="1"/>
  <c r="AK212" i="3" s="1"/>
  <c r="G212" i="3"/>
  <c r="C212" i="3"/>
  <c r="B212" i="3"/>
  <c r="A212" i="3"/>
  <c r="AO211" i="3"/>
  <c r="AN211" i="3"/>
  <c r="AP211" i="3" s="1"/>
  <c r="AI211" i="3"/>
  <c r="V211" i="3"/>
  <c r="U211" i="3"/>
  <c r="AJ211" i="3" s="1"/>
  <c r="AK211" i="3" s="1"/>
  <c r="G211" i="3"/>
  <c r="C211" i="3"/>
  <c r="B211" i="3"/>
  <c r="A211" i="3"/>
  <c r="AO210" i="3"/>
  <c r="AN210" i="3"/>
  <c r="AP210" i="3" s="1"/>
  <c r="AI210" i="3"/>
  <c r="U210" i="3"/>
  <c r="AJ210" i="3" s="1"/>
  <c r="AK210" i="3" s="1"/>
  <c r="G210" i="3"/>
  <c r="C210" i="3"/>
  <c r="B210" i="3"/>
  <c r="A210" i="3"/>
  <c r="AO209" i="3"/>
  <c r="AN209" i="3"/>
  <c r="AP209" i="3" s="1"/>
  <c r="AI209" i="3"/>
  <c r="V209" i="3"/>
  <c r="U209" i="3"/>
  <c r="G209" i="3"/>
  <c r="C209" i="3"/>
  <c r="B209" i="3"/>
  <c r="A209" i="3"/>
  <c r="AO208" i="3"/>
  <c r="AN208" i="3"/>
  <c r="AP208" i="3" s="1"/>
  <c r="AI208" i="3"/>
  <c r="U208" i="3"/>
  <c r="G208" i="3"/>
  <c r="C208" i="3"/>
  <c r="B208" i="3"/>
  <c r="A208" i="3"/>
  <c r="AO207" i="3"/>
  <c r="AN207" i="3"/>
  <c r="AP207" i="3" s="1"/>
  <c r="AI207" i="3"/>
  <c r="V207" i="3"/>
  <c r="U207" i="3"/>
  <c r="AJ207" i="3" s="1"/>
  <c r="AK207" i="3" s="1"/>
  <c r="G207" i="3"/>
  <c r="C207" i="3"/>
  <c r="B207" i="3"/>
  <c r="A207" i="3"/>
  <c r="AO206" i="3"/>
  <c r="AN206" i="3"/>
  <c r="AI206" i="3"/>
  <c r="U206" i="3"/>
  <c r="G206" i="3"/>
  <c r="C206" i="3"/>
  <c r="B206" i="3"/>
  <c r="A206" i="3"/>
  <c r="AO205" i="3"/>
  <c r="AN205" i="3"/>
  <c r="AP205" i="3" s="1"/>
  <c r="AI205" i="3"/>
  <c r="V205" i="3"/>
  <c r="U205" i="3"/>
  <c r="G205" i="3"/>
  <c r="C205" i="3"/>
  <c r="B205" i="3"/>
  <c r="A205" i="3"/>
  <c r="AO204" i="3"/>
  <c r="AN204" i="3"/>
  <c r="AP204" i="3" s="1"/>
  <c r="AI204" i="3"/>
  <c r="U204" i="3"/>
  <c r="G204" i="3"/>
  <c r="C204" i="3"/>
  <c r="B204" i="3"/>
  <c r="A204" i="3"/>
  <c r="AO203" i="3"/>
  <c r="AN203" i="3"/>
  <c r="AP203" i="3" s="1"/>
  <c r="AI203" i="3"/>
  <c r="V203" i="3"/>
  <c r="U203" i="3"/>
  <c r="AJ203" i="3" s="1"/>
  <c r="AK203" i="3" s="1"/>
  <c r="G203" i="3"/>
  <c r="C203" i="3"/>
  <c r="B203" i="3"/>
  <c r="A203" i="3"/>
  <c r="AO202" i="3"/>
  <c r="AN202" i="3"/>
  <c r="AP202" i="3" s="1"/>
  <c r="AI202" i="3"/>
  <c r="U202" i="3"/>
  <c r="G202" i="3"/>
  <c r="C202" i="3"/>
  <c r="B202" i="3"/>
  <c r="A202" i="3"/>
  <c r="AO201" i="3"/>
  <c r="G201" i="3"/>
  <c r="AN201" i="3" s="1"/>
  <c r="AP201" i="3" s="1"/>
  <c r="C201" i="3"/>
  <c r="B201" i="3"/>
  <c r="A201" i="3"/>
  <c r="AO200" i="3"/>
  <c r="G200" i="3"/>
  <c r="AN200" i="3" s="1"/>
  <c r="AP200" i="3" s="1"/>
  <c r="C200" i="3"/>
  <c r="B200" i="3"/>
  <c r="A200" i="3"/>
  <c r="AO199" i="3"/>
  <c r="G199" i="3"/>
  <c r="AN199" i="3" s="1"/>
  <c r="AP199" i="3" s="1"/>
  <c r="C199" i="3"/>
  <c r="B199" i="3"/>
  <c r="A199" i="3"/>
  <c r="AO198" i="3"/>
  <c r="AP198" i="3" s="1"/>
  <c r="AN198" i="3"/>
  <c r="G198" i="3"/>
  <c r="C198" i="3"/>
  <c r="B198" i="3"/>
  <c r="A198" i="3"/>
  <c r="AO197" i="3"/>
  <c r="AN197" i="3"/>
  <c r="G197" i="3"/>
  <c r="C197" i="3"/>
  <c r="B197" i="3"/>
  <c r="A197" i="3"/>
  <c r="AO196" i="3"/>
  <c r="AN196" i="3"/>
  <c r="AP196" i="3" s="1"/>
  <c r="G196" i="3"/>
  <c r="C196" i="3"/>
  <c r="B196" i="3"/>
  <c r="A196" i="3"/>
  <c r="AO195" i="3"/>
  <c r="G195" i="3"/>
  <c r="AN195" i="3" s="1"/>
  <c r="C195" i="3"/>
  <c r="B195" i="3"/>
  <c r="A195" i="3"/>
  <c r="AO194" i="3"/>
  <c r="AN194" i="3"/>
  <c r="AP194" i="3" s="1"/>
  <c r="G194" i="3"/>
  <c r="C194" i="3"/>
  <c r="B194" i="3"/>
  <c r="A194" i="3"/>
  <c r="AO193" i="3"/>
  <c r="G193" i="3"/>
  <c r="AN193" i="3" s="1"/>
  <c r="AP193" i="3" s="1"/>
  <c r="C193" i="3"/>
  <c r="B193" i="3"/>
  <c r="A193" i="3"/>
  <c r="AO192" i="3"/>
  <c r="G192" i="3"/>
  <c r="AN192" i="3" s="1"/>
  <c r="AP192" i="3" s="1"/>
  <c r="C192" i="3"/>
  <c r="B192" i="3"/>
  <c r="A192" i="3"/>
  <c r="AO191" i="3"/>
  <c r="G191" i="3"/>
  <c r="AN191" i="3" s="1"/>
  <c r="AP191" i="3" s="1"/>
  <c r="C191" i="3"/>
  <c r="B191" i="3"/>
  <c r="A191" i="3"/>
  <c r="AP190" i="3"/>
  <c r="AO190" i="3"/>
  <c r="AN190" i="3"/>
  <c r="G190" i="3"/>
  <c r="C190" i="3"/>
  <c r="B190" i="3"/>
  <c r="A190" i="3"/>
  <c r="AO189" i="3"/>
  <c r="AN189" i="3"/>
  <c r="AP189" i="3" s="1"/>
  <c r="G189" i="3"/>
  <c r="C189" i="3"/>
  <c r="B189" i="3"/>
  <c r="A189" i="3"/>
  <c r="AO188" i="3"/>
  <c r="G188" i="3"/>
  <c r="AN188" i="3" s="1"/>
  <c r="AP188" i="3" s="1"/>
  <c r="C188" i="3"/>
  <c r="B188" i="3"/>
  <c r="A188" i="3"/>
  <c r="AO187" i="3"/>
  <c r="G187" i="3"/>
  <c r="AN187" i="3" s="1"/>
  <c r="AP187" i="3" s="1"/>
  <c r="C187" i="3"/>
  <c r="B187" i="3"/>
  <c r="A187" i="3"/>
  <c r="AO186" i="3"/>
  <c r="AN186" i="3"/>
  <c r="AP186" i="3" s="1"/>
  <c r="G186" i="3"/>
  <c r="C186" i="3"/>
  <c r="B186" i="3"/>
  <c r="A186" i="3"/>
  <c r="AO185" i="3"/>
  <c r="G185" i="3"/>
  <c r="AN185" i="3" s="1"/>
  <c r="AP185" i="3" s="1"/>
  <c r="C185" i="3"/>
  <c r="B185" i="3"/>
  <c r="A185" i="3"/>
  <c r="AO184" i="3"/>
  <c r="G184" i="3"/>
  <c r="AN184" i="3" s="1"/>
  <c r="AP184" i="3" s="1"/>
  <c r="C184" i="3"/>
  <c r="B184" i="3"/>
  <c r="A184" i="3"/>
  <c r="AO183" i="3"/>
  <c r="G183" i="3"/>
  <c r="AN183" i="3" s="1"/>
  <c r="AP183" i="3" s="1"/>
  <c r="C183" i="3"/>
  <c r="B183" i="3"/>
  <c r="A183" i="3"/>
  <c r="AO182" i="3"/>
  <c r="AP182" i="3" s="1"/>
  <c r="AN182" i="3"/>
  <c r="G182" i="3"/>
  <c r="C182" i="3"/>
  <c r="B182" i="3"/>
  <c r="A182" i="3"/>
  <c r="AO181" i="3"/>
  <c r="AN181" i="3"/>
  <c r="G181" i="3"/>
  <c r="C181" i="3"/>
  <c r="B181" i="3"/>
  <c r="A181" i="3"/>
  <c r="AO180" i="3"/>
  <c r="AN180" i="3"/>
  <c r="AP180" i="3" s="1"/>
  <c r="G180" i="3"/>
  <c r="C180" i="3"/>
  <c r="B180" i="3"/>
  <c r="A180" i="3"/>
  <c r="AO179" i="3"/>
  <c r="G179" i="3"/>
  <c r="AN179" i="3" s="1"/>
  <c r="AP179" i="3" s="1"/>
  <c r="C179" i="3"/>
  <c r="B179" i="3"/>
  <c r="A179" i="3"/>
  <c r="AO178" i="3"/>
  <c r="AN178" i="3"/>
  <c r="AP178" i="3" s="1"/>
  <c r="G178" i="3"/>
  <c r="C178" i="3"/>
  <c r="B178" i="3"/>
  <c r="A178" i="3"/>
  <c r="AO177" i="3"/>
  <c r="G177" i="3"/>
  <c r="AN177" i="3" s="1"/>
  <c r="AP177" i="3" s="1"/>
  <c r="C177" i="3"/>
  <c r="B177" i="3"/>
  <c r="A177" i="3"/>
  <c r="AO176" i="3"/>
  <c r="G176" i="3"/>
  <c r="AN176" i="3" s="1"/>
  <c r="AP176" i="3" s="1"/>
  <c r="C176" i="3"/>
  <c r="B176" i="3"/>
  <c r="A176" i="3"/>
  <c r="AP175" i="3"/>
  <c r="AO175" i="3"/>
  <c r="G175" i="3"/>
  <c r="AN175" i="3" s="1"/>
  <c r="C175" i="3"/>
  <c r="B175" i="3"/>
  <c r="A175" i="3"/>
  <c r="AP174" i="3"/>
  <c r="AO174" i="3"/>
  <c r="AN174" i="3"/>
  <c r="G174" i="3"/>
  <c r="C174" i="3"/>
  <c r="B174" i="3"/>
  <c r="A174" i="3"/>
  <c r="AO173" i="3"/>
  <c r="AN173" i="3"/>
  <c r="AP173" i="3" s="1"/>
  <c r="G173" i="3"/>
  <c r="C173" i="3"/>
  <c r="B173" i="3"/>
  <c r="A173" i="3"/>
  <c r="AO172" i="3"/>
  <c r="G172" i="3"/>
  <c r="AN172" i="3" s="1"/>
  <c r="AP172" i="3" s="1"/>
  <c r="C172" i="3"/>
  <c r="B172" i="3"/>
  <c r="A172" i="3"/>
  <c r="AO171" i="3"/>
  <c r="G171" i="3"/>
  <c r="AN171" i="3" s="1"/>
  <c r="C171" i="3"/>
  <c r="B171" i="3"/>
  <c r="A171" i="3"/>
  <c r="AO170" i="3"/>
  <c r="AN170" i="3"/>
  <c r="AP170" i="3" s="1"/>
  <c r="G170" i="3"/>
  <c r="C170" i="3"/>
  <c r="B170" i="3"/>
  <c r="A170" i="3"/>
  <c r="AO169" i="3"/>
  <c r="G169" i="3"/>
  <c r="AN169" i="3" s="1"/>
  <c r="AP169" i="3" s="1"/>
  <c r="C169" i="3"/>
  <c r="B169" i="3"/>
  <c r="A169" i="3"/>
  <c r="AO168" i="3"/>
  <c r="G168" i="3"/>
  <c r="AN168" i="3" s="1"/>
  <c r="AP168" i="3" s="1"/>
  <c r="C168" i="3"/>
  <c r="B168" i="3"/>
  <c r="A168" i="3"/>
  <c r="AP167" i="3"/>
  <c r="AO167" i="3"/>
  <c r="G167" i="3"/>
  <c r="AN167" i="3" s="1"/>
  <c r="C167" i="3"/>
  <c r="B167" i="3"/>
  <c r="A167" i="3"/>
  <c r="AO166" i="3"/>
  <c r="AP166" i="3" s="1"/>
  <c r="AN166" i="3"/>
  <c r="G166" i="3"/>
  <c r="C166" i="3"/>
  <c r="B166" i="3"/>
  <c r="A166" i="3"/>
  <c r="AO165" i="3"/>
  <c r="AN165" i="3"/>
  <c r="AP165" i="3" s="1"/>
  <c r="G165" i="3"/>
  <c r="C165" i="3"/>
  <c r="B165" i="3"/>
  <c r="A165" i="3"/>
  <c r="AO164" i="3"/>
  <c r="G164" i="3"/>
  <c r="AN164" i="3" s="1"/>
  <c r="AP164" i="3" s="1"/>
  <c r="C164" i="3"/>
  <c r="B164" i="3"/>
  <c r="A164" i="3"/>
  <c r="AO163" i="3"/>
  <c r="G163" i="3"/>
  <c r="AN163" i="3" s="1"/>
  <c r="AP163" i="3" s="1"/>
  <c r="C163" i="3"/>
  <c r="B163" i="3"/>
  <c r="A163" i="3"/>
  <c r="AO162" i="3"/>
  <c r="AN162" i="3"/>
  <c r="AP162" i="3" s="1"/>
  <c r="G162" i="3"/>
  <c r="C162" i="3"/>
  <c r="B162" i="3"/>
  <c r="A162" i="3"/>
  <c r="AO161" i="3"/>
  <c r="G161" i="3"/>
  <c r="AN161" i="3" s="1"/>
  <c r="AP161" i="3" s="1"/>
  <c r="C161" i="3"/>
  <c r="B161" i="3"/>
  <c r="A161" i="3"/>
  <c r="AO160" i="3"/>
  <c r="G160" i="3"/>
  <c r="AN160" i="3" s="1"/>
  <c r="AP160" i="3" s="1"/>
  <c r="C160" i="3"/>
  <c r="B160" i="3"/>
  <c r="A160" i="3"/>
  <c r="AP159" i="3"/>
  <c r="AO159" i="3"/>
  <c r="G159" i="3"/>
  <c r="AN159" i="3" s="1"/>
  <c r="C159" i="3"/>
  <c r="B159" i="3"/>
  <c r="A159" i="3"/>
  <c r="AO158" i="3"/>
  <c r="AP158" i="3" s="1"/>
  <c r="AN158" i="3"/>
  <c r="G158" i="3"/>
  <c r="C158" i="3"/>
  <c r="B158" i="3"/>
  <c r="A158" i="3"/>
  <c r="AO157" i="3"/>
  <c r="AN157" i="3"/>
  <c r="AP157" i="3" s="1"/>
  <c r="G157" i="3"/>
  <c r="C157" i="3"/>
  <c r="B157" i="3"/>
  <c r="A157" i="3"/>
  <c r="AO156" i="3"/>
  <c r="G156" i="3"/>
  <c r="AN156" i="3" s="1"/>
  <c r="AP156" i="3" s="1"/>
  <c r="C156" i="3"/>
  <c r="B156" i="3"/>
  <c r="A156" i="3"/>
  <c r="AO155" i="3"/>
  <c r="G155" i="3"/>
  <c r="AN155" i="3" s="1"/>
  <c r="C155" i="3"/>
  <c r="B155" i="3"/>
  <c r="A155" i="3"/>
  <c r="AO154" i="3"/>
  <c r="AN154" i="3"/>
  <c r="AP154" i="3" s="1"/>
  <c r="G154" i="3"/>
  <c r="C154" i="3"/>
  <c r="B154" i="3"/>
  <c r="A154" i="3"/>
  <c r="AO153" i="3"/>
  <c r="G153" i="3"/>
  <c r="AN153" i="3" s="1"/>
  <c r="AP153" i="3" s="1"/>
  <c r="C153" i="3"/>
  <c r="B153" i="3"/>
  <c r="A153" i="3"/>
  <c r="AO152" i="3"/>
  <c r="G152" i="3"/>
  <c r="AN152" i="3" s="1"/>
  <c r="AP152" i="3" s="1"/>
  <c r="C152" i="3"/>
  <c r="B152" i="3"/>
  <c r="A152" i="3"/>
  <c r="AP151" i="3"/>
  <c r="AO151" i="3"/>
  <c r="G151" i="3"/>
  <c r="AN151" i="3" s="1"/>
  <c r="C151" i="3"/>
  <c r="B151" i="3"/>
  <c r="A151" i="3"/>
  <c r="AO150" i="3"/>
  <c r="AP150" i="3" s="1"/>
  <c r="AN150" i="3"/>
  <c r="G150" i="3"/>
  <c r="C150" i="3"/>
  <c r="B150" i="3"/>
  <c r="A150" i="3"/>
  <c r="AO149" i="3"/>
  <c r="AN149" i="3"/>
  <c r="G149" i="3"/>
  <c r="C149" i="3"/>
  <c r="B149" i="3"/>
  <c r="A149" i="3"/>
  <c r="AP148" i="3"/>
  <c r="AO148" i="3"/>
  <c r="AN148" i="3"/>
  <c r="G148" i="3"/>
  <c r="C148" i="3"/>
  <c r="B148" i="3"/>
  <c r="A148" i="3"/>
  <c r="AO147" i="3"/>
  <c r="G147" i="3"/>
  <c r="AN147" i="3" s="1"/>
  <c r="AP147" i="3" s="1"/>
  <c r="C147" i="3"/>
  <c r="B147" i="3"/>
  <c r="A147" i="3"/>
  <c r="AO146" i="3"/>
  <c r="AN146" i="3"/>
  <c r="AP146" i="3" s="1"/>
  <c r="G146" i="3"/>
  <c r="C146" i="3"/>
  <c r="B146" i="3"/>
  <c r="A146" i="3"/>
  <c r="AO145" i="3"/>
  <c r="G145" i="3"/>
  <c r="AN145" i="3" s="1"/>
  <c r="AP145" i="3" s="1"/>
  <c r="C145" i="3"/>
  <c r="B145" i="3"/>
  <c r="A145" i="3"/>
  <c r="AO144" i="3"/>
  <c r="G144" i="3"/>
  <c r="AN144" i="3" s="1"/>
  <c r="AP144" i="3" s="1"/>
  <c r="C144" i="3"/>
  <c r="B144" i="3"/>
  <c r="A144" i="3"/>
  <c r="AO143" i="3"/>
  <c r="G143" i="3"/>
  <c r="AN143" i="3" s="1"/>
  <c r="AP143" i="3" s="1"/>
  <c r="C143" i="3"/>
  <c r="B143" i="3"/>
  <c r="A143" i="3"/>
  <c r="AP142" i="3"/>
  <c r="AO142" i="3"/>
  <c r="AN142" i="3"/>
  <c r="G142" i="3"/>
  <c r="C142" i="3"/>
  <c r="B142" i="3"/>
  <c r="A142" i="3"/>
  <c r="AO141" i="3"/>
  <c r="AN141" i="3"/>
  <c r="AP141" i="3" s="1"/>
  <c r="G141" i="3"/>
  <c r="C141" i="3"/>
  <c r="B141" i="3"/>
  <c r="A141" i="3"/>
  <c r="AO140" i="3"/>
  <c r="G140" i="3"/>
  <c r="AN140" i="3" s="1"/>
  <c r="AP140" i="3" s="1"/>
  <c r="C140" i="3"/>
  <c r="B140" i="3"/>
  <c r="A140" i="3"/>
  <c r="AO139" i="3"/>
  <c r="G139" i="3"/>
  <c r="AN139" i="3" s="1"/>
  <c r="C139" i="3"/>
  <c r="B139" i="3"/>
  <c r="A139" i="3"/>
  <c r="AO138" i="3"/>
  <c r="AN138" i="3"/>
  <c r="AP138" i="3" s="1"/>
  <c r="G138" i="3"/>
  <c r="C138" i="3"/>
  <c r="B138" i="3"/>
  <c r="A138" i="3"/>
  <c r="AO137" i="3"/>
  <c r="G137" i="3"/>
  <c r="AN137" i="3" s="1"/>
  <c r="AP137" i="3" s="1"/>
  <c r="C137" i="3"/>
  <c r="B137" i="3"/>
  <c r="A137" i="3"/>
  <c r="AO136" i="3"/>
  <c r="G136" i="3"/>
  <c r="AN136" i="3" s="1"/>
  <c r="AP136" i="3" s="1"/>
  <c r="C136" i="3"/>
  <c r="B136" i="3"/>
  <c r="A136" i="3"/>
  <c r="AO135" i="3"/>
  <c r="G135" i="3"/>
  <c r="AN135" i="3" s="1"/>
  <c r="AP135" i="3" s="1"/>
  <c r="C135" i="3"/>
  <c r="B135" i="3"/>
  <c r="A135" i="3"/>
  <c r="AO134" i="3"/>
  <c r="AP134" i="3" s="1"/>
  <c r="AN134" i="3"/>
  <c r="G134" i="3"/>
  <c r="C134" i="3"/>
  <c r="B134" i="3"/>
  <c r="A134" i="3"/>
  <c r="AO133" i="3"/>
  <c r="AN133" i="3"/>
  <c r="G133" i="3"/>
  <c r="C133" i="3"/>
  <c r="B133" i="3"/>
  <c r="A133" i="3"/>
  <c r="AP132" i="3"/>
  <c r="AO132" i="3"/>
  <c r="AN132" i="3"/>
  <c r="G132" i="3"/>
  <c r="C132" i="3"/>
  <c r="B132" i="3"/>
  <c r="A132" i="3"/>
  <c r="AO131" i="3"/>
  <c r="G131" i="3"/>
  <c r="AN131" i="3" s="1"/>
  <c r="AP131" i="3" s="1"/>
  <c r="C131" i="3"/>
  <c r="B131" i="3"/>
  <c r="A131" i="3"/>
  <c r="AO130" i="3"/>
  <c r="AN130" i="3"/>
  <c r="AP130" i="3" s="1"/>
  <c r="G130" i="3"/>
  <c r="C130" i="3"/>
  <c r="B130" i="3"/>
  <c r="A130" i="3"/>
  <c r="AO129" i="3"/>
  <c r="G129" i="3"/>
  <c r="AN129" i="3" s="1"/>
  <c r="AP129" i="3" s="1"/>
  <c r="C129" i="3"/>
  <c r="B129" i="3"/>
  <c r="A129" i="3"/>
  <c r="AO128" i="3"/>
  <c r="G128" i="3"/>
  <c r="AN128" i="3" s="1"/>
  <c r="AP128" i="3" s="1"/>
  <c r="C128" i="3"/>
  <c r="B128" i="3"/>
  <c r="A128" i="3"/>
  <c r="AO127" i="3"/>
  <c r="G127" i="3"/>
  <c r="AN127" i="3" s="1"/>
  <c r="AP127" i="3" s="1"/>
  <c r="C127" i="3"/>
  <c r="B127" i="3"/>
  <c r="A127" i="3"/>
  <c r="AP126" i="3"/>
  <c r="AO126" i="3"/>
  <c r="AN126" i="3"/>
  <c r="G126" i="3"/>
  <c r="C126" i="3"/>
  <c r="B126" i="3"/>
  <c r="A126" i="3"/>
  <c r="AO125" i="3"/>
  <c r="AN125" i="3"/>
  <c r="AP125" i="3" s="1"/>
  <c r="G125" i="3"/>
  <c r="C125" i="3"/>
  <c r="B125" i="3"/>
  <c r="A125" i="3"/>
  <c r="AO124" i="3"/>
  <c r="G124" i="3"/>
  <c r="AN124" i="3" s="1"/>
  <c r="AP124" i="3" s="1"/>
  <c r="C124" i="3"/>
  <c r="B124" i="3"/>
  <c r="A124" i="3"/>
  <c r="AO123" i="3"/>
  <c r="G123" i="3"/>
  <c r="AN123" i="3" s="1"/>
  <c r="AP123" i="3" s="1"/>
  <c r="C123" i="3"/>
  <c r="B123" i="3"/>
  <c r="A123" i="3"/>
  <c r="AO122" i="3"/>
  <c r="AN122" i="3"/>
  <c r="G122" i="3"/>
  <c r="C122" i="3"/>
  <c r="B122" i="3"/>
  <c r="A122" i="3"/>
  <c r="AO121" i="3"/>
  <c r="G121" i="3"/>
  <c r="AN121" i="3" s="1"/>
  <c r="AP121" i="3" s="1"/>
  <c r="C121" i="3"/>
  <c r="B121" i="3"/>
  <c r="A121" i="3"/>
  <c r="AO120" i="3"/>
  <c r="G120" i="3"/>
  <c r="AN120" i="3" s="1"/>
  <c r="AP120" i="3" s="1"/>
  <c r="C120" i="3"/>
  <c r="B120" i="3"/>
  <c r="A120" i="3"/>
  <c r="AO119" i="3"/>
  <c r="G119" i="3"/>
  <c r="AN119" i="3" s="1"/>
  <c r="AP119" i="3" s="1"/>
  <c r="C119" i="3"/>
  <c r="B119" i="3"/>
  <c r="A119" i="3"/>
  <c r="AO118" i="3"/>
  <c r="AP118" i="3" s="1"/>
  <c r="AN118" i="3"/>
  <c r="G118" i="3"/>
  <c r="C118" i="3"/>
  <c r="B118" i="3"/>
  <c r="A118" i="3"/>
  <c r="AO117" i="3"/>
  <c r="AN117" i="3"/>
  <c r="G117" i="3"/>
  <c r="C117" i="3"/>
  <c r="B117" i="3"/>
  <c r="A117" i="3"/>
  <c r="AP116" i="3"/>
  <c r="AO116" i="3"/>
  <c r="AN116" i="3"/>
  <c r="G116" i="3"/>
  <c r="C116" i="3"/>
  <c r="B116" i="3"/>
  <c r="A116" i="3"/>
  <c r="AO115" i="3"/>
  <c r="AP115" i="3" s="1"/>
  <c r="G115" i="3"/>
  <c r="AN115" i="3" s="1"/>
  <c r="C115" i="3"/>
  <c r="B115" i="3"/>
  <c r="A115" i="3"/>
  <c r="AO114" i="3"/>
  <c r="AN114" i="3"/>
  <c r="AP114" i="3" s="1"/>
  <c r="G114" i="3"/>
  <c r="C114" i="3"/>
  <c r="B114" i="3"/>
  <c r="A114" i="3"/>
  <c r="AO113" i="3"/>
  <c r="AN113" i="3"/>
  <c r="AP113" i="3" s="1"/>
  <c r="G113" i="3"/>
  <c r="C113" i="3"/>
  <c r="B113" i="3"/>
  <c r="A113" i="3"/>
  <c r="AO112" i="3"/>
  <c r="G112" i="3"/>
  <c r="AN112" i="3" s="1"/>
  <c r="AP112" i="3" s="1"/>
  <c r="C112" i="3"/>
  <c r="B112" i="3"/>
  <c r="A112" i="3"/>
  <c r="AO111" i="3"/>
  <c r="G111" i="3"/>
  <c r="AN111" i="3" s="1"/>
  <c r="AP111" i="3" s="1"/>
  <c r="C111" i="3"/>
  <c r="B111" i="3"/>
  <c r="A111" i="3"/>
  <c r="AP110" i="3"/>
  <c r="AO110" i="3"/>
  <c r="AN110" i="3"/>
  <c r="G110" i="3"/>
  <c r="C110" i="3"/>
  <c r="B110" i="3"/>
  <c r="A110" i="3"/>
  <c r="AO109" i="3"/>
  <c r="AN109" i="3"/>
  <c r="AP109" i="3" s="1"/>
  <c r="G109" i="3"/>
  <c r="C109" i="3"/>
  <c r="B109" i="3"/>
  <c r="A109" i="3"/>
  <c r="AO108" i="3"/>
  <c r="G108" i="3"/>
  <c r="AN108" i="3" s="1"/>
  <c r="AP108" i="3" s="1"/>
  <c r="C108" i="3"/>
  <c r="B108" i="3"/>
  <c r="A108" i="3"/>
  <c r="AP107" i="3"/>
  <c r="AO107" i="3"/>
  <c r="G107" i="3"/>
  <c r="AN107" i="3" s="1"/>
  <c r="C107" i="3"/>
  <c r="B107" i="3"/>
  <c r="A107" i="3"/>
  <c r="AO106" i="3"/>
  <c r="AN106" i="3"/>
  <c r="AP106" i="3" s="1"/>
  <c r="G106" i="3"/>
  <c r="C106" i="3"/>
  <c r="B106" i="3"/>
  <c r="A106" i="3"/>
  <c r="AO105" i="3"/>
  <c r="G105" i="3"/>
  <c r="AN105" i="3" s="1"/>
  <c r="AP105" i="3" s="1"/>
  <c r="C105" i="3"/>
  <c r="B105" i="3"/>
  <c r="A105" i="3"/>
  <c r="AO104" i="3"/>
  <c r="G104" i="3"/>
  <c r="AN104" i="3" s="1"/>
  <c r="AP104" i="3" s="1"/>
  <c r="C104" i="3"/>
  <c r="B104" i="3"/>
  <c r="A104" i="3"/>
  <c r="AP103" i="3"/>
  <c r="AO103" i="3"/>
  <c r="G103" i="3"/>
  <c r="AN103" i="3" s="1"/>
  <c r="C103" i="3"/>
  <c r="B103" i="3"/>
  <c r="A103" i="3"/>
  <c r="AO102" i="3"/>
  <c r="AP102" i="3" s="1"/>
  <c r="AN102" i="3"/>
  <c r="G102" i="3"/>
  <c r="C102" i="3"/>
  <c r="B102" i="3"/>
  <c r="A102" i="3"/>
  <c r="AO101" i="3"/>
  <c r="AN101" i="3"/>
  <c r="G101" i="3"/>
  <c r="C101" i="3"/>
  <c r="B101" i="3"/>
  <c r="A101" i="3"/>
  <c r="AP100" i="3"/>
  <c r="AO100" i="3"/>
  <c r="AN100" i="3"/>
  <c r="G100" i="3"/>
  <c r="C100" i="3"/>
  <c r="B100" i="3"/>
  <c r="A100" i="3"/>
  <c r="AO99" i="3"/>
  <c r="AP99" i="3" s="1"/>
  <c r="G99" i="3"/>
  <c r="AN99" i="3" s="1"/>
  <c r="C99" i="3"/>
  <c r="B99" i="3"/>
  <c r="A99" i="3"/>
  <c r="AO98" i="3"/>
  <c r="AN98" i="3"/>
  <c r="AP98" i="3" s="1"/>
  <c r="G98" i="3"/>
  <c r="C98" i="3"/>
  <c r="B98" i="3"/>
  <c r="A98" i="3"/>
  <c r="AO97" i="3"/>
  <c r="G97" i="3"/>
  <c r="AN97" i="3" s="1"/>
  <c r="AP97" i="3" s="1"/>
  <c r="C97" i="3"/>
  <c r="B97" i="3"/>
  <c r="A97" i="3"/>
  <c r="AO96" i="3"/>
  <c r="G96" i="3"/>
  <c r="AN96" i="3" s="1"/>
  <c r="AP96" i="3" s="1"/>
  <c r="C96" i="3"/>
  <c r="B96" i="3"/>
  <c r="A96" i="3"/>
  <c r="AP95" i="3"/>
  <c r="AO95" i="3"/>
  <c r="G95" i="3"/>
  <c r="AN95" i="3" s="1"/>
  <c r="C95" i="3"/>
  <c r="B95" i="3"/>
  <c r="A95" i="3"/>
  <c r="AO94" i="3"/>
  <c r="AP94" i="3" s="1"/>
  <c r="AN94" i="3"/>
  <c r="G94" i="3"/>
  <c r="C94" i="3"/>
  <c r="B94" i="3"/>
  <c r="A94" i="3"/>
  <c r="AO93" i="3"/>
  <c r="AN93" i="3"/>
  <c r="AP93" i="3" s="1"/>
  <c r="G93" i="3"/>
  <c r="C93" i="3"/>
  <c r="B93" i="3"/>
  <c r="A93" i="3"/>
  <c r="AO92" i="3"/>
  <c r="G92" i="3"/>
  <c r="AN92" i="3" s="1"/>
  <c r="AP92" i="3" s="1"/>
  <c r="C92" i="3"/>
  <c r="B92" i="3"/>
  <c r="A92" i="3"/>
  <c r="AP91" i="3"/>
  <c r="AO91" i="3"/>
  <c r="G91" i="3"/>
  <c r="AN91" i="3" s="1"/>
  <c r="C91" i="3"/>
  <c r="B91" i="3"/>
  <c r="A91" i="3"/>
  <c r="AO90" i="3"/>
  <c r="AN90" i="3"/>
  <c r="G90" i="3"/>
  <c r="C90" i="3"/>
  <c r="B90" i="3"/>
  <c r="A90" i="3"/>
  <c r="AO89" i="3"/>
  <c r="G89" i="3"/>
  <c r="AN89" i="3" s="1"/>
  <c r="AP89" i="3" s="1"/>
  <c r="C89" i="3"/>
  <c r="B89" i="3"/>
  <c r="A89" i="3"/>
  <c r="AO88" i="3"/>
  <c r="G88" i="3"/>
  <c r="AN88" i="3" s="1"/>
  <c r="AP88" i="3" s="1"/>
  <c r="C88" i="3"/>
  <c r="B88" i="3"/>
  <c r="A88" i="3"/>
  <c r="AP87" i="3"/>
  <c r="AO87" i="3"/>
  <c r="G87" i="3"/>
  <c r="AN87" i="3" s="1"/>
  <c r="C87" i="3"/>
  <c r="B87" i="3"/>
  <c r="A87" i="3"/>
  <c r="AO86" i="3"/>
  <c r="AP86" i="3" s="1"/>
  <c r="AN86" i="3"/>
  <c r="G86" i="3"/>
  <c r="C86" i="3"/>
  <c r="B86" i="3"/>
  <c r="A86" i="3"/>
  <c r="AO85" i="3"/>
  <c r="AN85" i="3"/>
  <c r="AP85" i="3" s="1"/>
  <c r="G85" i="3"/>
  <c r="C85" i="3"/>
  <c r="B85" i="3"/>
  <c r="A85" i="3"/>
  <c r="AO84" i="3"/>
  <c r="G84" i="3"/>
  <c r="AN84" i="3" s="1"/>
  <c r="AP84" i="3" s="1"/>
  <c r="C84" i="3"/>
  <c r="B84" i="3"/>
  <c r="A84" i="3"/>
  <c r="AO83" i="3"/>
  <c r="AP83" i="3" s="1"/>
  <c r="G83" i="3"/>
  <c r="AN83" i="3" s="1"/>
  <c r="C83" i="3"/>
  <c r="B83" i="3"/>
  <c r="A83" i="3"/>
  <c r="AO82" i="3"/>
  <c r="AN82" i="3"/>
  <c r="AP82" i="3" s="1"/>
  <c r="G82" i="3"/>
  <c r="C82" i="3"/>
  <c r="B82" i="3"/>
  <c r="A82" i="3"/>
  <c r="AO81" i="3"/>
  <c r="AN81" i="3"/>
  <c r="AP81" i="3" s="1"/>
  <c r="G81" i="3"/>
  <c r="C81" i="3"/>
  <c r="B81" i="3"/>
  <c r="A81" i="3"/>
  <c r="AO80" i="3"/>
  <c r="G80" i="3"/>
  <c r="AN80" i="3" s="1"/>
  <c r="AP80" i="3" s="1"/>
  <c r="C80" i="3"/>
  <c r="B80" i="3"/>
  <c r="A80" i="3"/>
  <c r="AP79" i="3"/>
  <c r="AO79" i="3"/>
  <c r="G79" i="3"/>
  <c r="AN79" i="3" s="1"/>
  <c r="C79" i="3"/>
  <c r="B79" i="3"/>
  <c r="A79" i="3"/>
  <c r="AP78" i="3"/>
  <c r="AO78" i="3"/>
  <c r="AN78" i="3"/>
  <c r="G78" i="3"/>
  <c r="C78" i="3"/>
  <c r="B78" i="3"/>
  <c r="A78" i="3"/>
  <c r="AO77" i="3"/>
  <c r="AN77" i="3"/>
  <c r="AP77" i="3" s="1"/>
  <c r="G77" i="3"/>
  <c r="C77" i="3"/>
  <c r="B77" i="3"/>
  <c r="A77" i="3"/>
  <c r="AO76" i="3"/>
  <c r="G76" i="3"/>
  <c r="AN76" i="3" s="1"/>
  <c r="AP76" i="3" s="1"/>
  <c r="C76" i="3"/>
  <c r="B76" i="3"/>
  <c r="A76" i="3"/>
  <c r="AO75" i="3"/>
  <c r="G75" i="3"/>
  <c r="AN75" i="3" s="1"/>
  <c r="AP75" i="3" s="1"/>
  <c r="C75" i="3"/>
  <c r="B75" i="3"/>
  <c r="A75" i="3"/>
  <c r="AO74" i="3"/>
  <c r="AN74" i="3"/>
  <c r="G74" i="3"/>
  <c r="C74" i="3"/>
  <c r="B74" i="3"/>
  <c r="A74" i="3"/>
  <c r="AO73" i="3"/>
  <c r="G73" i="3"/>
  <c r="AN73" i="3" s="1"/>
  <c r="AP73" i="3" s="1"/>
  <c r="C73" i="3"/>
  <c r="B73" i="3"/>
  <c r="A73" i="3"/>
  <c r="AO72" i="3"/>
  <c r="G72" i="3"/>
  <c r="AN72" i="3" s="1"/>
  <c r="AP72" i="3" s="1"/>
  <c r="C72" i="3"/>
  <c r="B72" i="3"/>
  <c r="A72" i="3"/>
  <c r="AO71" i="3"/>
  <c r="G71" i="3"/>
  <c r="AN71" i="3" s="1"/>
  <c r="AP71" i="3" s="1"/>
  <c r="C71" i="3"/>
  <c r="B71" i="3"/>
  <c r="A71" i="3"/>
  <c r="AO70" i="3"/>
  <c r="AP70" i="3" s="1"/>
  <c r="AN70" i="3"/>
  <c r="G70" i="3"/>
  <c r="C70" i="3"/>
  <c r="B70" i="3"/>
  <c r="A70" i="3"/>
  <c r="AO69" i="3"/>
  <c r="AN69" i="3"/>
  <c r="G69" i="3"/>
  <c r="C69" i="3"/>
  <c r="B69" i="3"/>
  <c r="A69" i="3"/>
  <c r="AO68" i="3"/>
  <c r="AN68" i="3"/>
  <c r="AP68" i="3" s="1"/>
  <c r="G68" i="3"/>
  <c r="C68" i="3"/>
  <c r="B68" i="3"/>
  <c r="A68" i="3"/>
  <c r="AO67" i="3"/>
  <c r="G67" i="3"/>
  <c r="AN67" i="3" s="1"/>
  <c r="AP67" i="3" s="1"/>
  <c r="C67" i="3"/>
  <c r="B67" i="3"/>
  <c r="A67" i="3"/>
  <c r="AO66" i="3"/>
  <c r="AN66" i="3"/>
  <c r="AP66" i="3" s="1"/>
  <c r="G66" i="3"/>
  <c r="C66" i="3"/>
  <c r="B66" i="3"/>
  <c r="A66" i="3"/>
  <c r="AO65" i="3"/>
  <c r="AN65" i="3"/>
  <c r="AP65" i="3" s="1"/>
  <c r="G65" i="3"/>
  <c r="C65" i="3"/>
  <c r="B65" i="3"/>
  <c r="A65" i="3"/>
  <c r="AO64" i="3"/>
  <c r="G64" i="3"/>
  <c r="AN64" i="3" s="1"/>
  <c r="AP64" i="3" s="1"/>
  <c r="C64" i="3"/>
  <c r="B64" i="3"/>
  <c r="A64" i="3"/>
  <c r="AO63" i="3"/>
  <c r="G63" i="3"/>
  <c r="AN63" i="3" s="1"/>
  <c r="AP63" i="3" s="1"/>
  <c r="C63" i="3"/>
  <c r="B63" i="3"/>
  <c r="A63" i="3"/>
  <c r="AP62" i="3"/>
  <c r="AO62" i="3"/>
  <c r="AN62" i="3"/>
  <c r="G62" i="3"/>
  <c r="C62" i="3"/>
  <c r="B62" i="3"/>
  <c r="A62" i="3"/>
  <c r="AO61" i="3"/>
  <c r="AN61" i="3"/>
  <c r="AP61" i="3" s="1"/>
  <c r="G61" i="3"/>
  <c r="C61" i="3"/>
  <c r="B61" i="3"/>
  <c r="A61" i="3"/>
  <c r="AO60" i="3"/>
  <c r="G60" i="3"/>
  <c r="AN60" i="3" s="1"/>
  <c r="AP60" i="3" s="1"/>
  <c r="C60" i="3"/>
  <c r="B60" i="3"/>
  <c r="A60" i="3"/>
  <c r="AO59" i="3"/>
  <c r="G59" i="3"/>
  <c r="AN59" i="3" s="1"/>
  <c r="AP59" i="3" s="1"/>
  <c r="C59" i="3"/>
  <c r="B59" i="3"/>
  <c r="A59" i="3"/>
  <c r="AO58" i="3"/>
  <c r="AN58" i="3"/>
  <c r="G58" i="3"/>
  <c r="C58" i="3"/>
  <c r="B58" i="3"/>
  <c r="A58" i="3"/>
  <c r="AO57" i="3"/>
  <c r="G57" i="3"/>
  <c r="AN57" i="3" s="1"/>
  <c r="AP57" i="3" s="1"/>
  <c r="C57" i="3"/>
  <c r="B57" i="3"/>
  <c r="A57" i="3"/>
  <c r="AO56" i="3"/>
  <c r="G56" i="3"/>
  <c r="AN56" i="3" s="1"/>
  <c r="AP56" i="3" s="1"/>
  <c r="C56" i="3"/>
  <c r="B56" i="3"/>
  <c r="A56" i="3"/>
  <c r="AO55" i="3"/>
  <c r="G55" i="3"/>
  <c r="AN55" i="3" s="1"/>
  <c r="AP55" i="3" s="1"/>
  <c r="C55" i="3"/>
  <c r="B55" i="3"/>
  <c r="A55" i="3"/>
  <c r="AO54" i="3"/>
  <c r="AP54" i="3" s="1"/>
  <c r="AN54" i="3"/>
  <c r="G54" i="3"/>
  <c r="C54" i="3"/>
  <c r="B54" i="3"/>
  <c r="A54" i="3"/>
  <c r="AO53" i="3"/>
  <c r="AN53" i="3"/>
  <c r="G53" i="3"/>
  <c r="C53" i="3"/>
  <c r="B53" i="3"/>
  <c r="A53" i="3"/>
  <c r="AP52" i="3"/>
  <c r="AO52" i="3"/>
  <c r="AN52" i="3"/>
  <c r="G52" i="3"/>
  <c r="C52" i="3"/>
  <c r="B52" i="3"/>
  <c r="A52" i="3"/>
  <c r="AO51" i="3"/>
  <c r="AP51" i="3" s="1"/>
  <c r="G51" i="3"/>
  <c r="AN51" i="3" s="1"/>
  <c r="C51" i="3"/>
  <c r="B51" i="3"/>
  <c r="A51" i="3"/>
  <c r="AO50" i="3"/>
  <c r="AN50" i="3"/>
  <c r="AP50" i="3" s="1"/>
  <c r="G50" i="3"/>
  <c r="C50" i="3"/>
  <c r="B50" i="3"/>
  <c r="A50" i="3"/>
  <c r="AO49" i="3"/>
  <c r="AN49" i="3"/>
  <c r="AP49" i="3" s="1"/>
  <c r="G49" i="3"/>
  <c r="C49" i="3"/>
  <c r="B49" i="3"/>
  <c r="A49" i="3"/>
  <c r="AO48" i="3"/>
  <c r="G48" i="3"/>
  <c r="AN48" i="3" s="1"/>
  <c r="AP48" i="3" s="1"/>
  <c r="C48" i="3"/>
  <c r="B48" i="3"/>
  <c r="A48" i="3"/>
  <c r="AO47" i="3"/>
  <c r="G47" i="3"/>
  <c r="AN47" i="3" s="1"/>
  <c r="AP47" i="3" s="1"/>
  <c r="C47" i="3"/>
  <c r="B47" i="3"/>
  <c r="A47" i="3"/>
  <c r="AP46" i="3"/>
  <c r="AO46" i="3"/>
  <c r="AN46" i="3"/>
  <c r="G46" i="3"/>
  <c r="C46" i="3"/>
  <c r="B46" i="3"/>
  <c r="A46" i="3"/>
  <c r="AO45" i="3"/>
  <c r="AN45" i="3"/>
  <c r="AP45" i="3" s="1"/>
  <c r="G45" i="3"/>
  <c r="C45" i="3"/>
  <c r="B45" i="3"/>
  <c r="A45" i="3"/>
  <c r="AO44" i="3"/>
  <c r="G44" i="3"/>
  <c r="AN44" i="3" s="1"/>
  <c r="AP44" i="3" s="1"/>
  <c r="C44" i="3"/>
  <c r="B44" i="3"/>
  <c r="A44" i="3"/>
  <c r="AP43" i="3"/>
  <c r="AO43" i="3"/>
  <c r="G43" i="3"/>
  <c r="AN43" i="3" s="1"/>
  <c r="C43" i="3"/>
  <c r="B43" i="3"/>
  <c r="A43" i="3"/>
  <c r="AO42" i="3"/>
  <c r="AN42" i="3"/>
  <c r="AP42" i="3" s="1"/>
  <c r="G42" i="3"/>
  <c r="C42" i="3"/>
  <c r="B42" i="3"/>
  <c r="A42" i="3"/>
  <c r="AO41" i="3"/>
  <c r="G41" i="3"/>
  <c r="AN41" i="3" s="1"/>
  <c r="AP41" i="3" s="1"/>
  <c r="C41" i="3"/>
  <c r="B41" i="3"/>
  <c r="A41" i="3"/>
  <c r="AO40" i="3"/>
  <c r="G40" i="3"/>
  <c r="AN40" i="3" s="1"/>
  <c r="AP40" i="3" s="1"/>
  <c r="C40" i="3"/>
  <c r="B40" i="3"/>
  <c r="A40" i="3"/>
  <c r="AP39" i="3"/>
  <c r="AO39" i="3"/>
  <c r="G39" i="3"/>
  <c r="AN39" i="3" s="1"/>
  <c r="C39" i="3"/>
  <c r="B39" i="3"/>
  <c r="A39" i="3"/>
  <c r="AO38" i="3"/>
  <c r="AP38" i="3" s="1"/>
  <c r="AN38" i="3"/>
  <c r="G38" i="3"/>
  <c r="C38" i="3"/>
  <c r="B38" i="3"/>
  <c r="A38" i="3"/>
  <c r="AO37" i="3"/>
  <c r="AN37" i="3"/>
  <c r="G37" i="3"/>
  <c r="C37" i="3"/>
  <c r="B37" i="3"/>
  <c r="A37" i="3"/>
  <c r="AP36" i="3"/>
  <c r="AO36" i="3"/>
  <c r="AN36" i="3"/>
  <c r="G36" i="3"/>
  <c r="C36" i="3"/>
  <c r="B36" i="3"/>
  <c r="A36" i="3"/>
  <c r="AO35" i="3"/>
  <c r="AP35" i="3" s="1"/>
  <c r="G35" i="3"/>
  <c r="AN35" i="3" s="1"/>
  <c r="C35" i="3"/>
  <c r="B35" i="3"/>
  <c r="A35" i="3"/>
  <c r="AO34" i="3"/>
  <c r="AN34" i="3"/>
  <c r="AP34" i="3" s="1"/>
  <c r="G34" i="3"/>
  <c r="C34" i="3"/>
  <c r="B34" i="3"/>
  <c r="A34" i="3"/>
  <c r="AO33" i="3"/>
  <c r="G33" i="3"/>
  <c r="AN33" i="3" s="1"/>
  <c r="AP33" i="3" s="1"/>
  <c r="C33" i="3"/>
  <c r="B33" i="3"/>
  <c r="A33" i="3"/>
  <c r="AO32" i="3"/>
  <c r="G32" i="3"/>
  <c r="AN32" i="3" s="1"/>
  <c r="AP32" i="3" s="1"/>
  <c r="C32" i="3"/>
  <c r="B32" i="3"/>
  <c r="A32" i="3"/>
  <c r="AP31" i="3"/>
  <c r="AO31" i="3"/>
  <c r="G31" i="3"/>
  <c r="AN31" i="3" s="1"/>
  <c r="C31" i="3"/>
  <c r="B31" i="3"/>
  <c r="A31" i="3"/>
  <c r="AO30" i="3"/>
  <c r="AP30" i="3" s="1"/>
  <c r="AN30" i="3"/>
  <c r="G30" i="3"/>
  <c r="C30" i="3"/>
  <c r="B30" i="3"/>
  <c r="A30" i="3"/>
  <c r="AO29" i="3"/>
  <c r="AN29" i="3"/>
  <c r="AP29" i="3" s="1"/>
  <c r="G29" i="3"/>
  <c r="C29" i="3"/>
  <c r="B29" i="3"/>
  <c r="A29" i="3"/>
  <c r="AO28" i="3"/>
  <c r="G28" i="3"/>
  <c r="AN28" i="3" s="1"/>
  <c r="AP28" i="3" s="1"/>
  <c r="C28" i="3"/>
  <c r="B28" i="3"/>
  <c r="A28" i="3"/>
  <c r="AP27" i="3"/>
  <c r="AO27" i="3"/>
  <c r="G27" i="3"/>
  <c r="AN27" i="3" s="1"/>
  <c r="C27" i="3"/>
  <c r="B27" i="3"/>
  <c r="A27" i="3"/>
  <c r="AO26" i="3"/>
  <c r="AN26" i="3"/>
  <c r="G26" i="3"/>
  <c r="C26" i="3"/>
  <c r="B26" i="3"/>
  <c r="A26" i="3"/>
  <c r="AO25" i="3"/>
  <c r="G25" i="3"/>
  <c r="AN25" i="3" s="1"/>
  <c r="AP25" i="3" s="1"/>
  <c r="C25" i="3"/>
  <c r="B25" i="3"/>
  <c r="A25" i="3"/>
  <c r="AO24" i="3"/>
  <c r="G24" i="3"/>
  <c r="AN24" i="3" s="1"/>
  <c r="AP24" i="3" s="1"/>
  <c r="C24" i="3"/>
  <c r="B24" i="3"/>
  <c r="A24" i="3"/>
  <c r="AP23" i="3"/>
  <c r="AO23" i="3"/>
  <c r="G23" i="3"/>
  <c r="AN23" i="3" s="1"/>
  <c r="C23" i="3"/>
  <c r="B23" i="3"/>
  <c r="A23" i="3"/>
  <c r="AO22" i="3"/>
  <c r="AP22" i="3" s="1"/>
  <c r="AN22" i="3"/>
  <c r="G22" i="3"/>
  <c r="C22" i="3"/>
  <c r="B22" i="3"/>
  <c r="A22" i="3"/>
  <c r="AO21" i="3"/>
  <c r="AN21" i="3"/>
  <c r="AP21" i="3" s="1"/>
  <c r="G21" i="3"/>
  <c r="C21" i="3"/>
  <c r="B21" i="3"/>
  <c r="A21" i="3"/>
  <c r="AO20" i="3"/>
  <c r="G20" i="3"/>
  <c r="AN20" i="3" s="1"/>
  <c r="AP20" i="3" s="1"/>
  <c r="C20" i="3"/>
  <c r="B20" i="3"/>
  <c r="A20" i="3"/>
  <c r="AO19" i="3"/>
  <c r="AP19" i="3" s="1"/>
  <c r="G19" i="3"/>
  <c r="AN19" i="3" s="1"/>
  <c r="C19" i="3"/>
  <c r="B19" i="3"/>
  <c r="A19" i="3"/>
  <c r="AO18" i="3"/>
  <c r="AN18" i="3"/>
  <c r="AP18" i="3" s="1"/>
  <c r="G18" i="3"/>
  <c r="C18" i="3"/>
  <c r="B18" i="3"/>
  <c r="A18" i="3"/>
  <c r="AO17" i="3"/>
  <c r="AN17" i="3"/>
  <c r="AP17" i="3" s="1"/>
  <c r="G17" i="3"/>
  <c r="C17" i="3"/>
  <c r="B17" i="3"/>
  <c r="A17" i="3"/>
  <c r="AO16" i="3"/>
  <c r="G16" i="3"/>
  <c r="AN16" i="3" s="1"/>
  <c r="AP16" i="3" s="1"/>
  <c r="C16" i="3"/>
  <c r="B16" i="3"/>
  <c r="A16" i="3"/>
  <c r="AP15" i="3"/>
  <c r="AO15" i="3"/>
  <c r="G15" i="3"/>
  <c r="AN15" i="3" s="1"/>
  <c r="C15" i="3"/>
  <c r="B15" i="3"/>
  <c r="A15" i="3"/>
  <c r="AP14" i="3"/>
  <c r="AO14" i="3"/>
  <c r="AN14" i="3"/>
  <c r="G14" i="3"/>
  <c r="C14" i="3"/>
  <c r="B14" i="3"/>
  <c r="A14" i="3"/>
  <c r="AO13" i="3"/>
  <c r="AN13" i="3"/>
  <c r="AP13" i="3" s="1"/>
  <c r="G13" i="3"/>
  <c r="C13" i="3"/>
  <c r="B13" i="3"/>
  <c r="A13" i="3"/>
  <c r="AO12" i="3"/>
  <c r="G12" i="3"/>
  <c r="AN12" i="3" s="1"/>
  <c r="AP12" i="3" s="1"/>
  <c r="C12" i="3"/>
  <c r="B12" i="3"/>
  <c r="A12" i="3"/>
  <c r="AO11" i="3"/>
  <c r="G11" i="3"/>
  <c r="AN11" i="3" s="1"/>
  <c r="AP11" i="3" s="1"/>
  <c r="C11" i="3"/>
  <c r="B11" i="3"/>
  <c r="A11" i="3"/>
  <c r="AO10" i="3"/>
  <c r="AN10" i="3"/>
  <c r="G10" i="3"/>
  <c r="C10" i="3"/>
  <c r="B10" i="3"/>
  <c r="A10" i="3"/>
  <c r="AO9" i="3"/>
  <c r="G9" i="3"/>
  <c r="AN9" i="3" s="1"/>
  <c r="AP9" i="3" s="1"/>
  <c r="C9" i="3"/>
  <c r="B9" i="3"/>
  <c r="A9" i="3"/>
  <c r="AO8" i="3"/>
  <c r="G8" i="3"/>
  <c r="AN8" i="3" s="1"/>
  <c r="AP8" i="3" s="1"/>
  <c r="C8" i="3"/>
  <c r="B8" i="3"/>
  <c r="A8" i="3"/>
  <c r="AP7" i="3"/>
  <c r="AO7" i="3"/>
  <c r="G7" i="3"/>
  <c r="AN7" i="3" s="1"/>
  <c r="C7" i="3"/>
  <c r="B7" i="3"/>
  <c r="A7" i="3"/>
  <c r="AO6" i="3"/>
  <c r="AP6" i="3" s="1"/>
  <c r="AN6" i="3"/>
  <c r="G6" i="3"/>
  <c r="C6" i="3"/>
  <c r="B6" i="3"/>
  <c r="A6" i="3"/>
  <c r="AO5" i="3"/>
  <c r="AN5" i="3"/>
  <c r="G5" i="3"/>
  <c r="C5" i="3"/>
  <c r="B5" i="3"/>
  <c r="A5" i="3"/>
  <c r="AO4" i="3"/>
  <c r="AN4" i="3"/>
  <c r="AP4" i="3" s="1"/>
  <c r="G4" i="3"/>
  <c r="C4" i="3"/>
  <c r="B4" i="3"/>
  <c r="A4" i="3"/>
  <c r="AO3" i="3"/>
  <c r="G3" i="3"/>
  <c r="AN3" i="3" s="1"/>
  <c r="AP3" i="3" s="1"/>
  <c r="C3" i="3"/>
  <c r="B3" i="3"/>
  <c r="A3" i="3"/>
  <c r="AO2" i="3"/>
  <c r="AN2" i="3"/>
  <c r="AP2" i="3" s="1"/>
  <c r="G2" i="3"/>
  <c r="C2" i="3"/>
  <c r="B2" i="3"/>
  <c r="A2" i="3"/>
  <c r="AJ206" i="3" l="1"/>
  <c r="AK206" i="3" s="1"/>
  <c r="V206" i="3"/>
  <c r="AJ256" i="3"/>
  <c r="AK256" i="3" s="1"/>
  <c r="V256" i="3"/>
  <c r="AJ288" i="3"/>
  <c r="AK288" i="3" s="1"/>
  <c r="V288" i="3"/>
  <c r="I3" i="2"/>
  <c r="K3" i="2" s="1"/>
  <c r="H3" i="2"/>
  <c r="J3" i="2" s="1"/>
  <c r="L3" i="2" s="1"/>
  <c r="I11" i="2"/>
  <c r="K11" i="2" s="1"/>
  <c r="H11" i="2"/>
  <c r="J11" i="2" s="1"/>
  <c r="L11" i="2" s="1"/>
  <c r="I19" i="2"/>
  <c r="K19" i="2" s="1"/>
  <c r="H19" i="2"/>
  <c r="J19" i="2" s="1"/>
  <c r="L19" i="2" s="1"/>
  <c r="I27" i="2"/>
  <c r="K27" i="2" s="1"/>
  <c r="H27" i="2"/>
  <c r="J27" i="2" s="1"/>
  <c r="AP5" i="3"/>
  <c r="AP26" i="3"/>
  <c r="AP69" i="3"/>
  <c r="AP90" i="3"/>
  <c r="AP139" i="3"/>
  <c r="AP181" i="3"/>
  <c r="AP218" i="3"/>
  <c r="AJ223" i="3"/>
  <c r="AK223" i="3" s="1"/>
  <c r="AP195" i="3"/>
  <c r="AP206" i="3"/>
  <c r="AJ208" i="3"/>
  <c r="AK208" i="3" s="1"/>
  <c r="V208" i="3"/>
  <c r="AJ209" i="3"/>
  <c r="AK209" i="3" s="1"/>
  <c r="AP220" i="3"/>
  <c r="AJ225" i="3"/>
  <c r="AK225" i="3" s="1"/>
  <c r="AP234" i="3"/>
  <c r="AJ237" i="3"/>
  <c r="AK237" i="3" s="1"/>
  <c r="AJ245" i="3"/>
  <c r="AK245" i="3" s="1"/>
  <c r="AP222" i="3"/>
  <c r="V258" i="3"/>
  <c r="V290" i="3"/>
  <c r="AJ272" i="3"/>
  <c r="AK272" i="3" s="1"/>
  <c r="V272" i="3"/>
  <c r="AJ202" i="3"/>
  <c r="AK202" i="3" s="1"/>
  <c r="V202" i="3"/>
  <c r="AP37" i="3"/>
  <c r="AP58" i="3"/>
  <c r="AP101" i="3"/>
  <c r="AP122" i="3"/>
  <c r="AP149" i="3"/>
  <c r="AP171" i="3"/>
  <c r="AJ204" i="3"/>
  <c r="AK204" i="3" s="1"/>
  <c r="V204" i="3"/>
  <c r="AJ205" i="3"/>
  <c r="AK205" i="3" s="1"/>
  <c r="AJ217" i="3"/>
  <c r="AK217" i="3" s="1"/>
  <c r="AJ233" i="3"/>
  <c r="AK233" i="3" s="1"/>
  <c r="AJ241" i="3"/>
  <c r="AK241" i="3" s="1"/>
  <c r="AJ249" i="3"/>
  <c r="AK249" i="3" s="1"/>
  <c r="AP10" i="3"/>
  <c r="AP53" i="3"/>
  <c r="AP74" i="3"/>
  <c r="AP117" i="3"/>
  <c r="AP133" i="3"/>
  <c r="AP155" i="3"/>
  <c r="AP197" i="3"/>
  <c r="AP214" i="3"/>
  <c r="AJ219" i="3"/>
  <c r="AK219" i="3" s="1"/>
  <c r="AP230" i="3"/>
  <c r="V274" i="3"/>
  <c r="I43" i="2"/>
  <c r="K43" i="2" s="1"/>
  <c r="H43" i="2"/>
  <c r="J43" i="2" s="1"/>
  <c r="I51" i="2"/>
  <c r="K51" i="2" s="1"/>
  <c r="H51" i="2"/>
  <c r="J51" i="2" s="1"/>
  <c r="L51" i="2" s="1"/>
  <c r="I75" i="2"/>
  <c r="K75" i="2" s="1"/>
  <c r="H75" i="2"/>
  <c r="J75" i="2" s="1"/>
  <c r="L75" i="2" s="1"/>
  <c r="H83" i="2"/>
  <c r="J83" i="2" s="1"/>
  <c r="L83" i="2" s="1"/>
  <c r="I83" i="2"/>
  <c r="K83" i="2" s="1"/>
  <c r="H91" i="2"/>
  <c r="J91" i="2" s="1"/>
  <c r="L91" i="2" s="1"/>
  <c r="I91" i="2"/>
  <c r="K91" i="2" s="1"/>
  <c r="H99" i="2"/>
  <c r="J99" i="2" s="1"/>
  <c r="I99" i="2"/>
  <c r="K99" i="2" s="1"/>
  <c r="H107" i="2"/>
  <c r="J107" i="2" s="1"/>
  <c r="I107" i="2"/>
  <c r="K107" i="2" s="1"/>
  <c r="H115" i="2"/>
  <c r="J115" i="2" s="1"/>
  <c r="L115" i="2" s="1"/>
  <c r="I115" i="2"/>
  <c r="K115" i="2" s="1"/>
  <c r="H123" i="2"/>
  <c r="J123" i="2" s="1"/>
  <c r="L123" i="2" s="1"/>
  <c r="I123" i="2"/>
  <c r="K123" i="2" s="1"/>
  <c r="H131" i="2"/>
  <c r="J131" i="2" s="1"/>
  <c r="I131" i="2"/>
  <c r="K131" i="2" s="1"/>
  <c r="I139" i="2"/>
  <c r="K139" i="2" s="1"/>
  <c r="H139" i="2"/>
  <c r="J139" i="2" s="1"/>
  <c r="L139" i="2" s="1"/>
  <c r="H147" i="2"/>
  <c r="J147" i="2" s="1"/>
  <c r="L147" i="2" s="1"/>
  <c r="I147" i="2"/>
  <c r="K147" i="2" s="1"/>
  <c r="H155" i="2"/>
  <c r="J155" i="2" s="1"/>
  <c r="L155" i="2" s="1"/>
  <c r="I155" i="2"/>
  <c r="K155" i="2" s="1"/>
  <c r="I163" i="2"/>
  <c r="K163" i="2" s="1"/>
  <c r="H163" i="2"/>
  <c r="J163" i="2" s="1"/>
  <c r="L163" i="2" s="1"/>
  <c r="I171" i="2"/>
  <c r="K171" i="2" s="1"/>
  <c r="H171" i="2"/>
  <c r="J171" i="2" s="1"/>
  <c r="L171" i="2" s="1"/>
  <c r="I179" i="2"/>
  <c r="K179" i="2" s="1"/>
  <c r="H179" i="2"/>
  <c r="J179" i="2" s="1"/>
  <c r="I187" i="2"/>
  <c r="K187" i="2" s="1"/>
  <c r="H187" i="2"/>
  <c r="J187" i="2" s="1"/>
  <c r="I195" i="2"/>
  <c r="K195" i="2" s="1"/>
  <c r="H195" i="2"/>
  <c r="J195" i="2" s="1"/>
  <c r="L195" i="2" s="1"/>
  <c r="I209" i="2"/>
  <c r="K209" i="2" s="1"/>
  <c r="H209" i="2"/>
  <c r="J209" i="2" s="1"/>
  <c r="L209" i="2" s="1"/>
  <c r="I35" i="2"/>
  <c r="K35" i="2" s="1"/>
  <c r="H35" i="2"/>
  <c r="J35" i="2" s="1"/>
  <c r="I59" i="2"/>
  <c r="K59" i="2" s="1"/>
  <c r="H59" i="2"/>
  <c r="J59" i="2" s="1"/>
  <c r="I67" i="2"/>
  <c r="K67" i="2" s="1"/>
  <c r="H67" i="2"/>
  <c r="J67" i="2" s="1"/>
  <c r="L67" i="2" s="1"/>
  <c r="I6" i="2"/>
  <c r="K6" i="2" s="1"/>
  <c r="H6" i="2"/>
  <c r="J6" i="2" s="1"/>
  <c r="L6" i="2" s="1"/>
  <c r="I14" i="2"/>
  <c r="K14" i="2" s="1"/>
  <c r="H14" i="2"/>
  <c r="J14" i="2" s="1"/>
  <c r="I22" i="2"/>
  <c r="K22" i="2" s="1"/>
  <c r="H22" i="2"/>
  <c r="J22" i="2" s="1"/>
  <c r="I30" i="2"/>
  <c r="K30" i="2" s="1"/>
  <c r="H30" i="2"/>
  <c r="J30" i="2" s="1"/>
  <c r="L30" i="2" s="1"/>
  <c r="I38" i="2"/>
  <c r="K38" i="2" s="1"/>
  <c r="H38" i="2"/>
  <c r="J38" i="2" s="1"/>
  <c r="L38" i="2" s="1"/>
  <c r="I46" i="2"/>
  <c r="K46" i="2" s="1"/>
  <c r="H46" i="2"/>
  <c r="J46" i="2" s="1"/>
  <c r="I54" i="2"/>
  <c r="K54" i="2" s="1"/>
  <c r="H54" i="2"/>
  <c r="J54" i="2" s="1"/>
  <c r="I62" i="2"/>
  <c r="K62" i="2" s="1"/>
  <c r="H62" i="2"/>
  <c r="J62" i="2" s="1"/>
  <c r="L62" i="2" s="1"/>
  <c r="I70" i="2"/>
  <c r="K70" i="2" s="1"/>
  <c r="H78" i="2"/>
  <c r="J78" i="2" s="1"/>
  <c r="I86" i="2"/>
  <c r="K86" i="2" s="1"/>
  <c r="I9" i="2"/>
  <c r="K9" i="2" s="1"/>
  <c r="H9" i="2"/>
  <c r="J9" i="2" s="1"/>
  <c r="L9" i="2" s="1"/>
  <c r="I17" i="2"/>
  <c r="K17" i="2" s="1"/>
  <c r="H17" i="2"/>
  <c r="J17" i="2" s="1"/>
  <c r="L17" i="2" s="1"/>
  <c r="I25" i="2"/>
  <c r="K25" i="2" s="1"/>
  <c r="H25" i="2"/>
  <c r="J25" i="2" s="1"/>
  <c r="L25" i="2" s="1"/>
  <c r="I33" i="2"/>
  <c r="K33" i="2" s="1"/>
  <c r="H33" i="2"/>
  <c r="J33" i="2" s="1"/>
  <c r="I41" i="2"/>
  <c r="K41" i="2" s="1"/>
  <c r="H41" i="2"/>
  <c r="J41" i="2" s="1"/>
  <c r="L41" i="2" s="1"/>
  <c r="I49" i="2"/>
  <c r="K49" i="2" s="1"/>
  <c r="H49" i="2"/>
  <c r="J49" i="2" s="1"/>
  <c r="L49" i="2" s="1"/>
  <c r="I57" i="2"/>
  <c r="K57" i="2" s="1"/>
  <c r="H57" i="2"/>
  <c r="J57" i="2" s="1"/>
  <c r="L57" i="2" s="1"/>
  <c r="I65" i="2"/>
  <c r="K65" i="2" s="1"/>
  <c r="H65" i="2"/>
  <c r="J65" i="2" s="1"/>
  <c r="I73" i="2"/>
  <c r="K73" i="2" s="1"/>
  <c r="H73" i="2"/>
  <c r="J73" i="2" s="1"/>
  <c r="L73" i="2" s="1"/>
  <c r="I81" i="2"/>
  <c r="K81" i="2" s="1"/>
  <c r="H81" i="2"/>
  <c r="J81" i="2" s="1"/>
  <c r="L81" i="2" s="1"/>
  <c r="V216" i="3"/>
  <c r="V220" i="3"/>
  <c r="V224" i="3"/>
  <c r="V228" i="3"/>
  <c r="I4" i="2"/>
  <c r="K4" i="2" s="1"/>
  <c r="H4" i="2"/>
  <c r="J4" i="2" s="1"/>
  <c r="L4" i="2" s="1"/>
  <c r="I12" i="2"/>
  <c r="K12" i="2" s="1"/>
  <c r="H12" i="2"/>
  <c r="J12" i="2" s="1"/>
  <c r="L12" i="2" s="1"/>
  <c r="I20" i="2"/>
  <c r="K20" i="2" s="1"/>
  <c r="H20" i="2"/>
  <c r="J20" i="2" s="1"/>
  <c r="L20" i="2" s="1"/>
  <c r="I28" i="2"/>
  <c r="K28" i="2" s="1"/>
  <c r="H28" i="2"/>
  <c r="J28" i="2" s="1"/>
  <c r="I36" i="2"/>
  <c r="K36" i="2" s="1"/>
  <c r="H36" i="2"/>
  <c r="J36" i="2" s="1"/>
  <c r="L36" i="2" s="1"/>
  <c r="I44" i="2"/>
  <c r="K44" i="2" s="1"/>
  <c r="H44" i="2"/>
  <c r="J44" i="2" s="1"/>
  <c r="L44" i="2" s="1"/>
  <c r="I52" i="2"/>
  <c r="K52" i="2" s="1"/>
  <c r="H52" i="2"/>
  <c r="J52" i="2" s="1"/>
  <c r="L52" i="2" s="1"/>
  <c r="I60" i="2"/>
  <c r="K60" i="2" s="1"/>
  <c r="H60" i="2"/>
  <c r="J60" i="2" s="1"/>
  <c r="I68" i="2"/>
  <c r="K68" i="2" s="1"/>
  <c r="H68" i="2"/>
  <c r="J68" i="2" s="1"/>
  <c r="L68" i="2" s="1"/>
  <c r="I76" i="2"/>
  <c r="K76" i="2" s="1"/>
  <c r="H76" i="2"/>
  <c r="J76" i="2" s="1"/>
  <c r="L76" i="2" s="1"/>
  <c r="H84" i="2"/>
  <c r="J84" i="2" s="1"/>
  <c r="I84" i="2"/>
  <c r="K84" i="2" s="1"/>
  <c r="H92" i="2"/>
  <c r="J92" i="2" s="1"/>
  <c r="L92" i="2" s="1"/>
  <c r="I92" i="2"/>
  <c r="K92" i="2" s="1"/>
  <c r="H100" i="2"/>
  <c r="J100" i="2" s="1"/>
  <c r="I100" i="2"/>
  <c r="K100" i="2" s="1"/>
  <c r="H108" i="2"/>
  <c r="J108" i="2" s="1"/>
  <c r="I108" i="2"/>
  <c r="K108" i="2" s="1"/>
  <c r="H116" i="2"/>
  <c r="J116" i="2" s="1"/>
  <c r="I116" i="2"/>
  <c r="K116" i="2" s="1"/>
  <c r="H124" i="2"/>
  <c r="J124" i="2" s="1"/>
  <c r="L124" i="2" s="1"/>
  <c r="I124" i="2"/>
  <c r="K124" i="2" s="1"/>
  <c r="V210" i="3"/>
  <c r="V222" i="3"/>
  <c r="V230" i="3"/>
  <c r="V266" i="3"/>
  <c r="V282" i="3"/>
  <c r="V298" i="3"/>
  <c r="I7" i="2"/>
  <c r="K7" i="2" s="1"/>
  <c r="H7" i="2"/>
  <c r="J7" i="2" s="1"/>
  <c r="I15" i="2"/>
  <c r="K15" i="2" s="1"/>
  <c r="H15" i="2"/>
  <c r="J15" i="2" s="1"/>
  <c r="L15" i="2" s="1"/>
  <c r="I23" i="2"/>
  <c r="K23" i="2" s="1"/>
  <c r="H23" i="2"/>
  <c r="J23" i="2" s="1"/>
  <c r="L23" i="2" s="1"/>
  <c r="I31" i="2"/>
  <c r="K31" i="2" s="1"/>
  <c r="H31" i="2"/>
  <c r="J31" i="2" s="1"/>
  <c r="L31" i="2" s="1"/>
  <c r="I39" i="2"/>
  <c r="K39" i="2" s="1"/>
  <c r="H39" i="2"/>
  <c r="J39" i="2" s="1"/>
  <c r="I47" i="2"/>
  <c r="K47" i="2" s="1"/>
  <c r="H47" i="2"/>
  <c r="J47" i="2" s="1"/>
  <c r="L47" i="2" s="1"/>
  <c r="I55" i="2"/>
  <c r="K55" i="2" s="1"/>
  <c r="H55" i="2"/>
  <c r="J55" i="2" s="1"/>
  <c r="L55" i="2" s="1"/>
  <c r="I63" i="2"/>
  <c r="K63" i="2" s="1"/>
  <c r="H63" i="2"/>
  <c r="J63" i="2" s="1"/>
  <c r="L63" i="2" s="1"/>
  <c r="I71" i="2"/>
  <c r="K71" i="2" s="1"/>
  <c r="H71" i="2"/>
  <c r="J71" i="2" s="1"/>
  <c r="I79" i="2"/>
  <c r="K79" i="2" s="1"/>
  <c r="H79" i="2"/>
  <c r="J79" i="2" s="1"/>
  <c r="L79" i="2" s="1"/>
  <c r="H87" i="2"/>
  <c r="J87" i="2" s="1"/>
  <c r="I87" i="2"/>
  <c r="K87" i="2" s="1"/>
  <c r="H95" i="2"/>
  <c r="J95" i="2" s="1"/>
  <c r="I95" i="2"/>
  <c r="K95" i="2" s="1"/>
  <c r="H103" i="2"/>
  <c r="J103" i="2" s="1"/>
  <c r="L103" i="2" s="1"/>
  <c r="I103" i="2"/>
  <c r="K103" i="2" s="1"/>
  <c r="V212" i="3"/>
  <c r="V214" i="3"/>
  <c r="V218" i="3"/>
  <c r="V226" i="3"/>
  <c r="V232" i="3"/>
  <c r="I2" i="2"/>
  <c r="K2" i="2" s="1"/>
  <c r="I10" i="2"/>
  <c r="K10" i="2" s="1"/>
  <c r="I18" i="2"/>
  <c r="K18" i="2" s="1"/>
  <c r="I26" i="2"/>
  <c r="K26" i="2" s="1"/>
  <c r="I34" i="2"/>
  <c r="K34" i="2" s="1"/>
  <c r="I42" i="2"/>
  <c r="K42" i="2" s="1"/>
  <c r="I50" i="2"/>
  <c r="K50" i="2" s="1"/>
  <c r="I58" i="2"/>
  <c r="K58" i="2" s="1"/>
  <c r="I66" i="2"/>
  <c r="K66" i="2" s="1"/>
  <c r="I74" i="2"/>
  <c r="K74" i="2" s="1"/>
  <c r="I82" i="2"/>
  <c r="K82" i="2" s="1"/>
  <c r="I5" i="2"/>
  <c r="K5" i="2" s="1"/>
  <c r="H5" i="2"/>
  <c r="J5" i="2" s="1"/>
  <c r="L5" i="2" s="1"/>
  <c r="I13" i="2"/>
  <c r="K13" i="2" s="1"/>
  <c r="H13" i="2"/>
  <c r="J13" i="2" s="1"/>
  <c r="L13" i="2" s="1"/>
  <c r="I21" i="2"/>
  <c r="K21" i="2" s="1"/>
  <c r="H21" i="2"/>
  <c r="J21" i="2" s="1"/>
  <c r="L21" i="2" s="1"/>
  <c r="I29" i="2"/>
  <c r="K29" i="2" s="1"/>
  <c r="H29" i="2"/>
  <c r="J29" i="2" s="1"/>
  <c r="I37" i="2"/>
  <c r="K37" i="2" s="1"/>
  <c r="H37" i="2"/>
  <c r="J37" i="2" s="1"/>
  <c r="L37" i="2" s="1"/>
  <c r="I45" i="2"/>
  <c r="K45" i="2" s="1"/>
  <c r="H45" i="2"/>
  <c r="J45" i="2" s="1"/>
  <c r="L45" i="2" s="1"/>
  <c r="I53" i="2"/>
  <c r="K53" i="2" s="1"/>
  <c r="H53" i="2"/>
  <c r="J53" i="2" s="1"/>
  <c r="L53" i="2" s="1"/>
  <c r="I61" i="2"/>
  <c r="K61" i="2" s="1"/>
  <c r="H61" i="2"/>
  <c r="J61" i="2" s="1"/>
  <c r="I69" i="2"/>
  <c r="K69" i="2" s="1"/>
  <c r="H69" i="2"/>
  <c r="J69" i="2" s="1"/>
  <c r="L69" i="2" s="1"/>
  <c r="I77" i="2"/>
  <c r="K77" i="2" s="1"/>
  <c r="H77" i="2"/>
  <c r="J77" i="2" s="1"/>
  <c r="L77" i="2" s="1"/>
  <c r="H85" i="2"/>
  <c r="J85" i="2" s="1"/>
  <c r="I85" i="2"/>
  <c r="K85" i="2" s="1"/>
  <c r="H93" i="2"/>
  <c r="J93" i="2" s="1"/>
  <c r="L93" i="2" s="1"/>
  <c r="I93" i="2"/>
  <c r="K93" i="2" s="1"/>
  <c r="H101" i="2"/>
  <c r="J101" i="2" s="1"/>
  <c r="I101" i="2"/>
  <c r="K101" i="2" s="1"/>
  <c r="H8" i="2"/>
  <c r="J8" i="2" s="1"/>
  <c r="I8" i="2"/>
  <c r="K8" i="2" s="1"/>
  <c r="H16" i="2"/>
  <c r="J16" i="2" s="1"/>
  <c r="I16" i="2"/>
  <c r="K16" i="2" s="1"/>
  <c r="H24" i="2"/>
  <c r="J24" i="2" s="1"/>
  <c r="L24" i="2" s="1"/>
  <c r="I24" i="2"/>
  <c r="K24" i="2" s="1"/>
  <c r="H32" i="2"/>
  <c r="J32" i="2" s="1"/>
  <c r="I32" i="2"/>
  <c r="K32" i="2" s="1"/>
  <c r="H40" i="2"/>
  <c r="J40" i="2" s="1"/>
  <c r="I40" i="2"/>
  <c r="K40" i="2" s="1"/>
  <c r="H48" i="2"/>
  <c r="J48" i="2" s="1"/>
  <c r="I48" i="2"/>
  <c r="K48" i="2" s="1"/>
  <c r="I56" i="2"/>
  <c r="K56" i="2" s="1"/>
  <c r="H56" i="2"/>
  <c r="J56" i="2" s="1"/>
  <c r="I64" i="2"/>
  <c r="K64" i="2" s="1"/>
  <c r="H64" i="2"/>
  <c r="J64" i="2" s="1"/>
  <c r="L64" i="2" s="1"/>
  <c r="I72" i="2"/>
  <c r="K72" i="2" s="1"/>
  <c r="H72" i="2"/>
  <c r="J72" i="2" s="1"/>
  <c r="L72" i="2" s="1"/>
  <c r="I80" i="2"/>
  <c r="K80" i="2" s="1"/>
  <c r="H80" i="2"/>
  <c r="J80" i="2" s="1"/>
  <c r="L80" i="2" s="1"/>
  <c r="L88" i="2"/>
  <c r="H89" i="2"/>
  <c r="J89" i="2" s="1"/>
  <c r="L89" i="2" s="1"/>
  <c r="I89" i="2"/>
  <c r="K89" i="2" s="1"/>
  <c r="H97" i="2"/>
  <c r="J97" i="2" s="1"/>
  <c r="L97" i="2" s="1"/>
  <c r="I97" i="2"/>
  <c r="K97" i="2" s="1"/>
  <c r="H105" i="2"/>
  <c r="J105" i="2" s="1"/>
  <c r="I105" i="2"/>
  <c r="K105" i="2" s="1"/>
  <c r="H113" i="2"/>
  <c r="J113" i="2" s="1"/>
  <c r="I113" i="2"/>
  <c r="K113" i="2" s="1"/>
  <c r="H121" i="2"/>
  <c r="J121" i="2" s="1"/>
  <c r="L121" i="2" s="1"/>
  <c r="I121" i="2"/>
  <c r="K121" i="2" s="1"/>
  <c r="H129" i="2"/>
  <c r="J129" i="2" s="1"/>
  <c r="L129" i="2" s="1"/>
  <c r="I129" i="2"/>
  <c r="K129" i="2" s="1"/>
  <c r="I137" i="2"/>
  <c r="K137" i="2" s="1"/>
  <c r="H137" i="2"/>
  <c r="J137" i="2" s="1"/>
  <c r="L137" i="2" s="1"/>
  <c r="I145" i="2"/>
  <c r="K145" i="2" s="1"/>
  <c r="H145" i="2"/>
  <c r="J145" i="2" s="1"/>
  <c r="L145" i="2" s="1"/>
  <c r="H153" i="2"/>
  <c r="J153" i="2" s="1"/>
  <c r="L153" i="2" s="1"/>
  <c r="I153" i="2"/>
  <c r="K153" i="2" s="1"/>
  <c r="I161" i="2"/>
  <c r="K161" i="2" s="1"/>
  <c r="H161" i="2"/>
  <c r="J161" i="2" s="1"/>
  <c r="I169" i="2"/>
  <c r="K169" i="2" s="1"/>
  <c r="H169" i="2"/>
  <c r="J169" i="2" s="1"/>
  <c r="L169" i="2" s="1"/>
  <c r="I177" i="2"/>
  <c r="K177" i="2" s="1"/>
  <c r="H177" i="2"/>
  <c r="J177" i="2" s="1"/>
  <c r="L177" i="2" s="1"/>
  <c r="I185" i="2"/>
  <c r="K185" i="2" s="1"/>
  <c r="H185" i="2"/>
  <c r="J185" i="2" s="1"/>
  <c r="I193" i="2"/>
  <c r="K193" i="2" s="1"/>
  <c r="H193" i="2"/>
  <c r="J193" i="2" s="1"/>
  <c r="I201" i="2"/>
  <c r="K201" i="2" s="1"/>
  <c r="H201" i="2"/>
  <c r="J201" i="2" s="1"/>
  <c r="L201" i="2" s="1"/>
  <c r="I203" i="2"/>
  <c r="K203" i="2" s="1"/>
  <c r="H203" i="2"/>
  <c r="J203" i="2" s="1"/>
  <c r="L203" i="2" s="1"/>
  <c r="H211" i="2"/>
  <c r="J211" i="2" s="1"/>
  <c r="L211" i="2" s="1"/>
  <c r="I211" i="2"/>
  <c r="K211" i="2" s="1"/>
  <c r="H219" i="2"/>
  <c r="J219" i="2" s="1"/>
  <c r="L219" i="2" s="1"/>
  <c r="I219" i="2"/>
  <c r="K219" i="2" s="1"/>
  <c r="I227" i="2"/>
  <c r="K227" i="2" s="1"/>
  <c r="H227" i="2"/>
  <c r="J227" i="2" s="1"/>
  <c r="L227" i="2" s="1"/>
  <c r="H235" i="2"/>
  <c r="J235" i="2" s="1"/>
  <c r="I235" i="2"/>
  <c r="K235" i="2" s="1"/>
  <c r="I243" i="2"/>
  <c r="K243" i="2" s="1"/>
  <c r="H243" i="2"/>
  <c r="J243" i="2" s="1"/>
  <c r="I251" i="2"/>
  <c r="K251" i="2" s="1"/>
  <c r="H251" i="2"/>
  <c r="J251" i="2" s="1"/>
  <c r="H259" i="2"/>
  <c r="J259" i="2" s="1"/>
  <c r="I259" i="2"/>
  <c r="K259" i="2" s="1"/>
  <c r="I267" i="2"/>
  <c r="K267" i="2" s="1"/>
  <c r="H267" i="2"/>
  <c r="J267" i="2" s="1"/>
  <c r="L267" i="2" s="1"/>
  <c r="H275" i="2"/>
  <c r="J275" i="2" s="1"/>
  <c r="L275" i="2" s="1"/>
  <c r="I275" i="2"/>
  <c r="K275" i="2" s="1"/>
  <c r="I78" i="2"/>
  <c r="K78" i="2" s="1"/>
  <c r="H82" i="2"/>
  <c r="J82" i="2" s="1"/>
  <c r="I88" i="2"/>
  <c r="K88" i="2" s="1"/>
  <c r="H132" i="2"/>
  <c r="J132" i="2" s="1"/>
  <c r="I132" i="2"/>
  <c r="K132" i="2" s="1"/>
  <c r="H140" i="2"/>
  <c r="J140" i="2" s="1"/>
  <c r="L140" i="2" s="1"/>
  <c r="I140" i="2"/>
  <c r="K140" i="2" s="1"/>
  <c r="H148" i="2"/>
  <c r="J148" i="2" s="1"/>
  <c r="I148" i="2"/>
  <c r="K148" i="2" s="1"/>
  <c r="H156" i="2"/>
  <c r="J156" i="2" s="1"/>
  <c r="I156" i="2"/>
  <c r="K156" i="2" s="1"/>
  <c r="I164" i="2"/>
  <c r="K164" i="2" s="1"/>
  <c r="H164" i="2"/>
  <c r="J164" i="2" s="1"/>
  <c r="L164" i="2" s="1"/>
  <c r="I172" i="2"/>
  <c r="K172" i="2" s="1"/>
  <c r="H172" i="2"/>
  <c r="J172" i="2" s="1"/>
  <c r="L172" i="2" s="1"/>
  <c r="I180" i="2"/>
  <c r="K180" i="2" s="1"/>
  <c r="H180" i="2"/>
  <c r="J180" i="2" s="1"/>
  <c r="L180" i="2" s="1"/>
  <c r="I188" i="2"/>
  <c r="K188" i="2" s="1"/>
  <c r="H188" i="2"/>
  <c r="J188" i="2" s="1"/>
  <c r="L188" i="2" s="1"/>
  <c r="I196" i="2"/>
  <c r="K196" i="2" s="1"/>
  <c r="H196" i="2"/>
  <c r="J196" i="2" s="1"/>
  <c r="L196" i="2" s="1"/>
  <c r="H208" i="2"/>
  <c r="J208" i="2" s="1"/>
  <c r="L208" i="2" s="1"/>
  <c r="I208" i="2"/>
  <c r="K208" i="2" s="1"/>
  <c r="H216" i="2"/>
  <c r="J216" i="2" s="1"/>
  <c r="I216" i="2"/>
  <c r="K216" i="2" s="1"/>
  <c r="I224" i="2"/>
  <c r="K224" i="2" s="1"/>
  <c r="H224" i="2"/>
  <c r="J224" i="2" s="1"/>
  <c r="L224" i="2" s="1"/>
  <c r="I232" i="2"/>
  <c r="K232" i="2" s="1"/>
  <c r="H232" i="2"/>
  <c r="J232" i="2" s="1"/>
  <c r="L232" i="2" s="1"/>
  <c r="I240" i="2"/>
  <c r="K240" i="2" s="1"/>
  <c r="H240" i="2"/>
  <c r="J240" i="2" s="1"/>
  <c r="L240" i="2" s="1"/>
  <c r="I248" i="2"/>
  <c r="K248" i="2" s="1"/>
  <c r="H248" i="2"/>
  <c r="J248" i="2" s="1"/>
  <c r="L248" i="2" s="1"/>
  <c r="I256" i="2"/>
  <c r="K256" i="2" s="1"/>
  <c r="H256" i="2"/>
  <c r="J256" i="2" s="1"/>
  <c r="L256" i="2" s="1"/>
  <c r="H264" i="2"/>
  <c r="J264" i="2" s="1"/>
  <c r="I264" i="2"/>
  <c r="K264" i="2" s="1"/>
  <c r="H111" i="2"/>
  <c r="J111" i="2" s="1"/>
  <c r="I111" i="2"/>
  <c r="K111" i="2" s="1"/>
  <c r="H119" i="2"/>
  <c r="J119" i="2" s="1"/>
  <c r="I119" i="2"/>
  <c r="K119" i="2" s="1"/>
  <c r="H127" i="2"/>
  <c r="J127" i="2" s="1"/>
  <c r="I127" i="2"/>
  <c r="K127" i="2" s="1"/>
  <c r="I135" i="2"/>
  <c r="K135" i="2" s="1"/>
  <c r="H135" i="2"/>
  <c r="J135" i="2" s="1"/>
  <c r="L135" i="2" s="1"/>
  <c r="I143" i="2"/>
  <c r="K143" i="2" s="1"/>
  <c r="H143" i="2"/>
  <c r="J143" i="2" s="1"/>
  <c r="L143" i="2" s="1"/>
  <c r="H151" i="2"/>
  <c r="J151" i="2" s="1"/>
  <c r="I151" i="2"/>
  <c r="K151" i="2" s="1"/>
  <c r="I159" i="2"/>
  <c r="K159" i="2" s="1"/>
  <c r="H159" i="2"/>
  <c r="J159" i="2" s="1"/>
  <c r="L159" i="2" s="1"/>
  <c r="I167" i="2"/>
  <c r="K167" i="2" s="1"/>
  <c r="H167" i="2"/>
  <c r="J167" i="2" s="1"/>
  <c r="L167" i="2" s="1"/>
  <c r="I175" i="2"/>
  <c r="K175" i="2" s="1"/>
  <c r="H175" i="2"/>
  <c r="J175" i="2" s="1"/>
  <c r="L175" i="2" s="1"/>
  <c r="I183" i="2"/>
  <c r="K183" i="2" s="1"/>
  <c r="H183" i="2"/>
  <c r="J183" i="2" s="1"/>
  <c r="L183" i="2" s="1"/>
  <c r="I191" i="2"/>
  <c r="K191" i="2" s="1"/>
  <c r="H191" i="2"/>
  <c r="J191" i="2" s="1"/>
  <c r="L191" i="2" s="1"/>
  <c r="I199" i="2"/>
  <c r="K199" i="2" s="1"/>
  <c r="H199" i="2"/>
  <c r="J199" i="2" s="1"/>
  <c r="L199" i="2" s="1"/>
  <c r="I205" i="2"/>
  <c r="K205" i="2" s="1"/>
  <c r="H205" i="2"/>
  <c r="J205" i="2" s="1"/>
  <c r="L205" i="2" s="1"/>
  <c r="I213" i="2"/>
  <c r="K213" i="2" s="1"/>
  <c r="H213" i="2"/>
  <c r="J213" i="2" s="1"/>
  <c r="L213" i="2" s="1"/>
  <c r="I221" i="2"/>
  <c r="K221" i="2" s="1"/>
  <c r="H221" i="2"/>
  <c r="J221" i="2" s="1"/>
  <c r="L221" i="2" s="1"/>
  <c r="I229" i="2"/>
  <c r="K229" i="2" s="1"/>
  <c r="H229" i="2"/>
  <c r="J229" i="2" s="1"/>
  <c r="L229" i="2" s="1"/>
  <c r="I237" i="2"/>
  <c r="K237" i="2" s="1"/>
  <c r="H237" i="2"/>
  <c r="J237" i="2" s="1"/>
  <c r="L237" i="2" s="1"/>
  <c r="I245" i="2"/>
  <c r="K245" i="2" s="1"/>
  <c r="H245" i="2"/>
  <c r="J245" i="2" s="1"/>
  <c r="L245" i="2" s="1"/>
  <c r="I253" i="2"/>
  <c r="K253" i="2" s="1"/>
  <c r="H253" i="2"/>
  <c r="J253" i="2" s="1"/>
  <c r="L253" i="2" s="1"/>
  <c r="H301" i="2"/>
  <c r="J301" i="2" s="1"/>
  <c r="H58" i="2"/>
  <c r="J58" i="2" s="1"/>
  <c r="L58" i="2" s="1"/>
  <c r="H90" i="2"/>
  <c r="J90" i="2" s="1"/>
  <c r="H98" i="2"/>
  <c r="J98" i="2" s="1"/>
  <c r="L98" i="2" s="1"/>
  <c r="I98" i="2"/>
  <c r="K98" i="2" s="1"/>
  <c r="H106" i="2"/>
  <c r="J106" i="2" s="1"/>
  <c r="L106" i="2" s="1"/>
  <c r="I106" i="2"/>
  <c r="K106" i="2" s="1"/>
  <c r="H114" i="2"/>
  <c r="J114" i="2" s="1"/>
  <c r="L114" i="2" s="1"/>
  <c r="I114" i="2"/>
  <c r="K114" i="2" s="1"/>
  <c r="H122" i="2"/>
  <c r="J122" i="2" s="1"/>
  <c r="I122" i="2"/>
  <c r="K122" i="2" s="1"/>
  <c r="H130" i="2"/>
  <c r="J130" i="2" s="1"/>
  <c r="L130" i="2" s="1"/>
  <c r="I130" i="2"/>
  <c r="K130" i="2" s="1"/>
  <c r="I138" i="2"/>
  <c r="K138" i="2" s="1"/>
  <c r="H138" i="2"/>
  <c r="J138" i="2" s="1"/>
  <c r="I146" i="2"/>
  <c r="K146" i="2" s="1"/>
  <c r="H146" i="2"/>
  <c r="J146" i="2" s="1"/>
  <c r="H154" i="2"/>
  <c r="J154" i="2" s="1"/>
  <c r="I154" i="2"/>
  <c r="K154" i="2" s="1"/>
  <c r="I162" i="2"/>
  <c r="K162" i="2" s="1"/>
  <c r="H162" i="2"/>
  <c r="J162" i="2" s="1"/>
  <c r="I170" i="2"/>
  <c r="K170" i="2" s="1"/>
  <c r="H170" i="2"/>
  <c r="J170" i="2" s="1"/>
  <c r="I178" i="2"/>
  <c r="K178" i="2" s="1"/>
  <c r="H178" i="2"/>
  <c r="J178" i="2" s="1"/>
  <c r="I186" i="2"/>
  <c r="K186" i="2" s="1"/>
  <c r="H186" i="2"/>
  <c r="J186" i="2" s="1"/>
  <c r="L186" i="2" s="1"/>
  <c r="I194" i="2"/>
  <c r="K194" i="2" s="1"/>
  <c r="H194" i="2"/>
  <c r="J194" i="2" s="1"/>
  <c r="I202" i="2"/>
  <c r="K202" i="2" s="1"/>
  <c r="H202" i="2"/>
  <c r="J202" i="2" s="1"/>
  <c r="I210" i="2"/>
  <c r="K210" i="2" s="1"/>
  <c r="H210" i="2"/>
  <c r="J210" i="2" s="1"/>
  <c r="H218" i="2"/>
  <c r="J218" i="2" s="1"/>
  <c r="I218" i="2"/>
  <c r="K218" i="2" s="1"/>
  <c r="I226" i="2"/>
  <c r="K226" i="2" s="1"/>
  <c r="H226" i="2"/>
  <c r="J226" i="2" s="1"/>
  <c r="H234" i="2"/>
  <c r="J234" i="2" s="1"/>
  <c r="L234" i="2" s="1"/>
  <c r="I234" i="2"/>
  <c r="K234" i="2" s="1"/>
  <c r="I242" i="2"/>
  <c r="K242" i="2" s="1"/>
  <c r="H242" i="2"/>
  <c r="J242" i="2" s="1"/>
  <c r="I250" i="2"/>
  <c r="K250" i="2" s="1"/>
  <c r="H250" i="2"/>
  <c r="J250" i="2" s="1"/>
  <c r="L250" i="2" s="1"/>
  <c r="H109" i="2"/>
  <c r="J109" i="2" s="1"/>
  <c r="L109" i="2" s="1"/>
  <c r="I109" i="2"/>
  <c r="K109" i="2" s="1"/>
  <c r="H117" i="2"/>
  <c r="J117" i="2" s="1"/>
  <c r="L117" i="2" s="1"/>
  <c r="I117" i="2"/>
  <c r="K117" i="2" s="1"/>
  <c r="H125" i="2"/>
  <c r="J125" i="2" s="1"/>
  <c r="L125" i="2" s="1"/>
  <c r="I125" i="2"/>
  <c r="K125" i="2" s="1"/>
  <c r="H133" i="2"/>
  <c r="J133" i="2" s="1"/>
  <c r="I133" i="2"/>
  <c r="K133" i="2" s="1"/>
  <c r="H141" i="2"/>
  <c r="J141" i="2" s="1"/>
  <c r="L141" i="2" s="1"/>
  <c r="I141" i="2"/>
  <c r="K141" i="2" s="1"/>
  <c r="H149" i="2"/>
  <c r="J149" i="2" s="1"/>
  <c r="L149" i="2" s="1"/>
  <c r="I149" i="2"/>
  <c r="K149" i="2" s="1"/>
  <c r="I157" i="2"/>
  <c r="K157" i="2" s="1"/>
  <c r="H157" i="2"/>
  <c r="J157" i="2" s="1"/>
  <c r="I165" i="2"/>
  <c r="K165" i="2" s="1"/>
  <c r="H165" i="2"/>
  <c r="J165" i="2" s="1"/>
  <c r="L165" i="2" s="1"/>
  <c r="I173" i="2"/>
  <c r="K173" i="2" s="1"/>
  <c r="H173" i="2"/>
  <c r="J173" i="2" s="1"/>
  <c r="I181" i="2"/>
  <c r="K181" i="2" s="1"/>
  <c r="H181" i="2"/>
  <c r="J181" i="2" s="1"/>
  <c r="I189" i="2"/>
  <c r="K189" i="2" s="1"/>
  <c r="H189" i="2"/>
  <c r="J189" i="2" s="1"/>
  <c r="I197" i="2"/>
  <c r="K197" i="2" s="1"/>
  <c r="H197" i="2"/>
  <c r="J197" i="2" s="1"/>
  <c r="L197" i="2" s="1"/>
  <c r="I207" i="2"/>
  <c r="K207" i="2" s="1"/>
  <c r="H207" i="2"/>
  <c r="J207" i="2" s="1"/>
  <c r="H215" i="2"/>
  <c r="J215" i="2" s="1"/>
  <c r="L215" i="2" s="1"/>
  <c r="I215" i="2"/>
  <c r="K215" i="2" s="1"/>
  <c r="H223" i="2"/>
  <c r="J223" i="2" s="1"/>
  <c r="L223" i="2" s="1"/>
  <c r="I223" i="2"/>
  <c r="K223" i="2" s="1"/>
  <c r="I231" i="2"/>
  <c r="K231" i="2" s="1"/>
  <c r="H231" i="2"/>
  <c r="J231" i="2" s="1"/>
  <c r="L231" i="2" s="1"/>
  <c r="H239" i="2"/>
  <c r="J239" i="2" s="1"/>
  <c r="L239" i="2" s="1"/>
  <c r="I239" i="2"/>
  <c r="K239" i="2" s="1"/>
  <c r="I247" i="2"/>
  <c r="K247" i="2" s="1"/>
  <c r="H247" i="2"/>
  <c r="J247" i="2" s="1"/>
  <c r="H255" i="2"/>
  <c r="J255" i="2" s="1"/>
  <c r="L255" i="2" s="1"/>
  <c r="I255" i="2"/>
  <c r="K255" i="2" s="1"/>
  <c r="I263" i="2"/>
  <c r="K263" i="2" s="1"/>
  <c r="H263" i="2"/>
  <c r="J263" i="2" s="1"/>
  <c r="L263" i="2" s="1"/>
  <c r="H271" i="2"/>
  <c r="J271" i="2" s="1"/>
  <c r="L271" i="2" s="1"/>
  <c r="I271" i="2"/>
  <c r="K271" i="2" s="1"/>
  <c r="I279" i="2"/>
  <c r="K279" i="2" s="1"/>
  <c r="H279" i="2"/>
  <c r="J279" i="2" s="1"/>
  <c r="I287" i="2"/>
  <c r="K287" i="2" s="1"/>
  <c r="H287" i="2"/>
  <c r="J287" i="2" s="1"/>
  <c r="H295" i="2"/>
  <c r="J295" i="2" s="1"/>
  <c r="I295" i="2"/>
  <c r="K295" i="2" s="1"/>
  <c r="H66" i="2"/>
  <c r="J66" i="2" s="1"/>
  <c r="L66" i="2" s="1"/>
  <c r="H96" i="2"/>
  <c r="J96" i="2" s="1"/>
  <c r="I96" i="2"/>
  <c r="K96" i="2" s="1"/>
  <c r="H104" i="2"/>
  <c r="J104" i="2" s="1"/>
  <c r="I104" i="2"/>
  <c r="K104" i="2" s="1"/>
  <c r="H112" i="2"/>
  <c r="J112" i="2" s="1"/>
  <c r="I112" i="2"/>
  <c r="K112" i="2" s="1"/>
  <c r="H120" i="2"/>
  <c r="J120" i="2" s="1"/>
  <c r="I120" i="2"/>
  <c r="K120" i="2" s="1"/>
  <c r="H128" i="2"/>
  <c r="J128" i="2" s="1"/>
  <c r="I128" i="2"/>
  <c r="K128" i="2" s="1"/>
  <c r="I136" i="2"/>
  <c r="K136" i="2" s="1"/>
  <c r="H136" i="2"/>
  <c r="J136" i="2" s="1"/>
  <c r="L136" i="2" s="1"/>
  <c r="I144" i="2"/>
  <c r="K144" i="2" s="1"/>
  <c r="H144" i="2"/>
  <c r="J144" i="2" s="1"/>
  <c r="L144" i="2" s="1"/>
  <c r="H152" i="2"/>
  <c r="J152" i="2" s="1"/>
  <c r="I152" i="2"/>
  <c r="K152" i="2" s="1"/>
  <c r="I160" i="2"/>
  <c r="K160" i="2" s="1"/>
  <c r="H160" i="2"/>
  <c r="J160" i="2" s="1"/>
  <c r="L160" i="2" s="1"/>
  <c r="I168" i="2"/>
  <c r="K168" i="2" s="1"/>
  <c r="H168" i="2"/>
  <c r="J168" i="2" s="1"/>
  <c r="L168" i="2" s="1"/>
  <c r="I176" i="2"/>
  <c r="K176" i="2" s="1"/>
  <c r="H176" i="2"/>
  <c r="J176" i="2" s="1"/>
  <c r="L176" i="2" s="1"/>
  <c r="I184" i="2"/>
  <c r="K184" i="2" s="1"/>
  <c r="H184" i="2"/>
  <c r="J184" i="2" s="1"/>
  <c r="L184" i="2" s="1"/>
  <c r="I192" i="2"/>
  <c r="K192" i="2" s="1"/>
  <c r="H192" i="2"/>
  <c r="J192" i="2" s="1"/>
  <c r="L192" i="2" s="1"/>
  <c r="I200" i="2"/>
  <c r="K200" i="2" s="1"/>
  <c r="H200" i="2"/>
  <c r="J200" i="2" s="1"/>
  <c r="L200" i="2" s="1"/>
  <c r="H204" i="2"/>
  <c r="J204" i="2" s="1"/>
  <c r="I204" i="2"/>
  <c r="K204" i="2" s="1"/>
  <c r="I212" i="2"/>
  <c r="K212" i="2" s="1"/>
  <c r="H212" i="2"/>
  <c r="J212" i="2" s="1"/>
  <c r="L212" i="2" s="1"/>
  <c r="I220" i="2"/>
  <c r="K220" i="2" s="1"/>
  <c r="H220" i="2"/>
  <c r="J220" i="2" s="1"/>
  <c r="L220" i="2" s="1"/>
  <c r="I228" i="2"/>
  <c r="K228" i="2" s="1"/>
  <c r="H228" i="2"/>
  <c r="J228" i="2" s="1"/>
  <c r="L228" i="2" s="1"/>
  <c r="H236" i="2"/>
  <c r="J236" i="2" s="1"/>
  <c r="I236" i="2"/>
  <c r="K236" i="2" s="1"/>
  <c r="I244" i="2"/>
  <c r="K244" i="2" s="1"/>
  <c r="H244" i="2"/>
  <c r="J244" i="2" s="1"/>
  <c r="L244" i="2" s="1"/>
  <c r="I252" i="2"/>
  <c r="K252" i="2" s="1"/>
  <c r="H252" i="2"/>
  <c r="J252" i="2" s="1"/>
  <c r="L252" i="2" s="1"/>
  <c r="I260" i="2"/>
  <c r="K260" i="2" s="1"/>
  <c r="H260" i="2"/>
  <c r="J260" i="2" s="1"/>
  <c r="L260" i="2" s="1"/>
  <c r="H268" i="2"/>
  <c r="J268" i="2" s="1"/>
  <c r="I268" i="2"/>
  <c r="K268" i="2" s="1"/>
  <c r="H276" i="2"/>
  <c r="J276" i="2" s="1"/>
  <c r="I276" i="2"/>
  <c r="K276" i="2" s="1"/>
  <c r="H284" i="2"/>
  <c r="J284" i="2" s="1"/>
  <c r="I284" i="2"/>
  <c r="K284" i="2" s="1"/>
  <c r="I292" i="2"/>
  <c r="K292" i="2" s="1"/>
  <c r="H292" i="2"/>
  <c r="J292" i="2" s="1"/>
  <c r="L292" i="2" s="1"/>
  <c r="I300" i="2"/>
  <c r="K300" i="2" s="1"/>
  <c r="H300" i="2"/>
  <c r="J300" i="2" s="1"/>
  <c r="L300" i="2" s="1"/>
  <c r="H2" i="2"/>
  <c r="J2" i="2" s="1"/>
  <c r="L2" i="2" s="1"/>
  <c r="H10" i="2"/>
  <c r="J10" i="2" s="1"/>
  <c r="L10" i="2" s="1"/>
  <c r="H18" i="2"/>
  <c r="J18" i="2" s="1"/>
  <c r="H26" i="2"/>
  <c r="J26" i="2" s="1"/>
  <c r="L26" i="2" s="1"/>
  <c r="H34" i="2"/>
  <c r="J34" i="2" s="1"/>
  <c r="H42" i="2"/>
  <c r="J42" i="2" s="1"/>
  <c r="L42" i="2" s="1"/>
  <c r="H50" i="2"/>
  <c r="J50" i="2" s="1"/>
  <c r="L50" i="2" s="1"/>
  <c r="H70" i="2"/>
  <c r="J70" i="2" s="1"/>
  <c r="L70" i="2" s="1"/>
  <c r="I90" i="2"/>
  <c r="K90" i="2" s="1"/>
  <c r="I217" i="2"/>
  <c r="K217" i="2" s="1"/>
  <c r="H217" i="2"/>
  <c r="J217" i="2" s="1"/>
  <c r="I225" i="2"/>
  <c r="K225" i="2" s="1"/>
  <c r="H225" i="2"/>
  <c r="J225" i="2" s="1"/>
  <c r="I233" i="2"/>
  <c r="K233" i="2" s="1"/>
  <c r="H233" i="2"/>
  <c r="J233" i="2" s="1"/>
  <c r="I241" i="2"/>
  <c r="K241" i="2" s="1"/>
  <c r="H241" i="2"/>
  <c r="J241" i="2" s="1"/>
  <c r="L241" i="2" s="1"/>
  <c r="I249" i="2"/>
  <c r="K249" i="2" s="1"/>
  <c r="H249" i="2"/>
  <c r="J249" i="2" s="1"/>
  <c r="I257" i="2"/>
  <c r="K257" i="2" s="1"/>
  <c r="H257" i="2"/>
  <c r="J257" i="2" s="1"/>
  <c r="I265" i="2"/>
  <c r="K265" i="2" s="1"/>
  <c r="H265" i="2"/>
  <c r="J265" i="2" s="1"/>
  <c r="I273" i="2"/>
  <c r="K273" i="2" s="1"/>
  <c r="H273" i="2"/>
  <c r="J273" i="2" s="1"/>
  <c r="L273" i="2" s="1"/>
  <c r="I281" i="2"/>
  <c r="K281" i="2" s="1"/>
  <c r="H281" i="2"/>
  <c r="J281" i="2" s="1"/>
  <c r="I289" i="2"/>
  <c r="K289" i="2" s="1"/>
  <c r="H289" i="2"/>
  <c r="J289" i="2" s="1"/>
  <c r="I297" i="2"/>
  <c r="K297" i="2" s="1"/>
  <c r="H297" i="2"/>
  <c r="J297" i="2" s="1"/>
  <c r="H74" i="2"/>
  <c r="J74" i="2" s="1"/>
  <c r="H86" i="2"/>
  <c r="J86" i="2" s="1"/>
  <c r="L86" i="2" s="1"/>
  <c r="H94" i="2"/>
  <c r="J94" i="2" s="1"/>
  <c r="L94" i="2" s="1"/>
  <c r="I94" i="2"/>
  <c r="K94" i="2" s="1"/>
  <c r="H102" i="2"/>
  <c r="J102" i="2" s="1"/>
  <c r="L102" i="2" s="1"/>
  <c r="I102" i="2"/>
  <c r="K102" i="2" s="1"/>
  <c r="H110" i="2"/>
  <c r="J110" i="2" s="1"/>
  <c r="L110" i="2" s="1"/>
  <c r="I110" i="2"/>
  <c r="K110" i="2" s="1"/>
  <c r="H118" i="2"/>
  <c r="J118" i="2" s="1"/>
  <c r="I118" i="2"/>
  <c r="K118" i="2" s="1"/>
  <c r="H126" i="2"/>
  <c r="J126" i="2" s="1"/>
  <c r="L126" i="2" s="1"/>
  <c r="I126" i="2"/>
  <c r="K126" i="2" s="1"/>
  <c r="I134" i="2"/>
  <c r="K134" i="2" s="1"/>
  <c r="H134" i="2"/>
  <c r="J134" i="2" s="1"/>
  <c r="I142" i="2"/>
  <c r="K142" i="2" s="1"/>
  <c r="H142" i="2"/>
  <c r="J142" i="2" s="1"/>
  <c r="H150" i="2"/>
  <c r="J150" i="2" s="1"/>
  <c r="I150" i="2"/>
  <c r="K150" i="2" s="1"/>
  <c r="I158" i="2"/>
  <c r="K158" i="2" s="1"/>
  <c r="H158" i="2"/>
  <c r="J158" i="2" s="1"/>
  <c r="I166" i="2"/>
  <c r="K166" i="2" s="1"/>
  <c r="H166" i="2"/>
  <c r="J166" i="2" s="1"/>
  <c r="I174" i="2"/>
  <c r="K174" i="2" s="1"/>
  <c r="H174" i="2"/>
  <c r="J174" i="2" s="1"/>
  <c r="I182" i="2"/>
  <c r="K182" i="2" s="1"/>
  <c r="H182" i="2"/>
  <c r="J182" i="2" s="1"/>
  <c r="L182" i="2" s="1"/>
  <c r="I190" i="2"/>
  <c r="K190" i="2" s="1"/>
  <c r="H190" i="2"/>
  <c r="J190" i="2" s="1"/>
  <c r="I198" i="2"/>
  <c r="K198" i="2" s="1"/>
  <c r="H198" i="2"/>
  <c r="J198" i="2" s="1"/>
  <c r="I206" i="2"/>
  <c r="K206" i="2" s="1"/>
  <c r="H206" i="2"/>
  <c r="J206" i="2" s="1"/>
  <c r="I214" i="2"/>
  <c r="K214" i="2" s="1"/>
  <c r="H214" i="2"/>
  <c r="J214" i="2" s="1"/>
  <c r="L214" i="2" s="1"/>
  <c r="I222" i="2"/>
  <c r="K222" i="2" s="1"/>
  <c r="H222" i="2"/>
  <c r="J222" i="2" s="1"/>
  <c r="I230" i="2"/>
  <c r="K230" i="2" s="1"/>
  <c r="H230" i="2"/>
  <c r="J230" i="2" s="1"/>
  <c r="H238" i="2"/>
  <c r="J238" i="2" s="1"/>
  <c r="L238" i="2" s="1"/>
  <c r="I238" i="2"/>
  <c r="K238" i="2" s="1"/>
  <c r="I246" i="2"/>
  <c r="K246" i="2" s="1"/>
  <c r="H246" i="2"/>
  <c r="J246" i="2" s="1"/>
  <c r="L246" i="2" s="1"/>
  <c r="I254" i="2"/>
  <c r="K254" i="2" s="1"/>
  <c r="H254" i="2"/>
  <c r="J254" i="2" s="1"/>
  <c r="I262" i="2"/>
  <c r="K262" i="2" s="1"/>
  <c r="H262" i="2"/>
  <c r="J262" i="2" s="1"/>
  <c r="H270" i="2"/>
  <c r="J270" i="2" s="1"/>
  <c r="L270" i="2" s="1"/>
  <c r="I270" i="2"/>
  <c r="K270" i="2" s="1"/>
  <c r="I278" i="2"/>
  <c r="K278" i="2" s="1"/>
  <c r="H278" i="2"/>
  <c r="J278" i="2" s="1"/>
  <c r="L278" i="2" s="1"/>
  <c r="I286" i="2"/>
  <c r="K286" i="2" s="1"/>
  <c r="H286" i="2"/>
  <c r="J286" i="2" s="1"/>
  <c r="I294" i="2"/>
  <c r="K294" i="2" s="1"/>
  <c r="H294" i="2"/>
  <c r="J294" i="2" s="1"/>
  <c r="I258" i="2"/>
  <c r="K258" i="2" s="1"/>
  <c r="H258" i="2"/>
  <c r="J258" i="2" s="1"/>
  <c r="H266" i="2"/>
  <c r="J266" i="2" s="1"/>
  <c r="I266" i="2"/>
  <c r="K266" i="2" s="1"/>
  <c r="I274" i="2"/>
  <c r="K274" i="2" s="1"/>
  <c r="H274" i="2"/>
  <c r="J274" i="2" s="1"/>
  <c r="H282" i="2"/>
  <c r="J282" i="2" s="1"/>
  <c r="L282" i="2" s="1"/>
  <c r="I282" i="2"/>
  <c r="K282" i="2" s="1"/>
  <c r="I290" i="2"/>
  <c r="K290" i="2" s="1"/>
  <c r="H290" i="2"/>
  <c r="J290" i="2" s="1"/>
  <c r="I298" i="2"/>
  <c r="K298" i="2" s="1"/>
  <c r="H298" i="2"/>
  <c r="J298" i="2" s="1"/>
  <c r="L298" i="2" s="1"/>
  <c r="I283" i="2"/>
  <c r="K283" i="2" s="1"/>
  <c r="H283" i="2"/>
  <c r="J283" i="2" s="1"/>
  <c r="H291" i="2"/>
  <c r="J291" i="2" s="1"/>
  <c r="L291" i="2" s="1"/>
  <c r="I291" i="2"/>
  <c r="K291" i="2" s="1"/>
  <c r="H299" i="2"/>
  <c r="J299" i="2" s="1"/>
  <c r="L299" i="2" s="1"/>
  <c r="I299" i="2"/>
  <c r="K299" i="2" s="1"/>
  <c r="H272" i="2"/>
  <c r="J272" i="2" s="1"/>
  <c r="I272" i="2"/>
  <c r="K272" i="2" s="1"/>
  <c r="H280" i="2"/>
  <c r="J280" i="2" s="1"/>
  <c r="L280" i="2" s="1"/>
  <c r="I280" i="2"/>
  <c r="K280" i="2" s="1"/>
  <c r="I288" i="2"/>
  <c r="K288" i="2" s="1"/>
  <c r="H288" i="2"/>
  <c r="J288" i="2" s="1"/>
  <c r="I296" i="2"/>
  <c r="K296" i="2" s="1"/>
  <c r="H296" i="2"/>
  <c r="J296" i="2" s="1"/>
  <c r="I261" i="2"/>
  <c r="K261" i="2" s="1"/>
  <c r="H261" i="2"/>
  <c r="J261" i="2" s="1"/>
  <c r="L261" i="2" s="1"/>
  <c r="I269" i="2"/>
  <c r="K269" i="2" s="1"/>
  <c r="H269" i="2"/>
  <c r="J269" i="2" s="1"/>
  <c r="I277" i="2"/>
  <c r="K277" i="2" s="1"/>
  <c r="H277" i="2"/>
  <c r="J277" i="2" s="1"/>
  <c r="I285" i="2"/>
  <c r="K285" i="2" s="1"/>
  <c r="H285" i="2"/>
  <c r="J285" i="2" s="1"/>
  <c r="H293" i="2"/>
  <c r="J293" i="2" s="1"/>
  <c r="I293" i="2"/>
  <c r="K293" i="2" s="1"/>
  <c r="I301" i="2"/>
  <c r="K301" i="2" s="1"/>
  <c r="O94" i="2" l="1"/>
  <c r="M94" i="2"/>
  <c r="N94" i="2"/>
  <c r="O160" i="2"/>
  <c r="N160" i="2"/>
  <c r="M160" i="2"/>
  <c r="P160" i="2" s="1"/>
  <c r="N215" i="2"/>
  <c r="M215" i="2"/>
  <c r="P215" i="2" s="1"/>
  <c r="O215" i="2"/>
  <c r="M234" i="2"/>
  <c r="O234" i="2"/>
  <c r="N234" i="2"/>
  <c r="O183" i="2"/>
  <c r="N183" i="2"/>
  <c r="M183" i="2"/>
  <c r="O64" i="2"/>
  <c r="N64" i="2"/>
  <c r="M64" i="2"/>
  <c r="M37" i="2"/>
  <c r="O37" i="2"/>
  <c r="N37" i="2"/>
  <c r="M15" i="2"/>
  <c r="P15" i="2" s="1"/>
  <c r="O15" i="2"/>
  <c r="N15" i="2"/>
  <c r="M36" i="2"/>
  <c r="O36" i="2"/>
  <c r="N36" i="2"/>
  <c r="O73" i="2"/>
  <c r="M73" i="2"/>
  <c r="N73" i="2"/>
  <c r="M41" i="2"/>
  <c r="O41" i="2"/>
  <c r="N41" i="2"/>
  <c r="M9" i="2"/>
  <c r="O9" i="2"/>
  <c r="N9" i="2"/>
  <c r="O155" i="2"/>
  <c r="N155" i="2"/>
  <c r="M155" i="2"/>
  <c r="O123" i="2"/>
  <c r="N123" i="2"/>
  <c r="M123" i="2"/>
  <c r="M3" i="2"/>
  <c r="O3" i="2"/>
  <c r="N3" i="2"/>
  <c r="M244" i="2"/>
  <c r="P244" i="2" s="1"/>
  <c r="O244" i="2"/>
  <c r="N244" i="2"/>
  <c r="O261" i="2"/>
  <c r="N261" i="2"/>
  <c r="M261" i="2"/>
  <c r="P261" i="2" s="1"/>
  <c r="O291" i="2"/>
  <c r="N291" i="2"/>
  <c r="M291" i="2"/>
  <c r="P291" i="2" s="1"/>
  <c r="M282" i="2"/>
  <c r="O282" i="2"/>
  <c r="N282" i="2"/>
  <c r="O102" i="2"/>
  <c r="N102" i="2"/>
  <c r="M102" i="2"/>
  <c r="P102" i="2" s="1"/>
  <c r="M26" i="2"/>
  <c r="N26" i="2"/>
  <c r="O26" i="2"/>
  <c r="N252" i="2"/>
  <c r="O252" i="2"/>
  <c r="M252" i="2"/>
  <c r="O220" i="2"/>
  <c r="N220" i="2"/>
  <c r="M220" i="2"/>
  <c r="M192" i="2"/>
  <c r="P192" i="2" s="1"/>
  <c r="N192" i="2"/>
  <c r="O192" i="2"/>
  <c r="O149" i="2"/>
  <c r="N149" i="2"/>
  <c r="M149" i="2"/>
  <c r="P149" i="2" s="1"/>
  <c r="O117" i="2"/>
  <c r="N117" i="2"/>
  <c r="M117" i="2"/>
  <c r="O106" i="2"/>
  <c r="N106" i="2"/>
  <c r="M106" i="2"/>
  <c r="O245" i="2"/>
  <c r="M245" i="2"/>
  <c r="N245" i="2"/>
  <c r="O213" i="2"/>
  <c r="N213" i="2"/>
  <c r="M213" i="2"/>
  <c r="M248" i="2"/>
  <c r="P248" i="2" s="1"/>
  <c r="O248" i="2"/>
  <c r="N248" i="2"/>
  <c r="M180" i="2"/>
  <c r="N180" i="2"/>
  <c r="O180" i="2"/>
  <c r="N219" i="2"/>
  <c r="M219" i="2"/>
  <c r="O219" i="2"/>
  <c r="O129" i="2"/>
  <c r="N129" i="2"/>
  <c r="M129" i="2"/>
  <c r="P129" i="2" s="1"/>
  <c r="O97" i="2"/>
  <c r="N97" i="2"/>
  <c r="M97" i="2"/>
  <c r="O69" i="2"/>
  <c r="M69" i="2"/>
  <c r="P69" i="2" s="1"/>
  <c r="N69" i="2"/>
  <c r="M5" i="2"/>
  <c r="O5" i="2"/>
  <c r="N5" i="2"/>
  <c r="O79" i="2"/>
  <c r="N79" i="2"/>
  <c r="M79" i="2"/>
  <c r="M47" i="2"/>
  <c r="P47" i="2" s="1"/>
  <c r="O47" i="2"/>
  <c r="N47" i="2"/>
  <c r="O68" i="2"/>
  <c r="N68" i="2"/>
  <c r="M68" i="2"/>
  <c r="M4" i="2"/>
  <c r="O4" i="2"/>
  <c r="N4" i="2"/>
  <c r="O91" i="2"/>
  <c r="N91" i="2"/>
  <c r="M91" i="2"/>
  <c r="P91" i="2" s="1"/>
  <c r="L269" i="2"/>
  <c r="L283" i="2"/>
  <c r="L274" i="2"/>
  <c r="L286" i="2"/>
  <c r="L254" i="2"/>
  <c r="L222" i="2"/>
  <c r="L190" i="2"/>
  <c r="L158" i="2"/>
  <c r="L281" i="2"/>
  <c r="L249" i="2"/>
  <c r="L217" i="2"/>
  <c r="L18" i="2"/>
  <c r="L284" i="2"/>
  <c r="L128" i="2"/>
  <c r="L96" i="2"/>
  <c r="L207" i="2"/>
  <c r="L173" i="2"/>
  <c r="L226" i="2"/>
  <c r="L194" i="2"/>
  <c r="L162" i="2"/>
  <c r="L151" i="2"/>
  <c r="L119" i="2"/>
  <c r="L216" i="2"/>
  <c r="L148" i="2"/>
  <c r="L243" i="2"/>
  <c r="L185" i="2"/>
  <c r="L32" i="2"/>
  <c r="L101" i="2"/>
  <c r="L100" i="2"/>
  <c r="L46" i="2"/>
  <c r="L14" i="2"/>
  <c r="L35" i="2"/>
  <c r="L179" i="2"/>
  <c r="M280" i="2"/>
  <c r="N280" i="2"/>
  <c r="O280" i="2"/>
  <c r="O126" i="2"/>
  <c r="N126" i="2"/>
  <c r="M126" i="2"/>
  <c r="M10" i="2"/>
  <c r="N10" i="2"/>
  <c r="O10" i="2"/>
  <c r="O212" i="2"/>
  <c r="M212" i="2"/>
  <c r="N212" i="2"/>
  <c r="M184" i="2"/>
  <c r="N184" i="2"/>
  <c r="O184" i="2"/>
  <c r="O239" i="2"/>
  <c r="N239" i="2"/>
  <c r="M239" i="2"/>
  <c r="M141" i="2"/>
  <c r="O141" i="2"/>
  <c r="N141" i="2"/>
  <c r="O109" i="2"/>
  <c r="N109" i="2"/>
  <c r="M109" i="2"/>
  <c r="P109" i="2" s="1"/>
  <c r="O130" i="2"/>
  <c r="N130" i="2"/>
  <c r="M130" i="2"/>
  <c r="O98" i="2"/>
  <c r="M98" i="2"/>
  <c r="N98" i="2"/>
  <c r="O237" i="2"/>
  <c r="N237" i="2"/>
  <c r="M237" i="2"/>
  <c r="O205" i="2"/>
  <c r="N205" i="2"/>
  <c r="M205" i="2"/>
  <c r="P205" i="2" s="1"/>
  <c r="N175" i="2"/>
  <c r="M175" i="2"/>
  <c r="O175" i="2"/>
  <c r="M143" i="2"/>
  <c r="P143" i="2" s="1"/>
  <c r="N143" i="2"/>
  <c r="O143" i="2"/>
  <c r="M240" i="2"/>
  <c r="N240" i="2"/>
  <c r="O240" i="2"/>
  <c r="O172" i="2"/>
  <c r="N172" i="2"/>
  <c r="M172" i="2"/>
  <c r="P172" i="2" s="1"/>
  <c r="O275" i="2"/>
  <c r="N275" i="2"/>
  <c r="M275" i="2"/>
  <c r="N211" i="2"/>
  <c r="M211" i="2"/>
  <c r="O211" i="2"/>
  <c r="M153" i="2"/>
  <c r="N153" i="2"/>
  <c r="O153" i="2"/>
  <c r="O121" i="2"/>
  <c r="N121" i="2"/>
  <c r="M121" i="2"/>
  <c r="P121" i="2" s="1"/>
  <c r="O89" i="2"/>
  <c r="N89" i="2"/>
  <c r="M89" i="2"/>
  <c r="P89" i="2" s="1"/>
  <c r="L56" i="2"/>
  <c r="L61" i="2"/>
  <c r="L29" i="2"/>
  <c r="L71" i="2"/>
  <c r="L39" i="2"/>
  <c r="L7" i="2"/>
  <c r="L60" i="2"/>
  <c r="L28" i="2"/>
  <c r="L65" i="2"/>
  <c r="L33" i="2"/>
  <c r="O147" i="2"/>
  <c r="N147" i="2"/>
  <c r="M147" i="2"/>
  <c r="P147" i="2" s="1"/>
  <c r="O115" i="2"/>
  <c r="N115" i="2"/>
  <c r="M115" i="2"/>
  <c r="P115" i="2" s="1"/>
  <c r="O83" i="2"/>
  <c r="N83" i="2"/>
  <c r="M83" i="2"/>
  <c r="L27" i="2"/>
  <c r="M2" i="2"/>
  <c r="P2" i="2" s="1"/>
  <c r="N2" i="2"/>
  <c r="O2" i="2"/>
  <c r="N197" i="2"/>
  <c r="M197" i="2"/>
  <c r="P197" i="2" s="1"/>
  <c r="O197" i="2"/>
  <c r="L111" i="2"/>
  <c r="O267" i="2"/>
  <c r="N267" i="2"/>
  <c r="M267" i="2"/>
  <c r="N177" i="2"/>
  <c r="M177" i="2"/>
  <c r="O177" i="2"/>
  <c r="M145" i="2"/>
  <c r="N145" i="2"/>
  <c r="O145" i="2"/>
  <c r="O88" i="2"/>
  <c r="M88" i="2"/>
  <c r="N88" i="2"/>
  <c r="M24" i="2"/>
  <c r="O24" i="2"/>
  <c r="N24" i="2"/>
  <c r="O93" i="2"/>
  <c r="N93" i="2"/>
  <c r="M93" i="2"/>
  <c r="P93" i="2" s="1"/>
  <c r="O103" i="2"/>
  <c r="N103" i="2"/>
  <c r="M103" i="2"/>
  <c r="P103" i="2" s="1"/>
  <c r="O124" i="2"/>
  <c r="N124" i="2"/>
  <c r="M124" i="2"/>
  <c r="O92" i="2"/>
  <c r="M92" i="2"/>
  <c r="P92" i="2" s="1"/>
  <c r="N92" i="2"/>
  <c r="L78" i="2"/>
  <c r="M38" i="2"/>
  <c r="O38" i="2"/>
  <c r="N38" i="2"/>
  <c r="M6" i="2"/>
  <c r="O6" i="2"/>
  <c r="N6" i="2"/>
  <c r="N209" i="2"/>
  <c r="M209" i="2"/>
  <c r="O209" i="2"/>
  <c r="N171" i="2"/>
  <c r="M171" i="2"/>
  <c r="O171" i="2"/>
  <c r="M139" i="2"/>
  <c r="O139" i="2"/>
  <c r="N139" i="2"/>
  <c r="O75" i="2"/>
  <c r="N75" i="2"/>
  <c r="M75" i="2"/>
  <c r="P75" i="2" s="1"/>
  <c r="M144" i="2"/>
  <c r="O144" i="2"/>
  <c r="N144" i="2"/>
  <c r="N167" i="2"/>
  <c r="M167" i="2"/>
  <c r="O167" i="2"/>
  <c r="L235" i="2"/>
  <c r="L113" i="2"/>
  <c r="O80" i="2"/>
  <c r="N80" i="2"/>
  <c r="M80" i="2"/>
  <c r="M53" i="2"/>
  <c r="P53" i="2" s="1"/>
  <c r="O53" i="2"/>
  <c r="N53" i="2"/>
  <c r="O63" i="2"/>
  <c r="N63" i="2"/>
  <c r="M63" i="2"/>
  <c r="M31" i="2"/>
  <c r="O31" i="2"/>
  <c r="N31" i="2"/>
  <c r="M52" i="2"/>
  <c r="O52" i="2"/>
  <c r="N52" i="2"/>
  <c r="M20" i="2"/>
  <c r="P20" i="2" s="1"/>
  <c r="O20" i="2"/>
  <c r="N20" i="2"/>
  <c r="O57" i="2"/>
  <c r="M57" i="2"/>
  <c r="P57" i="2" s="1"/>
  <c r="N57" i="2"/>
  <c r="M25" i="2"/>
  <c r="O25" i="2"/>
  <c r="N25" i="2"/>
  <c r="L107" i="2"/>
  <c r="M19" i="2"/>
  <c r="O19" i="2"/>
  <c r="N19" i="2"/>
  <c r="O298" i="2"/>
  <c r="M298" i="2"/>
  <c r="N298" i="2"/>
  <c r="N214" i="2"/>
  <c r="M214" i="2"/>
  <c r="O214" i="2"/>
  <c r="O241" i="2"/>
  <c r="N241" i="2"/>
  <c r="M241" i="2"/>
  <c r="L120" i="2"/>
  <c r="O263" i="2"/>
  <c r="N263" i="2"/>
  <c r="M263" i="2"/>
  <c r="N165" i="2"/>
  <c r="M165" i="2"/>
  <c r="O165" i="2"/>
  <c r="N250" i="2"/>
  <c r="M250" i="2"/>
  <c r="O250" i="2"/>
  <c r="O186" i="2"/>
  <c r="N186" i="2"/>
  <c r="M186" i="2"/>
  <c r="L90" i="2"/>
  <c r="N203" i="2"/>
  <c r="M203" i="2"/>
  <c r="O203" i="2"/>
  <c r="L293" i="2"/>
  <c r="L266" i="2"/>
  <c r="L118" i="2"/>
  <c r="O70" i="2"/>
  <c r="M70" i="2"/>
  <c r="N70" i="2"/>
  <c r="L133" i="2"/>
  <c r="O58" i="2"/>
  <c r="M58" i="2"/>
  <c r="N58" i="2"/>
  <c r="M135" i="2"/>
  <c r="N135" i="2"/>
  <c r="O135" i="2"/>
  <c r="M164" i="2"/>
  <c r="P164" i="2" s="1"/>
  <c r="N164" i="2"/>
  <c r="O164" i="2"/>
  <c r="L285" i="2"/>
  <c r="L296" i="2"/>
  <c r="L290" i="2"/>
  <c r="L258" i="2"/>
  <c r="L206" i="2"/>
  <c r="L174" i="2"/>
  <c r="L142" i="2"/>
  <c r="L297" i="2"/>
  <c r="L265" i="2"/>
  <c r="L233" i="2"/>
  <c r="M50" i="2"/>
  <c r="N50" i="2"/>
  <c r="O50" i="2"/>
  <c r="L268" i="2"/>
  <c r="L236" i="2"/>
  <c r="L204" i="2"/>
  <c r="L112" i="2"/>
  <c r="L287" i="2"/>
  <c r="L189" i="2"/>
  <c r="L157" i="2"/>
  <c r="L242" i="2"/>
  <c r="L210" i="2"/>
  <c r="L178" i="2"/>
  <c r="L146" i="2"/>
  <c r="L301" i="2"/>
  <c r="L264" i="2"/>
  <c r="L132" i="2"/>
  <c r="N227" i="2"/>
  <c r="M227" i="2"/>
  <c r="O227" i="2"/>
  <c r="M201" i="2"/>
  <c r="N201" i="2"/>
  <c r="O201" i="2"/>
  <c r="N169" i="2"/>
  <c r="M169" i="2"/>
  <c r="O169" i="2"/>
  <c r="M137" i="2"/>
  <c r="N137" i="2"/>
  <c r="O137" i="2"/>
  <c r="L48" i="2"/>
  <c r="L16" i="2"/>
  <c r="L85" i="2"/>
  <c r="L95" i="2"/>
  <c r="L116" i="2"/>
  <c r="L84" i="2"/>
  <c r="O62" i="2"/>
  <c r="M62" i="2"/>
  <c r="N62" i="2"/>
  <c r="M30" i="2"/>
  <c r="O30" i="2"/>
  <c r="N30" i="2"/>
  <c r="O67" i="2"/>
  <c r="N67" i="2"/>
  <c r="M67" i="2"/>
  <c r="P67" i="2" s="1"/>
  <c r="M195" i="2"/>
  <c r="N195" i="2"/>
  <c r="O195" i="2"/>
  <c r="N163" i="2"/>
  <c r="M163" i="2"/>
  <c r="O163" i="2"/>
  <c r="M51" i="2"/>
  <c r="O51" i="2"/>
  <c r="N51" i="2"/>
  <c r="O66" i="2"/>
  <c r="M66" i="2"/>
  <c r="N66" i="2"/>
  <c r="N246" i="2"/>
  <c r="M246" i="2"/>
  <c r="P246" i="2" s="1"/>
  <c r="O246" i="2"/>
  <c r="O273" i="2"/>
  <c r="M273" i="2"/>
  <c r="N273" i="2"/>
  <c r="L276" i="2"/>
  <c r="N231" i="2"/>
  <c r="M231" i="2"/>
  <c r="O231" i="2"/>
  <c r="M140" i="2"/>
  <c r="O140" i="2"/>
  <c r="N140" i="2"/>
  <c r="L150" i="2"/>
  <c r="O300" i="2"/>
  <c r="N300" i="2"/>
  <c r="M300" i="2"/>
  <c r="O176" i="2"/>
  <c r="N176" i="2"/>
  <c r="M176" i="2"/>
  <c r="P176" i="2" s="1"/>
  <c r="L218" i="2"/>
  <c r="L122" i="2"/>
  <c r="O199" i="2"/>
  <c r="N199" i="2"/>
  <c r="M199" i="2"/>
  <c r="O196" i="2"/>
  <c r="M196" i="2"/>
  <c r="N196" i="2"/>
  <c r="M21" i="2"/>
  <c r="O21" i="2"/>
  <c r="N21" i="2"/>
  <c r="O299" i="2"/>
  <c r="N299" i="2"/>
  <c r="M299" i="2"/>
  <c r="M270" i="2"/>
  <c r="O270" i="2"/>
  <c r="N270" i="2"/>
  <c r="N238" i="2"/>
  <c r="M238" i="2"/>
  <c r="O238" i="2"/>
  <c r="O110" i="2"/>
  <c r="N110" i="2"/>
  <c r="M110" i="2"/>
  <c r="M42" i="2"/>
  <c r="P42" i="2" s="1"/>
  <c r="N42" i="2"/>
  <c r="O42" i="2"/>
  <c r="O292" i="2"/>
  <c r="M292" i="2"/>
  <c r="P292" i="2" s="1"/>
  <c r="N292" i="2"/>
  <c r="M260" i="2"/>
  <c r="O260" i="2"/>
  <c r="N260" i="2"/>
  <c r="O228" i="2"/>
  <c r="M228" i="2"/>
  <c r="N228" i="2"/>
  <c r="M200" i="2"/>
  <c r="P200" i="2" s="1"/>
  <c r="N200" i="2"/>
  <c r="O200" i="2"/>
  <c r="O168" i="2"/>
  <c r="N168" i="2"/>
  <c r="M168" i="2"/>
  <c r="M136" i="2"/>
  <c r="O136" i="2"/>
  <c r="N136" i="2"/>
  <c r="O255" i="2"/>
  <c r="N255" i="2"/>
  <c r="M255" i="2"/>
  <c r="N223" i="2"/>
  <c r="M223" i="2"/>
  <c r="O223" i="2"/>
  <c r="O125" i="2"/>
  <c r="N125" i="2"/>
  <c r="M125" i="2"/>
  <c r="O114" i="2"/>
  <c r="N114" i="2"/>
  <c r="M114" i="2"/>
  <c r="P114" i="2" s="1"/>
  <c r="M253" i="2"/>
  <c r="N253" i="2"/>
  <c r="O253" i="2"/>
  <c r="O221" i="2"/>
  <c r="N221" i="2"/>
  <c r="M221" i="2"/>
  <c r="O191" i="2"/>
  <c r="N191" i="2"/>
  <c r="M191" i="2"/>
  <c r="N159" i="2"/>
  <c r="M159" i="2"/>
  <c r="O159" i="2"/>
  <c r="M256" i="2"/>
  <c r="O256" i="2"/>
  <c r="N256" i="2"/>
  <c r="O224" i="2"/>
  <c r="M224" i="2"/>
  <c r="N224" i="2"/>
  <c r="O188" i="2"/>
  <c r="M188" i="2"/>
  <c r="P188" i="2" s="1"/>
  <c r="N188" i="2"/>
  <c r="L259" i="2"/>
  <c r="L105" i="2"/>
  <c r="O72" i="2"/>
  <c r="M72" i="2"/>
  <c r="N72" i="2"/>
  <c r="O77" i="2"/>
  <c r="M77" i="2"/>
  <c r="P77" i="2" s="1"/>
  <c r="N77" i="2"/>
  <c r="M45" i="2"/>
  <c r="O45" i="2"/>
  <c r="N45" i="2"/>
  <c r="M13" i="2"/>
  <c r="O13" i="2"/>
  <c r="N13" i="2"/>
  <c r="O55" i="2"/>
  <c r="N55" i="2"/>
  <c r="M55" i="2"/>
  <c r="M23" i="2"/>
  <c r="O23" i="2"/>
  <c r="N23" i="2"/>
  <c r="O76" i="2"/>
  <c r="N76" i="2"/>
  <c r="M76" i="2"/>
  <c r="P76" i="2" s="1"/>
  <c r="M44" i="2"/>
  <c r="O44" i="2"/>
  <c r="N44" i="2"/>
  <c r="M12" i="2"/>
  <c r="P12" i="2" s="1"/>
  <c r="O12" i="2"/>
  <c r="N12" i="2"/>
  <c r="O81" i="2"/>
  <c r="M81" i="2"/>
  <c r="P81" i="2" s="1"/>
  <c r="N81" i="2"/>
  <c r="M49" i="2"/>
  <c r="O49" i="2"/>
  <c r="N49" i="2"/>
  <c r="M17" i="2"/>
  <c r="O17" i="2"/>
  <c r="N17" i="2"/>
  <c r="L131" i="2"/>
  <c r="L99" i="2"/>
  <c r="M11" i="2"/>
  <c r="O11" i="2"/>
  <c r="N11" i="2"/>
  <c r="O271" i="2"/>
  <c r="N271" i="2"/>
  <c r="M271" i="2"/>
  <c r="P271" i="2" s="1"/>
  <c r="M278" i="2"/>
  <c r="P278" i="2" s="1"/>
  <c r="O278" i="2"/>
  <c r="N278" i="2"/>
  <c r="M182" i="2"/>
  <c r="N182" i="2"/>
  <c r="O182" i="2"/>
  <c r="O86" i="2"/>
  <c r="M86" i="2"/>
  <c r="N86" i="2"/>
  <c r="L152" i="2"/>
  <c r="O208" i="2"/>
  <c r="N208" i="2"/>
  <c r="M208" i="2"/>
  <c r="P208" i="2" s="1"/>
  <c r="L272" i="2"/>
  <c r="L74" i="2"/>
  <c r="L295" i="2"/>
  <c r="L154" i="2"/>
  <c r="O229" i="2"/>
  <c r="M229" i="2"/>
  <c r="P229" i="2" s="1"/>
  <c r="N229" i="2"/>
  <c r="O232" i="2"/>
  <c r="M232" i="2"/>
  <c r="N232" i="2"/>
  <c r="L277" i="2"/>
  <c r="L288" i="2"/>
  <c r="L294" i="2"/>
  <c r="L262" i="2"/>
  <c r="L230" i="2"/>
  <c r="L198" i="2"/>
  <c r="L166" i="2"/>
  <c r="L134" i="2"/>
  <c r="L289" i="2"/>
  <c r="L257" i="2"/>
  <c r="L225" i="2"/>
  <c r="L34" i="2"/>
  <c r="L104" i="2"/>
  <c r="L279" i="2"/>
  <c r="L247" i="2"/>
  <c r="L181" i="2"/>
  <c r="L202" i="2"/>
  <c r="L170" i="2"/>
  <c r="L138" i="2"/>
  <c r="L127" i="2"/>
  <c r="L156" i="2"/>
  <c r="L82" i="2"/>
  <c r="L251" i="2"/>
  <c r="L193" i="2"/>
  <c r="L161" i="2"/>
  <c r="L40" i="2"/>
  <c r="L8" i="2"/>
  <c r="L87" i="2"/>
  <c r="L108" i="2"/>
  <c r="L54" i="2"/>
  <c r="L22" i="2"/>
  <c r="L59" i="2"/>
  <c r="L187" i="2"/>
  <c r="L43" i="2"/>
  <c r="O174" i="2" l="1"/>
  <c r="N174" i="2"/>
  <c r="M174" i="2"/>
  <c r="P174" i="2" s="1"/>
  <c r="O151" i="2"/>
  <c r="N151" i="2"/>
  <c r="M151" i="2"/>
  <c r="P151" i="2" s="1"/>
  <c r="M284" i="2"/>
  <c r="O284" i="2"/>
  <c r="N284" i="2"/>
  <c r="N254" i="2"/>
  <c r="M254" i="2"/>
  <c r="O254" i="2"/>
  <c r="O279" i="2"/>
  <c r="N279" i="2"/>
  <c r="M279" i="2"/>
  <c r="P279" i="2" s="1"/>
  <c r="O108" i="2"/>
  <c r="N108" i="2"/>
  <c r="M108" i="2"/>
  <c r="O156" i="2"/>
  <c r="M156" i="2"/>
  <c r="N156" i="2"/>
  <c r="O104" i="2"/>
  <c r="N104" i="2"/>
  <c r="M104" i="2"/>
  <c r="P104" i="2" s="1"/>
  <c r="N230" i="2"/>
  <c r="O230" i="2"/>
  <c r="M230" i="2"/>
  <c r="P230" i="2" s="1"/>
  <c r="P182" i="2"/>
  <c r="P23" i="2"/>
  <c r="O105" i="2"/>
  <c r="N105" i="2"/>
  <c r="M105" i="2"/>
  <c r="P105" i="2" s="1"/>
  <c r="P255" i="2"/>
  <c r="P110" i="2"/>
  <c r="P270" i="2"/>
  <c r="P196" i="2"/>
  <c r="P140" i="2"/>
  <c r="P51" i="2"/>
  <c r="O84" i="2"/>
  <c r="M84" i="2"/>
  <c r="P84" i="2" s="1"/>
  <c r="N84" i="2"/>
  <c r="P137" i="2"/>
  <c r="P227" i="2"/>
  <c r="N242" i="2"/>
  <c r="M242" i="2"/>
  <c r="O242" i="2"/>
  <c r="M206" i="2"/>
  <c r="O206" i="2"/>
  <c r="N206" i="2"/>
  <c r="P70" i="2"/>
  <c r="O90" i="2"/>
  <c r="M90" i="2"/>
  <c r="N90" i="2"/>
  <c r="P165" i="2"/>
  <c r="P80" i="2"/>
  <c r="P139" i="2"/>
  <c r="M27" i="2"/>
  <c r="O27" i="2"/>
  <c r="N27" i="2"/>
  <c r="O71" i="2"/>
  <c r="N71" i="2"/>
  <c r="M71" i="2"/>
  <c r="P71" i="2" s="1"/>
  <c r="P275" i="2"/>
  <c r="P240" i="2"/>
  <c r="P130" i="2"/>
  <c r="P141" i="2"/>
  <c r="P212" i="2"/>
  <c r="O101" i="2"/>
  <c r="N101" i="2"/>
  <c r="M101" i="2"/>
  <c r="P101" i="2" s="1"/>
  <c r="N162" i="2"/>
  <c r="M162" i="2"/>
  <c r="P162" i="2" s="1"/>
  <c r="O162" i="2"/>
  <c r="M18" i="2"/>
  <c r="N18" i="2"/>
  <c r="O18" i="2"/>
  <c r="M286" i="2"/>
  <c r="N286" i="2"/>
  <c r="O286" i="2"/>
  <c r="P79" i="2"/>
  <c r="P219" i="2"/>
  <c r="P213" i="2"/>
  <c r="P282" i="2"/>
  <c r="P155" i="2"/>
  <c r="P41" i="2"/>
  <c r="P183" i="2"/>
  <c r="O54" i="2"/>
  <c r="M54" i="2"/>
  <c r="P54" i="2" s="1"/>
  <c r="N54" i="2"/>
  <c r="M198" i="2"/>
  <c r="N198" i="2"/>
  <c r="O198" i="2"/>
  <c r="O268" i="2"/>
  <c r="M268" i="2"/>
  <c r="N268" i="2"/>
  <c r="O87" i="2"/>
  <c r="N87" i="2"/>
  <c r="M87" i="2"/>
  <c r="M34" i="2"/>
  <c r="N34" i="2"/>
  <c r="O34" i="2"/>
  <c r="M262" i="2"/>
  <c r="N262" i="2"/>
  <c r="O262" i="2"/>
  <c r="P49" i="2"/>
  <c r="P45" i="2"/>
  <c r="O116" i="2"/>
  <c r="N116" i="2"/>
  <c r="M116" i="2"/>
  <c r="P116" i="2" s="1"/>
  <c r="P186" i="2"/>
  <c r="P19" i="2"/>
  <c r="P6" i="2"/>
  <c r="P124" i="2"/>
  <c r="O111" i="2"/>
  <c r="N111" i="2"/>
  <c r="M111" i="2"/>
  <c r="P111" i="2" s="1"/>
  <c r="P83" i="2"/>
  <c r="M29" i="2"/>
  <c r="O29" i="2"/>
  <c r="N29" i="2"/>
  <c r="P239" i="2"/>
  <c r="M32" i="2"/>
  <c r="O32" i="2"/>
  <c r="N32" i="2"/>
  <c r="O194" i="2"/>
  <c r="N194" i="2"/>
  <c r="M194" i="2"/>
  <c r="P194" i="2" s="1"/>
  <c r="N217" i="2"/>
  <c r="M217" i="2"/>
  <c r="O217" i="2"/>
  <c r="M274" i="2"/>
  <c r="N274" i="2"/>
  <c r="O274" i="2"/>
  <c r="P4" i="2"/>
  <c r="P97" i="2"/>
  <c r="O82" i="2"/>
  <c r="M82" i="2"/>
  <c r="N82" i="2"/>
  <c r="M210" i="2"/>
  <c r="N210" i="2"/>
  <c r="O210" i="2"/>
  <c r="M39" i="2"/>
  <c r="O39" i="2"/>
  <c r="N39" i="2"/>
  <c r="O100" i="2"/>
  <c r="M100" i="2"/>
  <c r="N100" i="2"/>
  <c r="O127" i="2"/>
  <c r="N127" i="2"/>
  <c r="M127" i="2"/>
  <c r="P127" i="2" s="1"/>
  <c r="P11" i="2"/>
  <c r="P55" i="2"/>
  <c r="O259" i="2"/>
  <c r="N259" i="2"/>
  <c r="M259" i="2"/>
  <c r="P259" i="2" s="1"/>
  <c r="P221" i="2"/>
  <c r="P260" i="2"/>
  <c r="P299" i="2"/>
  <c r="N157" i="2"/>
  <c r="M157" i="2"/>
  <c r="P157" i="2" s="1"/>
  <c r="O157" i="2"/>
  <c r="O258" i="2"/>
  <c r="N258" i="2"/>
  <c r="M258" i="2"/>
  <c r="P258" i="2" s="1"/>
  <c r="P31" i="2"/>
  <c r="P117" i="2"/>
  <c r="M8" i="2"/>
  <c r="O8" i="2"/>
  <c r="N8" i="2"/>
  <c r="M138" i="2"/>
  <c r="N138" i="2"/>
  <c r="O138" i="2"/>
  <c r="O225" i="2"/>
  <c r="N225" i="2"/>
  <c r="M225" i="2"/>
  <c r="P225" i="2" s="1"/>
  <c r="O294" i="2"/>
  <c r="M294" i="2"/>
  <c r="N294" i="2"/>
  <c r="O152" i="2"/>
  <c r="N152" i="2"/>
  <c r="M152" i="2"/>
  <c r="P152" i="2" s="1"/>
  <c r="O99" i="2"/>
  <c r="N99" i="2"/>
  <c r="M99" i="2"/>
  <c r="P99" i="2" s="1"/>
  <c r="P44" i="2"/>
  <c r="P256" i="2"/>
  <c r="P125" i="2"/>
  <c r="P199" i="2"/>
  <c r="P300" i="2"/>
  <c r="P231" i="2"/>
  <c r="P163" i="2"/>
  <c r="O95" i="2"/>
  <c r="N95" i="2"/>
  <c r="M95" i="2"/>
  <c r="P169" i="2"/>
  <c r="M132" i="2"/>
  <c r="O132" i="2"/>
  <c r="N132" i="2"/>
  <c r="N189" i="2"/>
  <c r="M189" i="2"/>
  <c r="P189" i="2" s="1"/>
  <c r="O189" i="2"/>
  <c r="P50" i="2"/>
  <c r="O290" i="2"/>
  <c r="M290" i="2"/>
  <c r="N290" i="2"/>
  <c r="P135" i="2"/>
  <c r="O118" i="2"/>
  <c r="N118" i="2"/>
  <c r="M118" i="2"/>
  <c r="P263" i="2"/>
  <c r="P214" i="2"/>
  <c r="O107" i="2"/>
  <c r="N107" i="2"/>
  <c r="M107" i="2"/>
  <c r="P107" i="2" s="1"/>
  <c r="P63" i="2"/>
  <c r="P144" i="2"/>
  <c r="P171" i="2"/>
  <c r="P145" i="2"/>
  <c r="M33" i="2"/>
  <c r="O33" i="2"/>
  <c r="N33" i="2"/>
  <c r="O61" i="2"/>
  <c r="M61" i="2"/>
  <c r="N61" i="2"/>
  <c r="P237" i="2"/>
  <c r="P280" i="2"/>
  <c r="M185" i="2"/>
  <c r="N185" i="2"/>
  <c r="O185" i="2"/>
  <c r="N226" i="2"/>
  <c r="M226" i="2"/>
  <c r="O226" i="2"/>
  <c r="O249" i="2"/>
  <c r="N249" i="2"/>
  <c r="M249" i="2"/>
  <c r="P249" i="2" s="1"/>
  <c r="O283" i="2"/>
  <c r="N283" i="2"/>
  <c r="M283" i="2"/>
  <c r="P283" i="2" s="1"/>
  <c r="P68" i="2"/>
  <c r="P220" i="2"/>
  <c r="P26" i="2"/>
  <c r="P73" i="2"/>
  <c r="M43" i="2"/>
  <c r="O43" i="2"/>
  <c r="N43" i="2"/>
  <c r="N173" i="2"/>
  <c r="M173" i="2"/>
  <c r="O173" i="2"/>
  <c r="O281" i="2"/>
  <c r="N281" i="2"/>
  <c r="M281" i="2"/>
  <c r="P281" i="2" s="1"/>
  <c r="N269" i="2"/>
  <c r="M269" i="2"/>
  <c r="O269" i="2"/>
  <c r="P3" i="2"/>
  <c r="P37" i="2"/>
  <c r="O170" i="2"/>
  <c r="N170" i="2"/>
  <c r="M170" i="2"/>
  <c r="P170" i="2" s="1"/>
  <c r="M257" i="2"/>
  <c r="O257" i="2"/>
  <c r="N257" i="2"/>
  <c r="M154" i="2"/>
  <c r="N154" i="2"/>
  <c r="O154" i="2"/>
  <c r="N264" i="2"/>
  <c r="M264" i="2"/>
  <c r="O264" i="2"/>
  <c r="N233" i="2"/>
  <c r="O233" i="2"/>
  <c r="M233" i="2"/>
  <c r="P233" i="2" s="1"/>
  <c r="M266" i="2"/>
  <c r="P266" i="2" s="1"/>
  <c r="O266" i="2"/>
  <c r="N266" i="2"/>
  <c r="O113" i="2"/>
  <c r="N113" i="2"/>
  <c r="M113" i="2"/>
  <c r="P113" i="2" s="1"/>
  <c r="O56" i="2"/>
  <c r="N56" i="2"/>
  <c r="M56" i="2"/>
  <c r="P56" i="2" s="1"/>
  <c r="M187" i="2"/>
  <c r="N187" i="2"/>
  <c r="O187" i="2"/>
  <c r="M202" i="2"/>
  <c r="O202" i="2"/>
  <c r="N202" i="2"/>
  <c r="M277" i="2"/>
  <c r="O277" i="2"/>
  <c r="N277" i="2"/>
  <c r="P238" i="2"/>
  <c r="P66" i="2"/>
  <c r="M16" i="2"/>
  <c r="O16" i="2"/>
  <c r="N16" i="2"/>
  <c r="O301" i="2"/>
  <c r="N301" i="2"/>
  <c r="M301" i="2"/>
  <c r="M265" i="2"/>
  <c r="O265" i="2"/>
  <c r="N265" i="2"/>
  <c r="P58" i="2"/>
  <c r="P177" i="2"/>
  <c r="M28" i="2"/>
  <c r="O28" i="2"/>
  <c r="N28" i="2"/>
  <c r="P153" i="2"/>
  <c r="P10" i="2"/>
  <c r="N207" i="2"/>
  <c r="M207" i="2"/>
  <c r="O207" i="2"/>
  <c r="P180" i="2"/>
  <c r="O59" i="2"/>
  <c r="N59" i="2"/>
  <c r="M59" i="2"/>
  <c r="M193" i="2"/>
  <c r="N193" i="2"/>
  <c r="O193" i="2"/>
  <c r="N181" i="2"/>
  <c r="M181" i="2"/>
  <c r="O181" i="2"/>
  <c r="M134" i="2"/>
  <c r="O134" i="2"/>
  <c r="N134" i="2"/>
  <c r="O74" i="2"/>
  <c r="M74" i="2"/>
  <c r="N74" i="2"/>
  <c r="P136" i="2"/>
  <c r="P228" i="2"/>
  <c r="O122" i="2"/>
  <c r="N122" i="2"/>
  <c r="M122" i="2"/>
  <c r="P122" i="2" s="1"/>
  <c r="M150" i="2"/>
  <c r="O150" i="2"/>
  <c r="N150" i="2"/>
  <c r="M48" i="2"/>
  <c r="O48" i="2"/>
  <c r="N48" i="2"/>
  <c r="M146" i="2"/>
  <c r="N146" i="2"/>
  <c r="O146" i="2"/>
  <c r="O204" i="2"/>
  <c r="N204" i="2"/>
  <c r="M204" i="2"/>
  <c r="P204" i="2" s="1"/>
  <c r="O297" i="2"/>
  <c r="N297" i="2"/>
  <c r="M297" i="2"/>
  <c r="P250" i="2"/>
  <c r="O120" i="2"/>
  <c r="N120" i="2"/>
  <c r="M120" i="2"/>
  <c r="P120" i="2" s="1"/>
  <c r="P298" i="2"/>
  <c r="P25" i="2"/>
  <c r="P209" i="2"/>
  <c r="O78" i="2"/>
  <c r="M78" i="2"/>
  <c r="P78" i="2" s="1"/>
  <c r="N78" i="2"/>
  <c r="O60" i="2"/>
  <c r="N60" i="2"/>
  <c r="M60" i="2"/>
  <c r="P60" i="2" s="1"/>
  <c r="P175" i="2"/>
  <c r="P126" i="2"/>
  <c r="M14" i="2"/>
  <c r="O14" i="2"/>
  <c r="N14" i="2"/>
  <c r="O216" i="2"/>
  <c r="N216" i="2"/>
  <c r="M216" i="2"/>
  <c r="P216" i="2" s="1"/>
  <c r="O96" i="2"/>
  <c r="M96" i="2"/>
  <c r="N96" i="2"/>
  <c r="M190" i="2"/>
  <c r="N190" i="2"/>
  <c r="O190" i="2"/>
  <c r="P5" i="2"/>
  <c r="P252" i="2"/>
  <c r="P123" i="2"/>
  <c r="P9" i="2"/>
  <c r="P64" i="2"/>
  <c r="P234" i="2"/>
  <c r="P94" i="2"/>
  <c r="M40" i="2"/>
  <c r="O40" i="2"/>
  <c r="N40" i="2"/>
  <c r="O288" i="2"/>
  <c r="N288" i="2"/>
  <c r="M288" i="2"/>
  <c r="O131" i="2"/>
  <c r="N131" i="2"/>
  <c r="M131" i="2"/>
  <c r="P131" i="2" s="1"/>
  <c r="O85" i="2"/>
  <c r="N85" i="2"/>
  <c r="M85" i="2"/>
  <c r="P85" i="2" s="1"/>
  <c r="O287" i="2"/>
  <c r="N287" i="2"/>
  <c r="M287" i="2"/>
  <c r="P287" i="2" s="1"/>
  <c r="O296" i="2"/>
  <c r="N296" i="2"/>
  <c r="M296" i="2"/>
  <c r="P296" i="2" s="1"/>
  <c r="O65" i="2"/>
  <c r="M65" i="2"/>
  <c r="P65" i="2" s="1"/>
  <c r="N65" i="2"/>
  <c r="N179" i="2"/>
  <c r="M179" i="2"/>
  <c r="P179" i="2" s="1"/>
  <c r="O179" i="2"/>
  <c r="O243" i="2"/>
  <c r="N243" i="2"/>
  <c r="M243" i="2"/>
  <c r="P243" i="2" s="1"/>
  <c r="N161" i="2"/>
  <c r="M161" i="2"/>
  <c r="O161" i="2"/>
  <c r="O289" i="2"/>
  <c r="N289" i="2"/>
  <c r="M289" i="2"/>
  <c r="P289" i="2" s="1"/>
  <c r="O295" i="2"/>
  <c r="N295" i="2"/>
  <c r="M295" i="2"/>
  <c r="P295" i="2" s="1"/>
  <c r="P86" i="2"/>
  <c r="P159" i="2"/>
  <c r="O276" i="2"/>
  <c r="N276" i="2"/>
  <c r="M276" i="2"/>
  <c r="P276" i="2" s="1"/>
  <c r="P30" i="2"/>
  <c r="O112" i="2"/>
  <c r="N112" i="2"/>
  <c r="M112" i="2"/>
  <c r="M285" i="2"/>
  <c r="N285" i="2"/>
  <c r="O285" i="2"/>
  <c r="O293" i="2"/>
  <c r="N293" i="2"/>
  <c r="M293" i="2"/>
  <c r="P293" i="2" s="1"/>
  <c r="O235" i="2"/>
  <c r="N235" i="2"/>
  <c r="M235" i="2"/>
  <c r="P38" i="2"/>
  <c r="P24" i="2"/>
  <c r="M35" i="2"/>
  <c r="O35" i="2"/>
  <c r="N35" i="2"/>
  <c r="M148" i="2"/>
  <c r="P148" i="2" s="1"/>
  <c r="O148" i="2"/>
  <c r="N148" i="2"/>
  <c r="O158" i="2"/>
  <c r="N158" i="2"/>
  <c r="M158" i="2"/>
  <c r="P158" i="2" s="1"/>
  <c r="P245" i="2"/>
  <c r="M22" i="2"/>
  <c r="O22" i="2"/>
  <c r="N22" i="2"/>
  <c r="O251" i="2"/>
  <c r="N251" i="2"/>
  <c r="M251" i="2"/>
  <c r="O247" i="2"/>
  <c r="N247" i="2"/>
  <c r="M247" i="2"/>
  <c r="P247" i="2" s="1"/>
  <c r="M166" i="2"/>
  <c r="P166" i="2" s="1"/>
  <c r="O166" i="2"/>
  <c r="N166" i="2"/>
  <c r="P232" i="2"/>
  <c r="M272" i="2"/>
  <c r="N272" i="2"/>
  <c r="O272" i="2"/>
  <c r="P17" i="2"/>
  <c r="P13" i="2"/>
  <c r="P72" i="2"/>
  <c r="P224" i="2"/>
  <c r="P191" i="2"/>
  <c r="P253" i="2"/>
  <c r="P223" i="2"/>
  <c r="P168" i="2"/>
  <c r="P21" i="2"/>
  <c r="N218" i="2"/>
  <c r="M218" i="2"/>
  <c r="O218" i="2"/>
  <c r="P273" i="2"/>
  <c r="P195" i="2"/>
  <c r="P62" i="2"/>
  <c r="P201" i="2"/>
  <c r="N178" i="2"/>
  <c r="M178" i="2"/>
  <c r="P178" i="2" s="1"/>
  <c r="O178" i="2"/>
  <c r="M236" i="2"/>
  <c r="O236" i="2"/>
  <c r="N236" i="2"/>
  <c r="M142" i="2"/>
  <c r="O142" i="2"/>
  <c r="N142" i="2"/>
  <c r="M133" i="2"/>
  <c r="P133" i="2" s="1"/>
  <c r="O133" i="2"/>
  <c r="N133" i="2"/>
  <c r="P203" i="2"/>
  <c r="P241" i="2"/>
  <c r="P52" i="2"/>
  <c r="P167" i="2"/>
  <c r="P88" i="2"/>
  <c r="P267" i="2"/>
  <c r="M7" i="2"/>
  <c r="O7" i="2"/>
  <c r="N7" i="2"/>
  <c r="P211" i="2"/>
  <c r="P98" i="2"/>
  <c r="P184" i="2"/>
  <c r="M46" i="2"/>
  <c r="O46" i="2"/>
  <c r="N46" i="2"/>
  <c r="O119" i="2"/>
  <c r="N119" i="2"/>
  <c r="M119" i="2"/>
  <c r="O128" i="2"/>
  <c r="N128" i="2"/>
  <c r="M128" i="2"/>
  <c r="P128" i="2" s="1"/>
  <c r="N222" i="2"/>
  <c r="M222" i="2"/>
  <c r="O222" i="2"/>
  <c r="P106" i="2"/>
  <c r="P36" i="2"/>
  <c r="P46" i="2" l="1"/>
  <c r="P173" i="2"/>
  <c r="P61" i="2"/>
  <c r="P206" i="2"/>
  <c r="P284" i="2"/>
  <c r="P39" i="2"/>
  <c r="P119" i="2"/>
  <c r="P272" i="2"/>
  <c r="P251" i="2"/>
  <c r="P150" i="2"/>
  <c r="P16" i="2"/>
  <c r="P202" i="2"/>
  <c r="P257" i="2"/>
  <c r="P290" i="2"/>
  <c r="P132" i="2"/>
  <c r="P90" i="2"/>
  <c r="P156" i="2"/>
  <c r="P181" i="2"/>
  <c r="P226" i="2"/>
  <c r="P74" i="2"/>
  <c r="P207" i="2"/>
  <c r="P190" i="2"/>
  <c r="P193" i="2"/>
  <c r="P264" i="2"/>
  <c r="P43" i="2"/>
  <c r="P185" i="2"/>
  <c r="P33" i="2"/>
  <c r="P210" i="2"/>
  <c r="P274" i="2"/>
  <c r="P34" i="2"/>
  <c r="P254" i="2"/>
  <c r="P22" i="2"/>
  <c r="P277" i="2"/>
  <c r="P154" i="2"/>
  <c r="P29" i="2"/>
  <c r="P268" i="2"/>
  <c r="P142" i="2"/>
  <c r="P40" i="2"/>
  <c r="P242" i="2"/>
  <c r="P236" i="2"/>
  <c r="P235" i="2"/>
  <c r="P285" i="2"/>
  <c r="P288" i="2"/>
  <c r="P14" i="2"/>
  <c r="P297" i="2"/>
  <c r="P146" i="2"/>
  <c r="P59" i="2"/>
  <c r="P265" i="2"/>
  <c r="P95" i="2"/>
  <c r="P138" i="2"/>
  <c r="P100" i="2"/>
  <c r="P32" i="2"/>
  <c r="P87" i="2"/>
  <c r="P198" i="2"/>
  <c r="P18" i="2"/>
  <c r="P108" i="2"/>
  <c r="P48" i="2"/>
  <c r="P28" i="2"/>
  <c r="P8" i="2"/>
  <c r="P262" i="2"/>
  <c r="P35" i="2"/>
  <c r="P269" i="2"/>
  <c r="P286" i="2"/>
  <c r="P222" i="2"/>
  <c r="P7" i="2"/>
  <c r="P218" i="2"/>
  <c r="P112" i="2"/>
  <c r="P161" i="2"/>
  <c r="P96" i="2"/>
  <c r="P134" i="2"/>
  <c r="P301" i="2"/>
  <c r="P187" i="2"/>
  <c r="P118" i="2"/>
  <c r="P294" i="2"/>
  <c r="P82" i="2"/>
  <c r="P217" i="2"/>
  <c r="P27" i="2"/>
</calcChain>
</file>

<file path=xl/sharedStrings.xml><?xml version="1.0" encoding="utf-8"?>
<sst xmlns="http://schemas.openxmlformats.org/spreadsheetml/2006/main" count="1345" uniqueCount="353">
  <si>
    <t>record_id</t>
  </si>
  <si>
    <t>assessment_id</t>
  </si>
  <si>
    <t>assessment_date</t>
  </si>
  <si>
    <t>staff_id</t>
  </si>
  <si>
    <t>height_cm</t>
  </si>
  <si>
    <t>weight_kg</t>
  </si>
  <si>
    <t>bmi</t>
  </si>
  <si>
    <t>fat_mass_kg</t>
  </si>
  <si>
    <t>pbf</t>
  </si>
  <si>
    <t>vfat_level</t>
  </si>
  <si>
    <t>muscle_mass_kg</t>
  </si>
  <si>
    <t>bone_mass_kg</t>
  </si>
  <si>
    <t>tbw</t>
  </si>
  <si>
    <t>bmr_kcal</t>
  </si>
  <si>
    <t>mna_s1</t>
  </si>
  <si>
    <t>mna_s2</t>
  </si>
  <si>
    <t>mna_s3</t>
  </si>
  <si>
    <t>mna_s4</t>
  </si>
  <si>
    <t>mna_s5</t>
  </si>
  <si>
    <t>mna_s6</t>
  </si>
  <si>
    <t>mna_screen_total</t>
  </si>
  <si>
    <t>mna_screen_cat</t>
  </si>
  <si>
    <t>mna_a1</t>
  </si>
  <si>
    <t>mna_a2</t>
  </si>
  <si>
    <t>mna_a3</t>
  </si>
  <si>
    <t>mna_a4</t>
  </si>
  <si>
    <t>mna_a5</t>
  </si>
  <si>
    <t>mna_a6</t>
  </si>
  <si>
    <t>mna_a7</t>
  </si>
  <si>
    <t>mna_a8</t>
  </si>
  <si>
    <t>mna_a9</t>
  </si>
  <si>
    <t>mna_a10</t>
  </si>
  <si>
    <t>mna_a11</t>
  </si>
  <si>
    <t>mna_a12</t>
  </si>
  <si>
    <t>mna_ass_total</t>
  </si>
  <si>
    <t>mna_total</t>
  </si>
  <si>
    <t>mna_total_cat</t>
  </si>
  <si>
    <t>MAC</t>
  </si>
  <si>
    <t>CC</t>
  </si>
  <si>
    <t>bmi_class_glim</t>
  </si>
  <si>
    <t>pbf_class</t>
  </si>
  <si>
    <t>nutri_ref_class</t>
  </si>
  <si>
    <t>Role</t>
  </si>
  <si>
    <t>age</t>
  </si>
  <si>
    <t>age_group01</t>
  </si>
  <si>
    <t>sex</t>
  </si>
  <si>
    <t>Education</t>
  </si>
  <si>
    <t>Marital_status</t>
  </si>
  <si>
    <t>Income</t>
  </si>
  <si>
    <t>Income_oldage</t>
  </si>
  <si>
    <t>Income_Pension</t>
  </si>
  <si>
    <t>Income_spouse</t>
  </si>
  <si>
    <t>Income_children</t>
  </si>
  <si>
    <t>Income_work</t>
  </si>
  <si>
    <t>DM</t>
  </si>
  <si>
    <t>HT</t>
  </si>
  <si>
    <t>DLP</t>
  </si>
  <si>
    <t>CKD</t>
  </si>
  <si>
    <t>CA</t>
  </si>
  <si>
    <t>Other</t>
  </si>
  <si>
    <t>Other_text</t>
  </si>
  <si>
    <t>Living_with</t>
  </si>
  <si>
    <t>scr_bw</t>
  </si>
  <si>
    <t>scr_app</t>
  </si>
  <si>
    <t>scr_act</t>
  </si>
  <si>
    <t>scr_dx</t>
  </si>
  <si>
    <t>ass_meal</t>
  </si>
  <si>
    <t>ass_intake</t>
  </si>
  <si>
    <t>ass_type</t>
  </si>
  <si>
    <t>ass_rice_starch</t>
  </si>
  <si>
    <t>ass_meat_egg</t>
  </si>
  <si>
    <t>ass_milk</t>
  </si>
  <si>
    <t>ass_fruit</t>
  </si>
  <si>
    <t>ass_veget</t>
  </si>
  <si>
    <t>ass_water</t>
  </si>
  <si>
    <t>ass_sweetdrink</t>
  </si>
  <si>
    <t>ass_cook</t>
  </si>
  <si>
    <t>ass_oil</t>
  </si>
  <si>
    <t>D1_total</t>
  </si>
  <si>
    <t>D2_total</t>
  </si>
  <si>
    <t>D3_total</t>
  </si>
  <si>
    <t>wc_input</t>
  </si>
  <si>
    <t>wc_unit</t>
  </si>
  <si>
    <t>wc_cm</t>
  </si>
  <si>
    <t>Gout</t>
  </si>
  <si>
    <t>cm</t>
  </si>
  <si>
    <t>ภูมิแพ้ หืดหอบ</t>
  </si>
  <si>
    <t>ภูมิแพ้</t>
  </si>
  <si>
    <t>ไม่มีโรค</t>
  </si>
  <si>
    <t>โรคกระเพาะอาหาร กระดูกพรุน</t>
  </si>
  <si>
    <t>แพ้ฝุ่นละออง,สารเคมี</t>
  </si>
  <si>
    <t>ตับแข็ง ถุงลมโป่งพอง</t>
  </si>
  <si>
    <t>โลหิตจาง</t>
  </si>
  <si>
    <t>นิ่วในกรวยไต</t>
  </si>
  <si>
    <t>ไมเกรน</t>
  </si>
  <si>
    <t>ต่อมลูกหมากโต</t>
  </si>
  <si>
    <t>ภูมิแพ้อากาศ</t>
  </si>
  <si>
    <t>ไทรอยด์</t>
  </si>
  <si>
    <t>รูมาตอยด์</t>
  </si>
  <si>
    <t>โรคหัวใจ</t>
  </si>
  <si>
    <t>เข่าเสื่อม</t>
  </si>
  <si>
    <t>สะเก็ดเงิน</t>
  </si>
  <si>
    <t>เส้นเลือดตีบ</t>
  </si>
  <si>
    <t>หัวใจ</t>
  </si>
  <si>
    <t>หัวใจเต้นผิดจังหวะ ไม่ใส่เครื่อง Pacemaker</t>
  </si>
  <si>
    <t>หลอดเลือดสมองตีบ</t>
  </si>
  <si>
    <t>หัวใจเต้นผิดจังหวะ pacemaker</t>
  </si>
  <si>
    <t>โรคกระเพาะอาหาร</t>
  </si>
  <si>
    <t>หัวใจเต้นช้า</t>
  </si>
  <si>
    <t>หลอดลมโป่งพอง</t>
  </si>
  <si>
    <t>ทางเดินปัสสาวะ</t>
  </si>
  <si>
    <t>เนื้องอกในสมอง</t>
  </si>
  <si>
    <t>เส้นเลือดขอด</t>
  </si>
  <si>
    <t>ปวดเข่า</t>
  </si>
  <si>
    <t>กระดูกทับเส้น</t>
  </si>
  <si>
    <t>ถุงลงโป่งพอง</t>
  </si>
  <si>
    <t>Alziemer</t>
  </si>
  <si>
    <t>โลหิตจาง กรดไหลย้อน</t>
  </si>
  <si>
    <t>L_Over</t>
  </si>
  <si>
    <t>L_Normal</t>
  </si>
  <si>
    <t>EXP_over</t>
  </si>
  <si>
    <t>EXP_normal</t>
  </si>
  <si>
    <t>Denom</t>
  </si>
  <si>
    <t>P_Under</t>
  </si>
  <si>
    <t>P_Over</t>
  </si>
  <si>
    <t>Prob_Normal</t>
  </si>
  <si>
    <t>predicted_group</t>
  </si>
  <si>
    <t>respondent_role</t>
  </si>
  <si>
    <t>sat_clarity</t>
  </si>
  <si>
    <t>sat_easy</t>
  </si>
  <si>
    <t>sat_confident</t>
  </si>
  <si>
    <t>sat_design</t>
  </si>
  <si>
    <t>sat_result</t>
  </si>
  <si>
    <t>sat_benefit</t>
  </si>
  <si>
    <t>sat_overall</t>
  </si>
  <si>
    <t>sat_comment</t>
  </si>
  <si>
    <t>sat_total</t>
  </si>
  <si>
    <t>sat_mean</t>
  </si>
  <si>
    <t>sat_level</t>
  </si>
  <si>
    <t>ประเมินบ่อยๆ เพื่อทราบพฤติกรรมตนเอง</t>
  </si>
  <si>
    <t>ขอให้มีอีกนะคะได้รับความรู้มากค่ะ ขอบคุณมากค่ะ</t>
  </si>
  <si>
    <t>ทำดีอยู่เสมอแล้ว</t>
  </si>
  <si>
    <t>อยากให้มีโครงการลักษณะนี้บ่อยๆ</t>
  </si>
  <si>
    <t>พอใจ</t>
  </si>
  <si>
    <t>ควรเป็นภาพสี ภาพประกอบและคำบรรยายตัวโตกว่าเดิม มีสีสันสดใส</t>
  </si>
  <si>
    <t>ขอขอบคุณโครงการวิจัยที่ทำให้รู้สุขภาวะด้านโภชนาการของตนเอง</t>
  </si>
  <si>
    <t>ให้ความรู้ดี โภชนาการครบถ้วน</t>
  </si>
  <si>
    <t>sheet</t>
  </si>
  <si>
    <t>field_name</t>
  </si>
  <si>
    <t>label_th</t>
  </si>
  <si>
    <t>source</t>
  </si>
  <si>
    <t>input_or_derived</t>
  </si>
  <si>
    <t>used_in_model</t>
  </si>
  <si>
    <t>rule_or_formula</t>
  </si>
  <si>
    <t>notes</t>
  </si>
  <si>
    <t>Participant_Data</t>
  </si>
  <si>
    <t>รหัสผู้รับบริการ</t>
  </si>
  <si>
    <t>System/Staff</t>
  </si>
  <si>
    <t>Input</t>
  </si>
  <si>
    <t>No</t>
  </si>
  <si>
    <t>คีย์หลักของบุคคล</t>
  </si>
  <si>
    <t>รหัสครั้งการประเมิน</t>
  </si>
  <si>
    <t>System</t>
  </si>
  <si>
    <t>ใช้แยกการประเมินซ้ำ</t>
  </si>
  <si>
    <t>วันที่ประเมิน</t>
  </si>
  <si>
    <t>เชื่อมทุกชีต</t>
  </si>
  <si>
    <t>สถานะ</t>
  </si>
  <si>
    <t>Older adult/Staff</t>
  </si>
  <si>
    <t>ตัวเลือก: ผู้สูงอายุ / ผู้ดูแลผู้สูงอายุ</t>
  </si>
  <si>
    <t>ใช้แยกคุณภาพข้อมูลตอนวิเคราะห์</t>
  </si>
  <si>
    <t>อายุ</t>
  </si>
  <si>
    <t>Older adult</t>
  </si>
  <si>
    <t>Indirect</t>
  </si>
  <si>
    <t>กรอกเองเป็นตัวเลข</t>
  </si>
  <si>
    <t>กลุ่มอายุ</t>
  </si>
  <si>
    <t>Derived</t>
  </si>
  <si>
    <t>Yes</t>
  </si>
  <si>
    <t>0=60-69; 1=≥70</t>
  </si>
  <si>
    <t>เพศ</t>
  </si>
  <si>
    <t>ระดับการศึกษา</t>
  </si>
  <si>
    <t>ตัวเลือก: ไม่ได้เรียน / ประถมศึกษา / มัธยมศึกษา / ปวช.-ปวส. / ปริญญาตรี / สูงกว่าปริญญาตรี</t>
  </si>
  <si>
    <t>สถานภาพสมรส</t>
  </si>
  <si>
    <t>ตัวเลือก: โสด / สมรส / หม้าย / หย่าร้าง</t>
  </si>
  <si>
    <t>รายได้ต่อเดือน</t>
  </si>
  <si>
    <t>ตัวเลือก: น้อยกว่า 10,000 บาท / 10,000-20,000 บาท / 20,001-30,000 บาท / มากกว่า 30,000 บาท</t>
  </si>
  <si>
    <t>ท่านอาศัยอยู่กับ</t>
  </si>
  <si>
    <t>ตัวเลือก: อยู่คนเดียว / อยู่กับคู่สมรส / อยู่กับเพื่อน / อยู่กับครอบครัว (คู่สมรส ญาติพี่น้อง บุตร)</t>
  </si>
  <si>
    <t>คัดกรอง: น้ำหนักเปลี่ยนแปลงใน 3 เดือน</t>
  </si>
  <si>
    <t>คัดกรอง: ความอยากอาหารเปลี่ยนแปลง</t>
  </si>
  <si>
    <t>คัดกรอง: ทำกิจวัตรประจำวันได้หรือไม่</t>
  </si>
  <si>
    <t>คัดกรอง: มีโรคประจำตัวหรือไม่</t>
  </si>
  <si>
    <t>จำนวนมื้ออาหารหลักต่อวัน</t>
  </si>
  <si>
    <t>ปริมาณที่กินต่อมื้อเทียบที่เคยกิน</t>
  </si>
  <si>
    <t>ลักษณะอาหารที่กินเป็นประจำ</t>
  </si>
  <si>
    <t>ข้าว-แป้ง (กำปั้นมือ/วัน)</t>
  </si>
  <si>
    <t>Yes via D2</t>
  </si>
  <si>
    <t>เนื้อสัตว์-ไข่ (ฝ่ามือ/วัน)</t>
  </si>
  <si>
    <t>นม (แก้ว/วัน)</t>
  </si>
  <si>
    <t>ผลไม้ (กำปั้นมือ/วัน)</t>
  </si>
  <si>
    <t>ผัก (อุ้งมือ/วัน)</t>
  </si>
  <si>
    <t>น้ำเปล่า (แก้ว/วัน)</t>
  </si>
  <si>
    <t>เครื่องดื่มรสหวาน (แก้ว/วัน)</t>
  </si>
  <si>
    <t>Yes via D3</t>
  </si>
  <si>
    <t>วิธีปรุงอาหารที่กินบ่อยที่สุด</t>
  </si>
  <si>
    <t>น้ำมัน/กะทิ/น้ำสลัดข้น (นิ้วหัวแม่มือ/วัน)</t>
  </si>
  <si>
    <t>คะแนนรวม D1 (พฤติกรรมการกินทั่วไป)</t>
  </si>
  <si>
    <t>SUM(ass_meal, ass_intake, ass_type)</t>
  </si>
  <si>
    <t>คะแนน D2</t>
  </si>
  <si>
    <t>SUM(ass_rice_starch, ass_meat_egg, ass_milk, ass_fruit, ass_veget, ass_water)</t>
  </si>
  <si>
    <t>คะแนน D3</t>
  </si>
  <si>
    <t>SUM(ass_sweetdrink, ass_cook, ass_oil)</t>
  </si>
  <si>
    <t>รอบเอวที่กรอก</t>
  </si>
  <si>
    <t>หน่วยรอบเอว</t>
  </si>
  <si>
    <t>cm/inch</t>
  </si>
  <si>
    <t>รอบเอวหน่วยเซนติเมตร</t>
  </si>
  <si>
    <t>inch × 2.54 if needed</t>
  </si>
  <si>
    <t>Prediction</t>
  </si>
  <si>
    <t>Output</t>
  </si>
  <si>
    <t>BIA_MNA_Staff</t>
  </si>
  <si>
    <t>Staff</t>
  </si>
  <si>
    <t>Satisfaction</t>
  </si>
  <si>
    <t>Item</t>
  </si>
  <si>
    <t>Specification</t>
  </si>
  <si>
    <t>Reference outcome</t>
  </si>
  <si>
    <t>Under</t>
  </si>
  <si>
    <t>Model inputs</t>
  </si>
  <si>
    <t>D2, D3, wc_cm, AgeGroup01</t>
  </si>
  <si>
    <t>AgeGroup01</t>
  </si>
  <si>
    <t>0 = 60–69 years; 1 = ≥70 years</t>
  </si>
  <si>
    <t>-23.625 + 0.019*D2 - 0.377*D3 + 0.349*wc_cm - 2.336*AgeGroup01</t>
  </si>
  <si>
    <t>-9.655 + 0.039*D2 - 0.507*D3 + 0.189*wc_cm - 2.489*AgeGroup01</t>
  </si>
  <si>
    <t>Denominator</t>
  </si>
  <si>
    <t>1 + EXP(L_Over) + EXP(L_Normal)</t>
  </si>
  <si>
    <t>P(Under)</t>
  </si>
  <si>
    <t>1 / Denominator</t>
  </si>
  <si>
    <t>P(Over)</t>
  </si>
  <si>
    <t>EXP(L_Over) / Denominator</t>
  </si>
  <si>
    <t>P(Normal)</t>
  </si>
  <si>
    <t>EXP(L_Normal) / Denominator</t>
  </si>
  <si>
    <t>Decision rule</t>
  </si>
  <si>
    <t>Predicted group = category with highest probability</t>
  </si>
  <si>
    <t>Important</t>
  </si>
  <si>
    <t>Screening 4 items, Q1–Q3, BIA, MNA, satisfaction are stored but not included in Model 3</t>
  </si>
  <si>
    <t>เก็บเป็นข้อมูลทั่วไป ไม่เข้าสมการทำนาย</t>
  </si>
  <si>
    <t>ใช้ในสมการทำนาย ตัวแปร D2</t>
  </si>
  <si>
    <t>ใช้ในสมการทำนาย ตัวแปร D3</t>
  </si>
  <si>
    <t>P_Normal</t>
  </si>
  <si>
    <t>กรอกอายุเป็นปีเพียงครั้งเดียว แล้ว backend recode อัตโนมัติเป็น age_group01: 60-69 ปี = 0, ≥70 ปี = 1</t>
  </si>
  <si>
    <t>เก็บเป็นรหัส 1=ชาย, 2=หญิง (ตัวเลือกที่แสดง: หญิง / ชาย)</t>
  </si>
  <si>
    <t>ยืนยันแล้วว่า 1=ชาย, 2=หญิง ใช้ใน pbf_class</t>
  </si>
  <si>
    <t>แหล่งรายได้: เบี้ยยังชีพผู้สูงอายุ</t>
  </si>
  <si>
    <t>แหล่งรายได้: บำเหน็จบำนาญ</t>
  </si>
  <si>
    <t>แหล่งรายได้: คู่สมรส</t>
  </si>
  <si>
    <t>แหล่งรายได้: บุตร</t>
  </si>
  <si>
    <t>แหล่งรายได้: การทำงาน</t>
  </si>
  <si>
    <t>โรคประจำตัว: เบาหวาน</t>
  </si>
  <si>
    <t>0=ไม่มี; 1=มี</t>
  </si>
  <si>
    <t>โรคประจำตัว: ความดันโลหิตสูง</t>
  </si>
  <si>
    <t>โรคประจำตัว: ไขมันในเลือดสูง</t>
  </si>
  <si>
    <t>โรคประจำตัว: ไตเรื้อรัง</t>
  </si>
  <si>
    <t>โรคประจำตัว: มะเร็ง</t>
  </si>
  <si>
    <t>โรคประจำตัว: อื่นๆ</t>
  </si>
  <si>
    <t>ระบุโรคอื่นๆ</t>
  </si>
  <si>
    <t>ข้อความอิสระ</t>
  </si>
  <si>
    <t>ดึงข้ามชีทเพื่อเชื่อมกับ Participant_Data</t>
  </si>
  <si>
    <t>ตัวแปรต้นในสมการทำนาย</t>
  </si>
  <si>
    <t>Logit: กลุ่ม Over vs Under</t>
  </si>
  <si>
    <t>-23.625 + 0.019×D2_total - 0.377×D3_total + 0.349×wc_cm - 2.336×age_group01</t>
  </si>
  <si>
    <t>ค่าคงที่จาก Model3_Reduced_UnderRef_v1 (ดู Model_Logic)</t>
  </si>
  <si>
    <t>Logit: กลุ่ม Normal vs Under</t>
  </si>
  <si>
    <t>-9.655 + 0.039×D2_total - 0.507×D3_total + 0.189×wc_cm - 2.489×age_group01</t>
  </si>
  <si>
    <t>exp(L_Over)</t>
  </si>
  <si>
    <t>exp(L_Normal)</t>
  </si>
  <si>
    <t>ตัวหารรวม (Softmax denominator)</t>
  </si>
  <si>
    <t>ความน่าจะเป็นกลุ่ม Under (เสี่ยงขาด/ขาด)</t>
  </si>
  <si>
    <t>Under เป็น reference category ของโมเดล</t>
  </si>
  <si>
    <t>ความน่าจะเป็นกลุ่ม Over (เกิน/เสี่ยงเกิน)</t>
  </si>
  <si>
    <t>ความน่าจะเป็นกลุ่ม Normal (ปกติ)</t>
  </si>
  <si>
    <t>ผลคัดกรองเบื้องต้นจาก SANSA (Under/Normal/Over)</t>
  </si>
  <si>
    <t>เทียบผลกับ BIA_MNA_Staff!nutri_ref_class เพื่อประเมินความแม่นยำของเครื่องมือ</t>
  </si>
  <si>
    <t>รหัสเจ้าหน้าที่ผู้วัด/ประเมิน</t>
  </si>
  <si>
    <t>ส่วนสูง (ซม.)</t>
  </si>
  <si>
    <t>ใช้คำนวณ bmi</t>
  </si>
  <si>
    <t>น้ำหนัก (กก.)</t>
  </si>
  <si>
    <t>ดัชนีมวลกาย (BMI, กก./ตร.ม.)</t>
  </si>
  <si>
    <t>Staff (เครื่อง BIA)</t>
  </si>
  <si>
    <t>น้ำหนัก(กก.) / ส่วนสูง(ม.)²</t>
  </si>
  <si>
    <t>มวลไขมัน (กก.)</t>
  </si>
  <si>
    <t>ร้อยละไขมันในร่างกาย (%Body Fat)</t>
  </si>
  <si>
    <t>ระดับไขมันช่องท้อง (Visceral fat level)</t>
  </si>
  <si>
    <t>มวลกล้ามเนื้อ (กก.)</t>
  </si>
  <si>
    <t>มวลกระดูก (กก.)</t>
  </si>
  <si>
    <t>ปริมาณน้ำในร่างกาย (Total Body Water)</t>
  </si>
  <si>
    <t>อัตราการเผาผลาญพื้นฐาน (BMR, kcal)</t>
  </si>
  <si>
    <t>MNA-SF ข้อ 2</t>
  </si>
  <si>
    <t>MNA-SF ข้อ 3</t>
  </si>
  <si>
    <t>MNA-SF ข้อ 4</t>
  </si>
  <si>
    <t>MNA-SF ข้อ 5</t>
  </si>
  <si>
    <t>MNA-SF ข้อ 6</t>
  </si>
  <si>
    <t>คะแนนรวม MNA-SF (เต็ม 14)</t>
  </si>
  <si>
    <t>SUM(mna_s1:mna_s6)</t>
  </si>
  <si>
    <t>ผลจำแนก MNA-SF</t>
  </si>
  <si>
    <t>12-14=ปกติ, 8-11=เสี่ยงขาดสารอาหาร, 0-7=ขาดสารอาหาร</t>
  </si>
  <si>
    <t>MNA แบบประเมินเต็ม (Full Assessment) ข้อ 1</t>
  </si>
  <si>
    <t>ส่วนหนึ่งของ MNA Full Assessment 12 ข้อ — โปรดยืนยันข้อความจริงจากแบบประเมิน</t>
  </si>
  <si>
    <t>MNA แบบประเมินเต็ม ข้อ 2</t>
  </si>
  <si>
    <t>MNA แบบประเมินเต็ม ข้อ 3</t>
  </si>
  <si>
    <t>MNA แบบประเมินเต็ม ข้อ 4</t>
  </si>
  <si>
    <t>MNA แบบประเมินเต็ม ข้อ 5</t>
  </si>
  <si>
    <t>MNA แบบประเมินเต็ม ข้อ 6</t>
  </si>
  <si>
    <t>MNA แบบประเมินเต็ม ข้อ 7</t>
  </si>
  <si>
    <t>MNA แบบประเมินเต็ม ข้อ 8</t>
  </si>
  <si>
    <t>MNA แบบประเมินเต็ม ข้อ 9</t>
  </si>
  <si>
    <t>MNA แบบประเมินเต็ม ข้อ 10</t>
  </si>
  <si>
    <t>MNA แบบประเมินเต็ม ข้อ 11</t>
  </si>
  <si>
    <t>MNA แบบประเมินเต็ม ข้อ 12</t>
  </si>
  <si>
    <t>คะแนนรวมส่วนประเมินเต็ม MNA (เต็ม 16)</t>
  </si>
  <si>
    <t>SUM(mna_a1:mna_a12)</t>
  </si>
  <si>
    <t>คะแนนรวม MNA ทั้งฉบับ (เต็ม 30)</t>
  </si>
  <si>
    <t>mna_screen_total + mna_ass_total</t>
  </si>
  <si>
    <t>ผลจำแนก MNA ฉบับเต็ม</t>
  </si>
  <si>
    <t>≥24=ปกติ, 17-23.5=เสี่ยงขาดสารอาหาร, &lt;17=ขาดสารอาหาร</t>
  </si>
  <si>
    <t>เส้นรอบวงต้นแขน (Mid-Arm Circumference, ซม.)</t>
  </si>
  <si>
    <t>เส้นรอบวงน่อง (Calf Circumference, ซม.)</t>
  </si>
  <si>
    <t>ผลจำแนกตาม BMI (GLIM Criteria Asia + อายุ)</t>
  </si>
  <si>
    <t>อายุ&lt;70: &lt;18.5 ขาด/เสี่ยงขาด, ≥25 เสี่ยงเกิน/เกิน | อายุ≥70: &lt;20 ขาด/เสี่ยงขาด, ≥25 เสี่ยงเกิน/เกิน (ปัดเป็นทศนิยม 1 ตำแหน่งก่อนตัดเกณฑ์)</t>
  </si>
  <si>
    <t>ใช้ประกอบ nutri_ref_class</t>
  </si>
  <si>
    <t>ผลจำแนกตาม %Body Fat + เพศ</t>
  </si>
  <si>
    <t>ชาย: &lt;15 ขาด/เสี่ยงขาด, &gt;25 เสี่ยงเกิน/เกิน | หญิง: &lt;20 ขาด/เสี่ยงขาด, &gt;35 เสี่ยงเกิน/เกิน (ปัดเป็นทศนิยม 1 ตำแหน่งก่อนตัดเกณฑ์)</t>
  </si>
  <si>
    <t>ผลจำแนกภาวะโภชนาการอ้างอิง (GLIM BMI + %Body Fat)</t>
  </si>
  <si>
    <t>ขาด/เสี่ยงขาด ถ้า bmi_class_glim หรือ pbf_class เข้าเกณฑ์ขาด; มิฉะนั้นเสี่ยงเกิน/เกิน ถ้าข้อใดข้อหนึ่งเข้าเกณฑ์เกิน; มิฉะนั้นปกติ</t>
  </si>
  <si>
    <t>reference standard ที่ใช้เทียบกับ Prediction!predicted_group เพื่อตรวจสอบความแม่นยำของ SANSA</t>
  </si>
  <si>
    <t>ผู้ตอบแบบสอบถามความพึงพอใจ</t>
  </si>
  <si>
    <t>ความพึงพอใจ: ความชัดเจนของคำถาม/เนื้อหา</t>
  </si>
  <si>
    <t>ความพึงพอใจ: ความง่ายในการใช้งาน</t>
  </si>
  <si>
    <t>ความพึงพอใจ: ความมั่นใจในผลลัพธ์ที่ได้</t>
  </si>
  <si>
    <t>ความพึงพอใจ: การออกแบบหน้าจอ/รูปแบบ</t>
  </si>
  <si>
    <t>ความพึงพอใจ: ผลการประเมินที่ได้รับ</t>
  </si>
  <si>
    <t>ความพึงพอใจ: การนำผลไปใช้ประโยชน์</t>
  </si>
  <si>
    <t>ความพึงพอใจโดยรวม</t>
  </si>
  <si>
    <t>ข้อเสนอแนะเพิ่มเติม</t>
  </si>
  <si>
    <t>คะแนนรวมความพึงพอใจ</t>
  </si>
  <si>
    <t>SUM(sat_clarity, sat_easy, sat_confident, sat_design, sat_result, sat_benefit, sat_overall)</t>
  </si>
  <si>
    <t>คะแนนเฉลี่ยความพึงพอใจ</t>
  </si>
  <si>
    <t>sat_total / จำนวนข้อ</t>
  </si>
  <si>
    <t>ระดับความพึงพอใจ</t>
  </si>
  <si>
    <t>ระบุรายละเอียดใน Other_text เก็บเป็นข้อมูลทั่วไป ไม่เข้าสมการทำนาย</t>
  </si>
  <si>
    <t xml:space="preserve">ไม่ย้อนกลับเข้า Model </t>
  </si>
  <si>
    <t>MNA-SF ข้อ 1</t>
  </si>
  <si>
    <t xml:space="preserve">ตัวเลือก: ผู้สูงอายุ / ผู้ดูแล / เจ้าหน้าที่ </t>
  </si>
  <si>
    <t>จำแนกจาก sat_mean ตามเกณฑ์ที่กำหนด</t>
  </si>
  <si>
    <t xml:space="preserve">ใช้ใน bmi_class_glim </t>
  </si>
  <si>
    <t xml:space="preserve">ใช้ใน pbf_class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</si>
</sst>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yyyy\-mm\-dd"/>
    <numFmt numFmtId="188" formatCode="0.0000"/>
  </numFmts>
  <fonts count="10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2"/>
      <color rgb="FFFFFFFF"/>
      <name val="Tahoma"/>
      <family val="2"/>
    </font>
    <font>
      <b/>
      <sz val="11"/>
      <name val="Carlito"/>
    </font>
    <font>
      <sz val="11"/>
      <name val="Carlito"/>
    </font>
    <font>
      <b/>
      <sz val="12"/>
      <color theme="1"/>
      <name val="Calibri"/>
      <family val="2"/>
      <scheme val="minor"/>
    </font>
    <font>
      <sz val="11"/>
      <color theme="1"/>
      <name val="Carlito"/>
    </font>
    <font>
      <sz val="11"/>
      <color theme="0"/>
      <name val="Carlito"/>
    </font>
    <font>
      <b/>
      <sz val="11"/>
      <color theme="0"/>
      <name val="Carlito"/>
      <charset val="222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203864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9" fontId="5" fillId="0" borderId="0"/>
    <xf numFmtId="0" fontId="2" fillId="0" borderId="0"/>
  </cellStyleXfs>
  <cellXfs count="3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3" borderId="0" xfId="1" applyFont="1" applyFill="1"/>
    <xf numFmtId="187" fontId="0" fillId="3" borderId="0" xfId="1" applyNumberFormat="1" applyFont="1" applyFill="1"/>
    <xf numFmtId="188" fontId="0" fillId="3" borderId="0" xfId="1" applyNumberFormat="1" applyFont="1" applyFill="1"/>
    <xf numFmtId="0" fontId="0" fillId="4" borderId="0" xfId="1" applyFont="1" applyFill="1"/>
    <xf numFmtId="0" fontId="1" fillId="6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0" fontId="1" fillId="6" borderId="1" xfId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7" borderId="1" xfId="1" applyFont="1" applyFill="1" applyBorder="1" applyAlignment="1">
      <alignment wrapText="1"/>
    </xf>
    <xf numFmtId="187" fontId="2" fillId="7" borderId="1" xfId="1" applyNumberFormat="1" applyFont="1" applyFill="1" applyBorder="1" applyAlignment="1">
      <alignment wrapText="1"/>
    </xf>
    <xf numFmtId="0" fontId="2" fillId="3" borderId="1" xfId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2" fontId="0" fillId="3" borderId="0" xfId="1" applyNumberFormat="1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3" borderId="0" xfId="2" applyFont="1" applyFill="1"/>
    <xf numFmtId="0" fontId="0" fillId="0" borderId="0" xfId="0" applyAlignment="1">
      <alignment horizontal="center" vertical="center"/>
    </xf>
    <xf numFmtId="0" fontId="7" fillId="9" borderId="2" xfId="0" applyFont="1" applyFill="1" applyBorder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7" fillId="11" borderId="2" xfId="0" applyFont="1" applyFill="1" applyBorder="1" applyAlignment="1">
      <alignment vertical="top" wrapText="1"/>
    </xf>
    <xf numFmtId="0" fontId="7" fillId="12" borderId="2" xfId="0" applyFont="1" applyFill="1" applyBorder="1" applyAlignment="1">
      <alignment vertical="top" wrapText="1"/>
    </xf>
    <xf numFmtId="0" fontId="8" fillId="13" borderId="0" xfId="0" applyFont="1" applyFill="1" applyAlignment="1">
      <alignment vertical="top" wrapText="1"/>
    </xf>
    <xf numFmtId="0" fontId="1" fillId="6" borderId="0" xfId="3" applyFont="1" applyFill="1" applyAlignment="1">
      <alignment horizontal="center" vertical="center" wrapText="1"/>
    </xf>
    <xf numFmtId="0" fontId="9" fillId="13" borderId="0" xfId="0" applyFont="1" applyFill="1" applyAlignment="1">
      <alignment vertical="top" wrapText="1"/>
    </xf>
  </cellXfs>
  <cellStyles count="4">
    <cellStyle name="ปกติ" xfId="0" builtinId="0"/>
    <cellStyle name="เปอร์เซ็นต์" xfId="2" builtinId="5"/>
    <cellStyle name="Normal" xfId="1" xr:uid="{00000000-0005-0000-0000-000001000000}"/>
    <cellStyle name="Normal 2" xfId="3" xr:uid="{F549C91F-391C-1E48-9DB4-C75E213E2B8A}"/>
  </cellStyles>
  <dxfs count="36">
    <dxf>
      <numFmt numFmtId="0" formatCode="General"/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Carlito"/>
      </font>
      <fill>
        <patternFill patternType="solid">
          <fgColor indexed="64"/>
          <bgColor rgb="FFE2F0D9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rlito"/>
      </font>
      <fill>
        <patternFill patternType="solid">
          <fgColor indexed="64"/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icipantDataTable" displayName="ParticipantDataTable" ref="A1:AC301" totalsRowShown="0" headerRowDxfId="30">
  <tableColumns count="29">
    <tableColumn id="1" xr3:uid="{00000000-0010-0000-0000-000001000000}" name="record_id" dataDxfId="29"/>
    <tableColumn id="2" xr3:uid="{00000000-0010-0000-0000-000002000000}" name="assessment_id" dataDxfId="28"/>
    <tableColumn id="3" xr3:uid="{00000000-0010-0000-0000-000003000000}" name="assessment_date" dataDxfId="27"/>
    <tableColumn id="4" xr3:uid="{00000000-0010-0000-0000-000004000000}" name="age" dataDxfId="26"/>
    <tableColumn id="5" xr3:uid="{00000000-0010-0000-0000-000005000000}" name="age_group01" dataDxfId="25"/>
    <tableColumn id="6" xr3:uid="{00000000-0010-0000-0000-000006000000}" name="sex" dataDxfId="24"/>
    <tableColumn id="7" xr3:uid="{00000000-0010-0000-0000-000007000000}" name="scr_bw" dataDxfId="23"/>
    <tableColumn id="8" xr3:uid="{00000000-0010-0000-0000-000008000000}" name="scr_app" dataDxfId="22"/>
    <tableColumn id="9" xr3:uid="{00000000-0010-0000-0000-000009000000}" name="scr_act" dataDxfId="21"/>
    <tableColumn id="10" xr3:uid="{00000000-0010-0000-0000-00000A000000}" name="scr_dx" dataDxfId="20"/>
    <tableColumn id="11" xr3:uid="{00000000-0010-0000-0000-00000B000000}" name="ass_meal" dataDxfId="19"/>
    <tableColumn id="12" xr3:uid="{00000000-0010-0000-0000-00000C000000}" name="ass_intake" dataDxfId="18"/>
    <tableColumn id="13" xr3:uid="{00000000-0010-0000-0000-00000D000000}" name="ass_type" dataDxfId="17"/>
    <tableColumn id="14" xr3:uid="{00000000-0010-0000-0000-00000E000000}" name="ass_rice_starch" dataDxfId="16"/>
    <tableColumn id="15" xr3:uid="{00000000-0010-0000-0000-00000F000000}" name="ass_meat_egg" dataDxfId="15"/>
    <tableColumn id="16" xr3:uid="{00000000-0010-0000-0000-000010000000}" name="ass_milk" dataDxfId="14"/>
    <tableColumn id="17" xr3:uid="{00000000-0010-0000-0000-000011000000}" name="ass_fruit" dataDxfId="13"/>
    <tableColumn id="18" xr3:uid="{00000000-0010-0000-0000-000012000000}" name="ass_veget" dataDxfId="12"/>
    <tableColumn id="19" xr3:uid="{00000000-0010-0000-0000-000013000000}" name="ass_water" dataDxfId="11"/>
    <tableColumn id="20" xr3:uid="{00000000-0010-0000-0000-000014000000}" name="ass_sweetdrink" dataDxfId="10"/>
    <tableColumn id="21" xr3:uid="{00000000-0010-0000-0000-000015000000}" name="ass_cook" dataDxfId="9"/>
    <tableColumn id="22" xr3:uid="{00000000-0010-0000-0000-000016000000}" name="ass_oil" dataDxfId="8"/>
    <tableColumn id="23" xr3:uid="{00000000-0010-0000-0000-000017000000}" name="D1_total" dataDxfId="7"/>
    <tableColumn id="24" xr3:uid="{00000000-0010-0000-0000-000018000000}" name="D2_total" dataDxfId="6"/>
    <tableColumn id="25" xr3:uid="{00000000-0010-0000-0000-000019000000}" name="D3_total" dataDxfId="5"/>
    <tableColumn id="26" xr3:uid="{00000000-0010-0000-0000-00001A000000}" name="wc_input" dataDxfId="4"/>
    <tableColumn id="27" xr3:uid="{00000000-0010-0000-0000-00001B000000}" name="wc_unit" dataDxfId="3"/>
    <tableColumn id="28" xr3:uid="{00000000-0010-0000-0000-00001C000000}" name="wc_cm" dataDxfId="2"/>
    <tableColumn id="29" xr3:uid="{00000000-0010-0000-0000-00001D000000}" name="participant_not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edictionTable" displayName="PredictionTable" ref="A1:P301" totalsRowShown="0">
  <tableColumns count="16">
    <tableColumn id="1" xr3:uid="{00000000-0010-0000-0100-000001000000}" name="record_id"/>
    <tableColumn id="2" xr3:uid="{00000000-0010-0000-0100-000002000000}" name="assessment_id"/>
    <tableColumn id="3" xr3:uid="{00000000-0010-0000-0100-000003000000}" name="assessment_date"/>
    <tableColumn id="4" xr3:uid="{00000000-0010-0000-0100-000004000000}" name="age_group01"/>
    <tableColumn id="5" xr3:uid="{00000000-0010-0000-0100-000005000000}" name="D2_total"/>
    <tableColumn id="6" xr3:uid="{00000000-0010-0000-0100-000006000000}" name="D3_total"/>
    <tableColumn id="7" xr3:uid="{00000000-0010-0000-0100-000007000000}" name="wc_cm"/>
    <tableColumn id="8" xr3:uid="{00000000-0010-0000-0100-000008000000}" name="L_Over"/>
    <tableColumn id="9" xr3:uid="{00000000-0010-0000-0100-000009000000}" name="L_Normal"/>
    <tableColumn id="10" xr3:uid="{00000000-0010-0000-0100-00000A000000}" name="EXP_over"/>
    <tableColumn id="11" xr3:uid="{00000000-0010-0000-0100-00000B000000}" name="EXP_normal"/>
    <tableColumn id="12" xr3:uid="{00000000-0010-0000-0100-00000C000000}" name="Denom"/>
    <tableColumn id="13" xr3:uid="{00000000-0010-0000-0100-00000D000000}" name="P_Under">
      <calculatedColumnFormula>IF(L2="","",1/L2)</calculatedColumnFormula>
    </tableColumn>
    <tableColumn id="14" xr3:uid="{00000000-0010-0000-0100-00000E000000}" name="P_Over">
      <calculatedColumnFormula>IF(L2="","",J2/L2)</calculatedColumnFormula>
    </tableColumn>
    <tableColumn id="15" xr3:uid="{00000000-0010-0000-0100-00000F000000}" name="P_Normal">
      <calculatedColumnFormula>IF(L2="","",K2/L2)</calculatedColumnFormula>
    </tableColumn>
    <tableColumn id="16" xr3:uid="{00000000-0010-0000-0100-000010000000}" name="predicted_grou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ffBiaMnaTable" displayName="StaffBiaMnaTable" ref="A1:AP301" totalsRowShown="0">
  <tableColumns count="42">
    <tableColumn id="1" xr3:uid="{00000000-0010-0000-0200-000001000000}" name="record_id"/>
    <tableColumn id="2" xr3:uid="{00000000-0010-0000-0200-000002000000}" name="assessment_id"/>
    <tableColumn id="3" xr3:uid="{00000000-0010-0000-0200-000003000000}" name="assessment_date"/>
    <tableColumn id="4" xr3:uid="{00000000-0010-0000-0200-000004000000}" name="staff_id"/>
    <tableColumn id="5" xr3:uid="{00000000-0010-0000-0200-000005000000}" name="height_cm"/>
    <tableColumn id="6" xr3:uid="{00000000-0010-0000-0200-000006000000}" name="weight_kg"/>
    <tableColumn id="7" xr3:uid="{00000000-0010-0000-0200-000007000000}" name="bmi"/>
    <tableColumn id="8" xr3:uid="{00000000-0010-0000-0200-000008000000}" name="fat_mass_kg"/>
    <tableColumn id="9" xr3:uid="{00000000-0010-0000-0200-000009000000}" name="pbf"/>
    <tableColumn id="10" xr3:uid="{00000000-0010-0000-0200-00000A000000}" name="vfat_level"/>
    <tableColumn id="11" xr3:uid="{00000000-0010-0000-0200-00000B000000}" name="muscle_mass_kg"/>
    <tableColumn id="12" xr3:uid="{00000000-0010-0000-0200-00000C000000}" name="bone_mass_kg"/>
    <tableColumn id="13" xr3:uid="{00000000-0010-0000-0200-00000D000000}" name="tbw"/>
    <tableColumn id="14" xr3:uid="{00000000-0010-0000-0200-00000E000000}" name="bmr_kcal"/>
    <tableColumn id="15" xr3:uid="{00000000-0010-0000-0200-00000F000000}" name="mna_s1"/>
    <tableColumn id="16" xr3:uid="{00000000-0010-0000-0200-000010000000}" name="mna_s2"/>
    <tableColumn id="17" xr3:uid="{00000000-0010-0000-0200-000011000000}" name="mna_s3"/>
    <tableColumn id="18" xr3:uid="{00000000-0010-0000-0200-000012000000}" name="mna_s4"/>
    <tableColumn id="19" xr3:uid="{00000000-0010-0000-0200-000013000000}" name="mna_s5"/>
    <tableColumn id="20" xr3:uid="{00000000-0010-0000-0200-000014000000}" name="mna_s6"/>
    <tableColumn id="21" xr3:uid="{00000000-0010-0000-0200-000015000000}" name="mna_screen_total"/>
    <tableColumn id="22" xr3:uid="{00000000-0010-0000-0200-000016000000}" name="mna_screen_cat"/>
    <tableColumn id="23" xr3:uid="{00000000-0010-0000-0200-000017000000}" name="mna_a1"/>
    <tableColumn id="24" xr3:uid="{00000000-0010-0000-0200-000018000000}" name="mna_a2"/>
    <tableColumn id="25" xr3:uid="{00000000-0010-0000-0200-000019000000}" name="mna_a3"/>
    <tableColumn id="26" xr3:uid="{00000000-0010-0000-0200-00001A000000}" name="mna_a4"/>
    <tableColumn id="27" xr3:uid="{00000000-0010-0000-0200-00001B000000}" name="mna_a5"/>
    <tableColumn id="28" xr3:uid="{00000000-0010-0000-0200-00001C000000}" name="mna_a6"/>
    <tableColumn id="29" xr3:uid="{00000000-0010-0000-0200-00001D000000}" name="mna_a7"/>
    <tableColumn id="30" xr3:uid="{00000000-0010-0000-0200-00001E000000}" name="mna_a8"/>
    <tableColumn id="31" xr3:uid="{00000000-0010-0000-0200-00001F000000}" name="mna_a9"/>
    <tableColumn id="32" xr3:uid="{00000000-0010-0000-0200-000020000000}" name="mna_a10"/>
    <tableColumn id="33" xr3:uid="{00000000-0010-0000-0200-000021000000}" name="mna_a11"/>
    <tableColumn id="34" xr3:uid="{00000000-0010-0000-0200-000022000000}" name="mna_a12"/>
    <tableColumn id="35" xr3:uid="{00000000-0010-0000-0200-000023000000}" name="mna_ass_total"/>
    <tableColumn id="36" xr3:uid="{00000000-0010-0000-0200-000024000000}" name="mna_total"/>
    <tableColumn id="37" xr3:uid="{00000000-0010-0000-0200-000025000000}" name="mna_total_cat"/>
    <tableColumn id="39" xr3:uid="{00000000-0010-0000-0200-000027000000}" name="MAC" dataDxfId="35" dataCellStyle="Normal"/>
    <tableColumn id="40" xr3:uid="{00000000-0010-0000-0200-000028000000}" name="CC" dataDxfId="34" dataCellStyle="Normal"/>
    <tableColumn id="38" xr3:uid="{00000000-0010-0000-0200-000026000000}" name="bmi_class_glim" dataDxfId="33">
      <calculatedColumnFormula>IF(OR(G2="",Participant_Data!E2=""),"",IF(Participant_Data!E2&lt;70,IF(G2&lt;18.5,"ขาด/เสี่ยงขาด",IF(G2&gt;=25,"เสี่ยงเกิน/เกิน","ปกติ")),IF(G2&lt;20,"ขาด/เสี่ยงขาด",IF(G2&gt;=25,"เสี่ยงเกิน/เกิน","ปกติ"))))</calculatedColumnFormula>
    </tableColumn>
    <tableColumn id="41" xr3:uid="{00000000-0010-0000-0200-000029000000}" name="pbf_class" dataDxfId="32">
      <calculatedColumnFormula>IF(OR(I2="",Participant_Data!G2=""),"",IF(Participant_Data!G2="ชาย",IF(I2&lt;15,"ขาด/เสี่ยงขาด",IF(I2&gt;25,"เสี่ยงเกิน/เกิน","ปกติ")),IF(I2&lt;20,"ขาด/เสี่ยงขาด",IF(I2&gt;35,"เสี่ยงเกิน/เกิน","ปกติ"))))</calculatedColumnFormula>
    </tableColumn>
    <tableColumn id="42" xr3:uid="{00000000-0010-0000-0200-00002A000000}" name="nutri_ref_class" dataDxfId="31">
      <calculatedColumnFormula>IF(OR(AN2="",AO2=""),"",IF(OR(AN2="ขาด/เสี่ยงขาด",AO2="ขาด/เสี่ยงขาด"),"ขาด/เสี่ยงขาด",IF(OR(AN2="เสี่ยงเกิน/เกิน",AO2="เสี่ยงเกิน/เกิน"),"เสี่ยงเกิน/เกิน","ปกติ"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atisfactionTable" displayName="SatisfactionTable" ref="A1:O301" totalsRowShown="0">
  <tableColumns count="15">
    <tableColumn id="1" xr3:uid="{00000000-0010-0000-0300-000001000000}" name="record_id"/>
    <tableColumn id="2" xr3:uid="{00000000-0010-0000-0300-000002000000}" name="assessment_id"/>
    <tableColumn id="3" xr3:uid="{00000000-0010-0000-0300-000003000000}" name="assessment_date"/>
    <tableColumn id="4" xr3:uid="{00000000-0010-0000-0300-000004000000}" name="respondent_role"/>
    <tableColumn id="5" xr3:uid="{00000000-0010-0000-0300-000005000000}" name="sat_clarity"/>
    <tableColumn id="6" xr3:uid="{00000000-0010-0000-0300-000006000000}" name="sat_easy"/>
    <tableColumn id="7" xr3:uid="{00000000-0010-0000-0300-000007000000}" name="sat_confident"/>
    <tableColumn id="8" xr3:uid="{00000000-0010-0000-0300-000008000000}" name="sat_design"/>
    <tableColumn id="9" xr3:uid="{00000000-0010-0000-0300-000009000000}" name="sat_result"/>
    <tableColumn id="10" xr3:uid="{00000000-0010-0000-0300-00000A000000}" name="sat_benefit"/>
    <tableColumn id="11" xr3:uid="{00000000-0010-0000-0300-00000B000000}" name="sat_overall"/>
    <tableColumn id="12" xr3:uid="{00000000-0010-0000-0300-00000C000000}" name="sat_comment"/>
    <tableColumn id="13" xr3:uid="{00000000-0010-0000-0300-00000D000000}" name="sat_total" dataDxfId="0">
      <calculatedColumnFormula>SUM(E2:K2)</calculatedColumnFormula>
    </tableColumn>
    <tableColumn id="14" xr3:uid="{00000000-0010-0000-0300-00000E000000}" name="sat_mean"/>
    <tableColumn id="15" xr3:uid="{00000000-0010-0000-0300-00000F000000}" name="sat_lev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D4DDA2-BC79-734D-9CEA-9680B0C5D85B}" name="DataDictionaryTable7" displayName="DataDictionaryTable7" ref="A1:H22" totalsRowShown="0">
  <tableColumns count="8">
    <tableColumn id="1" xr3:uid="{B8A3D1CC-5CEF-D64B-A167-71DBACBCB725}" name="sheet"/>
    <tableColumn id="2" xr3:uid="{7BBF9658-61F5-0341-BE08-691719D02223}" name="field_name"/>
    <tableColumn id="3" xr3:uid="{B5D780A4-57D4-F647-B7C6-56F081537720}" name="label_th"/>
    <tableColumn id="4" xr3:uid="{201DF7D8-7C33-2542-BE31-861FD12EA321}" name="source"/>
    <tableColumn id="5" xr3:uid="{3A7388DF-48D1-2740-8AA4-2BC6254BA5E9}" name="input_or_derived"/>
    <tableColumn id="6" xr3:uid="{6680D06B-D050-0C40-88B9-4E71E0FEAED3}" name="used_in_model"/>
    <tableColumn id="7" xr3:uid="{4F31D3AE-E917-BC45-A8C9-2EBA701666D0}" name="rule_or_formula"/>
    <tableColumn id="8" xr3:uid="{8ABF1ABD-FC58-2A4E-AF4E-BCB6BD1090F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01"/>
  <sheetViews>
    <sheetView topLeftCell="AJ1" workbookViewId="0">
      <selection activeCell="B2" sqref="B2"/>
    </sheetView>
  </sheetViews>
  <sheetFormatPr baseColWidth="10" defaultColWidth="8.83203125" defaultRowHeight="15"/>
  <cols>
    <col min="1" max="1" width="16" style="16" customWidth="1"/>
    <col min="2" max="2" width="15.1640625" style="16" customWidth="1"/>
    <col min="3" max="3" width="17.33203125" style="16" customWidth="1"/>
    <col min="4" max="4" width="7.1640625" style="16" customWidth="1"/>
    <col min="5" max="5" width="9.33203125" style="16" customWidth="1"/>
    <col min="6" max="6" width="13.33203125" style="16" customWidth="1"/>
    <col min="7" max="7" width="8.83203125" style="16" customWidth="1"/>
    <col min="8" max="8" width="11.83203125" style="16" customWidth="1"/>
    <col min="9" max="9" width="13.33203125" style="16" customWidth="1"/>
    <col min="10" max="11" width="17.6640625" style="16" customWidth="1"/>
    <col min="12" max="12" width="22.83203125" style="16" customWidth="1"/>
    <col min="13" max="13" width="15.6640625" style="16" customWidth="1"/>
    <col min="14" max="14" width="18" style="16" customWidth="1"/>
    <col min="15" max="15" width="13.5" style="16" customWidth="1"/>
    <col min="16" max="16" width="7" style="16" customWidth="1"/>
    <col min="17" max="17" width="6.83203125" style="16" customWidth="1"/>
    <col min="18" max="18" width="6.6640625" style="16" customWidth="1"/>
    <col min="19" max="19" width="7" style="16" customWidth="1"/>
    <col min="20" max="20" width="8" style="16" customWidth="1"/>
    <col min="21" max="21" width="8.83203125" style="16" customWidth="1"/>
    <col min="22" max="22" width="11.83203125" style="16" customWidth="1"/>
    <col min="23" max="23" width="12.33203125" style="16" customWidth="1"/>
    <col min="24" max="27" width="8.83203125" style="16" customWidth="1"/>
    <col min="28" max="28" width="11.6640625" style="16" customWidth="1"/>
    <col min="29" max="29" width="12.5" style="16" customWidth="1"/>
    <col min="30" max="30" width="10.5" style="16" customWidth="1"/>
    <col min="31" max="31" width="17.33203125" style="16" customWidth="1"/>
    <col min="32" max="32" width="15.6640625" style="16" customWidth="1"/>
    <col min="33" max="33" width="11.33203125" style="16" customWidth="1"/>
    <col min="34" max="34" width="10.83203125" style="16" customWidth="1"/>
    <col min="35" max="35" width="12.33203125" style="16" customWidth="1"/>
    <col min="36" max="36" width="14.1640625" style="16" customWidth="1"/>
    <col min="37" max="37" width="18.1640625" style="16" customWidth="1"/>
    <col min="38" max="38" width="13" style="16" customWidth="1"/>
    <col min="39" max="39" width="10.33203125" style="16" customWidth="1"/>
    <col min="40" max="42" width="8.83203125" style="16" customWidth="1"/>
    <col min="43" max="43" width="11.5" style="16" customWidth="1"/>
    <col min="44" max="44" width="8.83203125" style="16" customWidth="1"/>
    <col min="45" max="45" width="8.5" style="16" customWidth="1"/>
    <col min="46" max="46" width="8.83203125" style="16" customWidth="1"/>
    <col min="47" max="16384" width="8.83203125" style="16"/>
  </cols>
  <sheetData>
    <row r="1" spans="1:45" ht="32" customHeight="1">
      <c r="A1" s="12" t="s">
        <v>0</v>
      </c>
      <c r="B1" s="12" t="s">
        <v>1</v>
      </c>
      <c r="C1" s="12" t="s">
        <v>2</v>
      </c>
      <c r="D1" s="12" t="s">
        <v>42</v>
      </c>
      <c r="E1" s="12" t="s">
        <v>43</v>
      </c>
      <c r="F1" s="12" t="s">
        <v>44</v>
      </c>
      <c r="G1" s="13" t="s">
        <v>45</v>
      </c>
      <c r="H1" s="13" t="s">
        <v>46</v>
      </c>
      <c r="I1" s="13" t="s">
        <v>47</v>
      </c>
      <c r="J1" s="13" t="s">
        <v>48</v>
      </c>
      <c r="K1" s="13" t="s">
        <v>49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54</v>
      </c>
      <c r="Q1" s="13" t="s">
        <v>55</v>
      </c>
      <c r="R1" s="13" t="s">
        <v>56</v>
      </c>
      <c r="S1" s="13" t="s">
        <v>57</v>
      </c>
      <c r="T1" s="13" t="s">
        <v>58</v>
      </c>
      <c r="U1" s="13" t="s">
        <v>59</v>
      </c>
      <c r="V1" s="13" t="s">
        <v>60</v>
      </c>
      <c r="W1" s="12" t="s">
        <v>61</v>
      </c>
      <c r="X1" s="14" t="s">
        <v>62</v>
      </c>
      <c r="Y1" s="14" t="s">
        <v>63</v>
      </c>
      <c r="Z1" s="14" t="s">
        <v>64</v>
      </c>
      <c r="AA1" s="14" t="s">
        <v>65</v>
      </c>
      <c r="AB1" s="14" t="s">
        <v>66</v>
      </c>
      <c r="AC1" s="14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5" t="s">
        <v>72</v>
      </c>
      <c r="AI1" s="15" t="s">
        <v>73</v>
      </c>
      <c r="AJ1" s="15" t="s">
        <v>74</v>
      </c>
      <c r="AK1" s="15" t="s">
        <v>75</v>
      </c>
      <c r="AL1" s="15" t="s">
        <v>76</v>
      </c>
      <c r="AM1" s="15" t="s">
        <v>77</v>
      </c>
      <c r="AN1" s="13" t="s">
        <v>78</v>
      </c>
      <c r="AO1" s="13" t="s">
        <v>79</v>
      </c>
      <c r="AP1" s="13" t="s">
        <v>80</v>
      </c>
      <c r="AQ1" s="13" t="s">
        <v>81</v>
      </c>
      <c r="AR1" s="13" t="s">
        <v>82</v>
      </c>
      <c r="AS1" s="13" t="s">
        <v>83</v>
      </c>
    </row>
    <row r="2" spans="1:45" ht="15" customHeight="1">
      <c r="A2" s="17">
        <v>1</v>
      </c>
      <c r="B2" s="17"/>
      <c r="C2" s="18"/>
      <c r="D2" s="17">
        <v>1</v>
      </c>
      <c r="E2" s="17">
        <v>63</v>
      </c>
      <c r="F2" s="19">
        <f t="shared" ref="F2:F65" si="0">IF(E2="","",IF(E2&lt;70,0,1))</f>
        <v>0</v>
      </c>
      <c r="G2" s="17">
        <v>1</v>
      </c>
      <c r="H2" s="17">
        <v>3</v>
      </c>
      <c r="I2" s="17">
        <v>2</v>
      </c>
      <c r="J2" s="17">
        <v>3</v>
      </c>
      <c r="K2" s="17">
        <v>0</v>
      </c>
      <c r="L2" s="17">
        <v>1</v>
      </c>
      <c r="M2" s="17">
        <v>0</v>
      </c>
      <c r="N2" s="17">
        <v>0</v>
      </c>
      <c r="O2" s="17">
        <v>0</v>
      </c>
      <c r="P2" s="17">
        <v>0</v>
      </c>
      <c r="Q2" s="17">
        <v>1</v>
      </c>
      <c r="R2" s="17">
        <v>1</v>
      </c>
      <c r="S2" s="17">
        <v>0</v>
      </c>
      <c r="T2" s="17">
        <v>0</v>
      </c>
      <c r="U2" s="17">
        <v>1</v>
      </c>
      <c r="V2" s="17" t="s">
        <v>84</v>
      </c>
      <c r="W2" s="17">
        <v>2</v>
      </c>
      <c r="X2" s="17">
        <v>2</v>
      </c>
      <c r="Y2" s="17">
        <v>2</v>
      </c>
      <c r="Z2" s="17">
        <v>2</v>
      </c>
      <c r="AA2" s="17">
        <v>4</v>
      </c>
      <c r="AB2" s="17">
        <v>2</v>
      </c>
      <c r="AC2" s="17">
        <v>2</v>
      </c>
      <c r="AD2" s="20">
        <v>2</v>
      </c>
      <c r="AE2" s="20">
        <v>2</v>
      </c>
      <c r="AF2" s="20">
        <v>0</v>
      </c>
      <c r="AG2" s="20">
        <v>2</v>
      </c>
      <c r="AH2" s="20">
        <v>0</v>
      </c>
      <c r="AI2" s="20">
        <v>2</v>
      </c>
      <c r="AJ2" s="20">
        <v>2</v>
      </c>
      <c r="AK2" s="20">
        <v>2</v>
      </c>
      <c r="AL2" s="20">
        <v>2</v>
      </c>
      <c r="AM2" s="20">
        <v>0</v>
      </c>
      <c r="AN2" s="21">
        <f t="shared" ref="AN2:AN65" si="1">IF(COUNTA(AB2:AD2)=0,"",SUM(AB2:AD2))</f>
        <v>6</v>
      </c>
      <c r="AO2" s="21">
        <v>8</v>
      </c>
      <c r="AP2" s="21">
        <v>4</v>
      </c>
      <c r="AQ2" s="20">
        <v>97</v>
      </c>
      <c r="AR2" s="20" t="s">
        <v>85</v>
      </c>
      <c r="AS2" s="21">
        <f t="shared" ref="AS2:AS65" si="2">IF(AQ2="","",IF(AR2="cm",AQ2,IF(AR2="inch",AQ2*2.54,"")))</f>
        <v>97</v>
      </c>
    </row>
    <row r="3" spans="1:45" ht="15" customHeight="1">
      <c r="A3" s="17">
        <v>2</v>
      </c>
      <c r="B3" s="17"/>
      <c r="C3" s="18"/>
      <c r="D3" s="17">
        <v>1</v>
      </c>
      <c r="E3" s="17">
        <v>69</v>
      </c>
      <c r="F3" s="19">
        <f t="shared" si="0"/>
        <v>0</v>
      </c>
      <c r="G3" s="17">
        <v>2</v>
      </c>
      <c r="H3" s="17">
        <v>1</v>
      </c>
      <c r="I3" s="17">
        <v>2</v>
      </c>
      <c r="J3" s="17">
        <v>1</v>
      </c>
      <c r="K3" s="17">
        <v>1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1</v>
      </c>
      <c r="V3" s="17" t="s">
        <v>86</v>
      </c>
      <c r="W3" s="17">
        <v>2</v>
      </c>
      <c r="X3" s="17">
        <v>2</v>
      </c>
      <c r="Y3" s="17">
        <v>2</v>
      </c>
      <c r="Z3" s="17">
        <v>0</v>
      </c>
      <c r="AA3" s="17">
        <v>2</v>
      </c>
      <c r="AB3" s="17">
        <v>2</v>
      </c>
      <c r="AC3" s="17">
        <v>2</v>
      </c>
      <c r="AD3" s="20">
        <v>2</v>
      </c>
      <c r="AE3" s="20">
        <v>0</v>
      </c>
      <c r="AF3" s="20">
        <v>2</v>
      </c>
      <c r="AG3" s="20">
        <v>2</v>
      </c>
      <c r="AH3" s="20">
        <v>4</v>
      </c>
      <c r="AI3" s="20">
        <v>2</v>
      </c>
      <c r="AJ3" s="20">
        <v>2</v>
      </c>
      <c r="AK3" s="20">
        <v>2</v>
      </c>
      <c r="AL3" s="20">
        <v>2</v>
      </c>
      <c r="AM3" s="20">
        <v>0</v>
      </c>
      <c r="AN3" s="21">
        <f t="shared" si="1"/>
        <v>6</v>
      </c>
      <c r="AO3" s="21">
        <v>12</v>
      </c>
      <c r="AP3" s="21">
        <v>4</v>
      </c>
      <c r="AQ3" s="20">
        <v>72</v>
      </c>
      <c r="AR3" s="20" t="s">
        <v>85</v>
      </c>
      <c r="AS3" s="21">
        <f t="shared" si="2"/>
        <v>72</v>
      </c>
    </row>
    <row r="4" spans="1:45" ht="15" customHeight="1">
      <c r="A4" s="17">
        <v>3</v>
      </c>
      <c r="B4" s="17"/>
      <c r="C4" s="18"/>
      <c r="D4" s="17">
        <v>1</v>
      </c>
      <c r="E4" s="17">
        <v>66</v>
      </c>
      <c r="F4" s="19">
        <f t="shared" si="0"/>
        <v>0</v>
      </c>
      <c r="G4" s="17">
        <v>2</v>
      </c>
      <c r="H4" s="17">
        <v>2</v>
      </c>
      <c r="I4" s="17">
        <v>2</v>
      </c>
      <c r="J4" s="17">
        <v>1</v>
      </c>
      <c r="K4" s="17">
        <v>1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1</v>
      </c>
      <c r="V4" s="17" t="s">
        <v>87</v>
      </c>
      <c r="W4" s="17">
        <v>2</v>
      </c>
      <c r="X4" s="17">
        <v>2</v>
      </c>
      <c r="Y4" s="17">
        <v>2</v>
      </c>
      <c r="Z4" s="17">
        <v>2</v>
      </c>
      <c r="AA4" s="17">
        <v>2</v>
      </c>
      <c r="AB4" s="17">
        <v>2</v>
      </c>
      <c r="AC4" s="17">
        <v>0</v>
      </c>
      <c r="AD4" s="20">
        <v>2</v>
      </c>
      <c r="AE4" s="20">
        <v>0</v>
      </c>
      <c r="AF4" s="20">
        <v>0</v>
      </c>
      <c r="AG4" s="20">
        <v>2</v>
      </c>
      <c r="AH4" s="20">
        <v>0</v>
      </c>
      <c r="AI4" s="20">
        <v>2</v>
      </c>
      <c r="AJ4" s="20">
        <v>0</v>
      </c>
      <c r="AK4" s="20">
        <v>2</v>
      </c>
      <c r="AL4" s="20">
        <v>2</v>
      </c>
      <c r="AM4" s="20">
        <v>2</v>
      </c>
      <c r="AN4" s="21">
        <f t="shared" si="1"/>
        <v>4</v>
      </c>
      <c r="AO4" s="21">
        <v>4</v>
      </c>
      <c r="AP4" s="21">
        <v>6</v>
      </c>
      <c r="AQ4" s="20">
        <v>68</v>
      </c>
      <c r="AR4" s="20" t="s">
        <v>85</v>
      </c>
      <c r="AS4" s="21">
        <f t="shared" si="2"/>
        <v>68</v>
      </c>
    </row>
    <row r="5" spans="1:45" ht="15" customHeight="1">
      <c r="A5" s="17">
        <v>4</v>
      </c>
      <c r="B5" s="17"/>
      <c r="C5" s="18"/>
      <c r="D5" s="17">
        <v>1</v>
      </c>
      <c r="E5" s="17">
        <v>68</v>
      </c>
      <c r="F5" s="19">
        <f t="shared" si="0"/>
        <v>0</v>
      </c>
      <c r="G5" s="17">
        <v>2</v>
      </c>
      <c r="H5" s="17">
        <v>2</v>
      </c>
      <c r="I5" s="17">
        <v>1</v>
      </c>
      <c r="J5" s="17">
        <v>1</v>
      </c>
      <c r="K5" s="17">
        <v>1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1</v>
      </c>
      <c r="S5" s="17">
        <v>0</v>
      </c>
      <c r="T5" s="17">
        <v>0</v>
      </c>
      <c r="U5" s="17">
        <v>0</v>
      </c>
      <c r="V5" s="17" t="s">
        <v>88</v>
      </c>
      <c r="W5" s="17">
        <v>4</v>
      </c>
      <c r="X5" s="17">
        <v>2</v>
      </c>
      <c r="Y5" s="17">
        <v>2</v>
      </c>
      <c r="Z5" s="17">
        <v>2</v>
      </c>
      <c r="AA5" s="17">
        <v>4</v>
      </c>
      <c r="AB5" s="17">
        <v>2</v>
      </c>
      <c r="AC5" s="17">
        <v>2</v>
      </c>
      <c r="AD5" s="20">
        <v>2</v>
      </c>
      <c r="AE5" s="20">
        <v>0</v>
      </c>
      <c r="AF5" s="20">
        <v>0</v>
      </c>
      <c r="AG5" s="20">
        <v>2</v>
      </c>
      <c r="AH5" s="20">
        <v>0</v>
      </c>
      <c r="AI5" s="20">
        <v>0</v>
      </c>
      <c r="AJ5" s="20">
        <v>2</v>
      </c>
      <c r="AK5" s="20">
        <v>4</v>
      </c>
      <c r="AL5" s="20">
        <v>2</v>
      </c>
      <c r="AM5" s="20">
        <v>0</v>
      </c>
      <c r="AN5" s="21">
        <f t="shared" si="1"/>
        <v>6</v>
      </c>
      <c r="AO5" s="21">
        <v>4</v>
      </c>
      <c r="AP5" s="21">
        <v>6</v>
      </c>
      <c r="AQ5" s="20">
        <v>59</v>
      </c>
      <c r="AR5" s="20" t="s">
        <v>85</v>
      </c>
      <c r="AS5" s="21">
        <f t="shared" si="2"/>
        <v>59</v>
      </c>
    </row>
    <row r="6" spans="1:45" ht="15" customHeight="1">
      <c r="A6" s="17">
        <v>5</v>
      </c>
      <c r="B6" s="17"/>
      <c r="C6" s="18"/>
      <c r="D6" s="17">
        <v>1</v>
      </c>
      <c r="E6" s="17">
        <v>65</v>
      </c>
      <c r="F6" s="19">
        <f t="shared" si="0"/>
        <v>0</v>
      </c>
      <c r="G6" s="17">
        <v>2</v>
      </c>
      <c r="H6" s="17">
        <v>3</v>
      </c>
      <c r="I6" s="17">
        <v>1</v>
      </c>
      <c r="J6" s="17">
        <v>1</v>
      </c>
      <c r="K6" s="17">
        <v>0</v>
      </c>
      <c r="L6" s="17">
        <v>1</v>
      </c>
      <c r="M6" s="17">
        <v>0</v>
      </c>
      <c r="N6" s="17">
        <v>0</v>
      </c>
      <c r="O6" s="17">
        <v>0</v>
      </c>
      <c r="P6" s="17">
        <v>0</v>
      </c>
      <c r="Q6" s="17">
        <v>1</v>
      </c>
      <c r="R6" s="17">
        <v>1</v>
      </c>
      <c r="S6" s="17">
        <v>0</v>
      </c>
      <c r="T6" s="17">
        <v>0</v>
      </c>
      <c r="U6" s="17">
        <v>0</v>
      </c>
      <c r="V6" s="17"/>
      <c r="W6" s="17">
        <v>4</v>
      </c>
      <c r="X6" s="17">
        <v>2</v>
      </c>
      <c r="Y6" s="17">
        <v>2</v>
      </c>
      <c r="Z6" s="17">
        <v>2</v>
      </c>
      <c r="AA6" s="17">
        <v>4</v>
      </c>
      <c r="AB6" s="17">
        <v>2</v>
      </c>
      <c r="AC6" s="17">
        <v>2</v>
      </c>
      <c r="AD6" s="20">
        <v>2</v>
      </c>
      <c r="AE6" s="20">
        <v>0</v>
      </c>
      <c r="AF6" s="20">
        <v>0</v>
      </c>
      <c r="AG6" s="20">
        <v>2</v>
      </c>
      <c r="AH6" s="20">
        <v>2</v>
      </c>
      <c r="AI6" s="20">
        <v>2</v>
      </c>
      <c r="AJ6" s="20">
        <v>2</v>
      </c>
      <c r="AK6" s="20">
        <v>2</v>
      </c>
      <c r="AL6" s="20">
        <v>2</v>
      </c>
      <c r="AM6" s="20">
        <v>0</v>
      </c>
      <c r="AN6" s="21">
        <f t="shared" si="1"/>
        <v>6</v>
      </c>
      <c r="AO6" s="21">
        <v>8</v>
      </c>
      <c r="AP6" s="21">
        <v>4</v>
      </c>
      <c r="AQ6" s="20">
        <v>88</v>
      </c>
      <c r="AR6" s="20" t="s">
        <v>85</v>
      </c>
      <c r="AS6" s="21">
        <f t="shared" si="2"/>
        <v>88</v>
      </c>
    </row>
    <row r="7" spans="1:45" ht="15" customHeight="1">
      <c r="A7" s="17">
        <v>6</v>
      </c>
      <c r="B7" s="17"/>
      <c r="C7" s="18"/>
      <c r="D7" s="17">
        <v>1</v>
      </c>
      <c r="E7" s="17">
        <v>63</v>
      </c>
      <c r="F7" s="19">
        <f t="shared" si="0"/>
        <v>0</v>
      </c>
      <c r="G7" s="17">
        <v>2</v>
      </c>
      <c r="H7" s="17">
        <v>2</v>
      </c>
      <c r="I7" s="17">
        <v>3</v>
      </c>
      <c r="J7" s="17">
        <v>1</v>
      </c>
      <c r="K7" s="17">
        <v>1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1</v>
      </c>
      <c r="S7" s="17">
        <v>0</v>
      </c>
      <c r="T7" s="17">
        <v>0</v>
      </c>
      <c r="U7" s="17">
        <v>0</v>
      </c>
      <c r="V7" s="17"/>
      <c r="W7" s="17">
        <v>4</v>
      </c>
      <c r="X7" s="17">
        <v>4</v>
      </c>
      <c r="Y7" s="17">
        <v>2</v>
      </c>
      <c r="Z7" s="17">
        <v>2</v>
      </c>
      <c r="AA7" s="17">
        <v>4</v>
      </c>
      <c r="AB7" s="17">
        <v>2</v>
      </c>
      <c r="AC7" s="17">
        <v>2</v>
      </c>
      <c r="AD7" s="20">
        <v>2</v>
      </c>
      <c r="AE7" s="20">
        <v>0</v>
      </c>
      <c r="AF7" s="20">
        <v>0</v>
      </c>
      <c r="AG7" s="20">
        <v>2</v>
      </c>
      <c r="AH7" s="20">
        <v>0</v>
      </c>
      <c r="AI7" s="20">
        <v>0</v>
      </c>
      <c r="AJ7" s="20">
        <v>0</v>
      </c>
      <c r="AK7" s="20">
        <v>2</v>
      </c>
      <c r="AL7" s="20">
        <v>2</v>
      </c>
      <c r="AM7" s="20">
        <v>0</v>
      </c>
      <c r="AN7" s="21">
        <f t="shared" si="1"/>
        <v>6</v>
      </c>
      <c r="AO7" s="21">
        <v>2</v>
      </c>
      <c r="AP7" s="21">
        <v>4</v>
      </c>
      <c r="AQ7" s="20">
        <v>77</v>
      </c>
      <c r="AR7" s="20" t="s">
        <v>85</v>
      </c>
      <c r="AS7" s="21">
        <f t="shared" si="2"/>
        <v>77</v>
      </c>
    </row>
    <row r="8" spans="1:45" ht="15" customHeight="1">
      <c r="A8" s="17">
        <v>7</v>
      </c>
      <c r="B8" s="17"/>
      <c r="C8" s="18"/>
      <c r="D8" s="17">
        <v>1</v>
      </c>
      <c r="E8" s="17">
        <v>60</v>
      </c>
      <c r="F8" s="19">
        <f t="shared" si="0"/>
        <v>0</v>
      </c>
      <c r="G8" s="17">
        <v>2</v>
      </c>
      <c r="H8" s="17">
        <v>2</v>
      </c>
      <c r="I8" s="17">
        <v>2</v>
      </c>
      <c r="J8" s="17">
        <v>1</v>
      </c>
      <c r="K8" s="17">
        <v>1</v>
      </c>
      <c r="L8" s="17">
        <v>0</v>
      </c>
      <c r="M8" s="17">
        <v>1</v>
      </c>
      <c r="N8" s="17">
        <v>0</v>
      </c>
      <c r="O8" s="17">
        <v>0</v>
      </c>
      <c r="P8" s="17">
        <v>1</v>
      </c>
      <c r="Q8" s="17">
        <v>1</v>
      </c>
      <c r="R8" s="17">
        <v>1</v>
      </c>
      <c r="S8" s="17">
        <v>0</v>
      </c>
      <c r="T8" s="17">
        <v>0</v>
      </c>
      <c r="U8" s="17">
        <v>0</v>
      </c>
      <c r="V8" s="17"/>
      <c r="W8" s="17">
        <v>2</v>
      </c>
      <c r="X8" s="17">
        <v>4</v>
      </c>
      <c r="Y8" s="17">
        <v>2</v>
      </c>
      <c r="Z8" s="17">
        <v>2</v>
      </c>
      <c r="AA8" s="17">
        <v>4</v>
      </c>
      <c r="AB8" s="17">
        <v>2</v>
      </c>
      <c r="AC8" s="17">
        <v>0</v>
      </c>
      <c r="AD8" s="20">
        <v>2</v>
      </c>
      <c r="AE8" s="20">
        <v>0</v>
      </c>
      <c r="AF8" s="20">
        <v>2</v>
      </c>
      <c r="AG8" s="20">
        <v>2</v>
      </c>
      <c r="AH8" s="20">
        <v>0</v>
      </c>
      <c r="AI8" s="20">
        <v>0</v>
      </c>
      <c r="AJ8" s="20">
        <v>2</v>
      </c>
      <c r="AK8" s="20">
        <v>2</v>
      </c>
      <c r="AL8" s="20">
        <v>2</v>
      </c>
      <c r="AM8" s="20">
        <v>0</v>
      </c>
      <c r="AN8" s="21">
        <f t="shared" si="1"/>
        <v>4</v>
      </c>
      <c r="AO8" s="21">
        <v>6</v>
      </c>
      <c r="AP8" s="21">
        <v>4</v>
      </c>
      <c r="AQ8" s="20">
        <v>94.5</v>
      </c>
      <c r="AR8" s="20" t="s">
        <v>85</v>
      </c>
      <c r="AS8" s="21">
        <f t="shared" si="2"/>
        <v>94.5</v>
      </c>
    </row>
    <row r="9" spans="1:45" ht="15" customHeight="1">
      <c r="A9" s="17">
        <v>8</v>
      </c>
      <c r="B9" s="17"/>
      <c r="C9" s="18"/>
      <c r="D9" s="17">
        <v>1</v>
      </c>
      <c r="E9" s="17">
        <v>68</v>
      </c>
      <c r="F9" s="19">
        <f t="shared" si="0"/>
        <v>0</v>
      </c>
      <c r="G9" s="17">
        <v>2</v>
      </c>
      <c r="H9" s="17">
        <v>2</v>
      </c>
      <c r="I9" s="17">
        <v>3</v>
      </c>
      <c r="J9" s="17">
        <v>1</v>
      </c>
      <c r="K9" s="17">
        <v>1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1</v>
      </c>
      <c r="R9" s="17">
        <v>0</v>
      </c>
      <c r="S9" s="17">
        <v>0</v>
      </c>
      <c r="T9" s="17">
        <v>0</v>
      </c>
      <c r="U9" s="17">
        <v>0</v>
      </c>
      <c r="V9" s="17"/>
      <c r="W9" s="17">
        <v>4</v>
      </c>
      <c r="X9" s="17">
        <v>2</v>
      </c>
      <c r="Y9" s="17">
        <v>2</v>
      </c>
      <c r="Z9" s="17">
        <v>0</v>
      </c>
      <c r="AA9" s="17">
        <v>4</v>
      </c>
      <c r="AB9" s="17">
        <v>2</v>
      </c>
      <c r="AC9" s="17">
        <v>0</v>
      </c>
      <c r="AD9" s="20">
        <v>2</v>
      </c>
      <c r="AE9" s="20">
        <v>0</v>
      </c>
      <c r="AF9" s="20">
        <v>0</v>
      </c>
      <c r="AG9" s="20">
        <v>2</v>
      </c>
      <c r="AH9" s="20">
        <v>0</v>
      </c>
      <c r="AI9" s="20">
        <v>0</v>
      </c>
      <c r="AJ9" s="20">
        <v>2</v>
      </c>
      <c r="AK9" s="20">
        <v>4</v>
      </c>
      <c r="AL9" s="20">
        <v>2</v>
      </c>
      <c r="AM9" s="20">
        <v>0</v>
      </c>
      <c r="AN9" s="21">
        <f t="shared" si="1"/>
        <v>4</v>
      </c>
      <c r="AO9" s="21">
        <v>4</v>
      </c>
      <c r="AP9" s="21">
        <v>6</v>
      </c>
      <c r="AQ9" s="20">
        <v>95.5</v>
      </c>
      <c r="AR9" s="20" t="s">
        <v>85</v>
      </c>
      <c r="AS9" s="21">
        <f t="shared" si="2"/>
        <v>95.5</v>
      </c>
    </row>
    <row r="10" spans="1:45" ht="15" customHeight="1">
      <c r="A10" s="17">
        <v>9</v>
      </c>
      <c r="B10" s="17"/>
      <c r="C10" s="18"/>
      <c r="D10" s="17">
        <v>1</v>
      </c>
      <c r="E10" s="17">
        <v>67</v>
      </c>
      <c r="F10" s="19">
        <f t="shared" si="0"/>
        <v>0</v>
      </c>
      <c r="G10" s="17">
        <v>2</v>
      </c>
      <c r="H10" s="17">
        <v>2</v>
      </c>
      <c r="I10" s="17">
        <v>3</v>
      </c>
      <c r="J10" s="17">
        <v>1</v>
      </c>
      <c r="K10" s="17">
        <v>1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 t="s">
        <v>88</v>
      </c>
      <c r="W10" s="17">
        <v>4</v>
      </c>
      <c r="X10" s="17">
        <v>2</v>
      </c>
      <c r="Y10" s="17">
        <v>2</v>
      </c>
      <c r="Z10" s="17">
        <v>2</v>
      </c>
      <c r="AA10" s="17">
        <v>2</v>
      </c>
      <c r="AB10" s="17">
        <v>2</v>
      </c>
      <c r="AC10" s="17">
        <v>0</v>
      </c>
      <c r="AD10" s="20">
        <v>2</v>
      </c>
      <c r="AE10" s="20">
        <v>0</v>
      </c>
      <c r="AF10" s="20">
        <v>2</v>
      </c>
      <c r="AG10" s="20">
        <v>2</v>
      </c>
      <c r="AH10" s="20">
        <v>0</v>
      </c>
      <c r="AI10" s="20">
        <v>2</v>
      </c>
      <c r="AJ10" s="20">
        <v>2</v>
      </c>
      <c r="AK10" s="20">
        <v>2</v>
      </c>
      <c r="AL10" s="20">
        <v>2</v>
      </c>
      <c r="AM10" s="20">
        <v>0</v>
      </c>
      <c r="AN10" s="21">
        <f t="shared" si="1"/>
        <v>4</v>
      </c>
      <c r="AO10" s="21">
        <v>8</v>
      </c>
      <c r="AP10" s="21">
        <v>4</v>
      </c>
      <c r="AQ10" s="20">
        <v>80</v>
      </c>
      <c r="AR10" s="20" t="s">
        <v>85</v>
      </c>
      <c r="AS10" s="21">
        <f t="shared" si="2"/>
        <v>80</v>
      </c>
    </row>
    <row r="11" spans="1:45" ht="15" customHeight="1">
      <c r="A11" s="17">
        <v>10</v>
      </c>
      <c r="B11" s="17"/>
      <c r="C11" s="18"/>
      <c r="D11" s="17">
        <v>1</v>
      </c>
      <c r="E11" s="17">
        <v>61</v>
      </c>
      <c r="F11" s="19">
        <f t="shared" si="0"/>
        <v>0</v>
      </c>
      <c r="G11" s="17">
        <v>2</v>
      </c>
      <c r="H11" s="17">
        <v>1</v>
      </c>
      <c r="I11" s="17">
        <v>3</v>
      </c>
      <c r="J11" s="17">
        <v>1</v>
      </c>
      <c r="K11" s="17">
        <v>1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 t="s">
        <v>88</v>
      </c>
      <c r="W11" s="17">
        <v>4</v>
      </c>
      <c r="X11" s="17">
        <v>4</v>
      </c>
      <c r="Y11" s="17">
        <v>2</v>
      </c>
      <c r="Z11" s="17">
        <v>2</v>
      </c>
      <c r="AA11" s="17">
        <v>2</v>
      </c>
      <c r="AB11" s="17">
        <v>2</v>
      </c>
      <c r="AC11" s="17">
        <v>0</v>
      </c>
      <c r="AD11" s="20">
        <v>2</v>
      </c>
      <c r="AE11" s="20">
        <v>0</v>
      </c>
      <c r="AF11" s="20">
        <v>0</v>
      </c>
      <c r="AG11" s="20">
        <v>0</v>
      </c>
      <c r="AH11" s="20">
        <v>2</v>
      </c>
      <c r="AI11" s="20">
        <v>0</v>
      </c>
      <c r="AJ11" s="20">
        <v>2</v>
      </c>
      <c r="AK11" s="20">
        <v>2</v>
      </c>
      <c r="AL11" s="20">
        <v>2</v>
      </c>
      <c r="AM11" s="20">
        <v>0</v>
      </c>
      <c r="AN11" s="21">
        <f t="shared" si="1"/>
        <v>4</v>
      </c>
      <c r="AO11" s="21">
        <v>4</v>
      </c>
      <c r="AP11" s="21">
        <v>4</v>
      </c>
      <c r="AQ11" s="20">
        <v>79.5</v>
      </c>
      <c r="AR11" s="20" t="s">
        <v>85</v>
      </c>
      <c r="AS11" s="21">
        <f t="shared" si="2"/>
        <v>79.5</v>
      </c>
    </row>
    <row r="12" spans="1:45" ht="15" customHeight="1">
      <c r="A12" s="17">
        <v>11</v>
      </c>
      <c r="B12" s="17"/>
      <c r="C12" s="18"/>
      <c r="D12" s="17">
        <v>1</v>
      </c>
      <c r="E12" s="17">
        <v>69</v>
      </c>
      <c r="F12" s="19">
        <f t="shared" si="0"/>
        <v>0</v>
      </c>
      <c r="G12" s="17">
        <v>2</v>
      </c>
      <c r="H12" s="17">
        <v>2</v>
      </c>
      <c r="I12" s="17">
        <v>1</v>
      </c>
      <c r="J12" s="17">
        <v>1</v>
      </c>
      <c r="K12" s="17">
        <v>1</v>
      </c>
      <c r="L12" s="17">
        <v>0</v>
      </c>
      <c r="M12" s="17">
        <v>0</v>
      </c>
      <c r="N12" s="17">
        <v>1</v>
      </c>
      <c r="O12" s="17">
        <v>0</v>
      </c>
      <c r="P12" s="17">
        <v>0</v>
      </c>
      <c r="Q12" s="17">
        <v>0</v>
      </c>
      <c r="R12" s="17">
        <v>1</v>
      </c>
      <c r="S12" s="17">
        <v>0</v>
      </c>
      <c r="T12" s="17">
        <v>0</v>
      </c>
      <c r="U12" s="17">
        <v>0</v>
      </c>
      <c r="V12" s="17"/>
      <c r="W12" s="17">
        <v>1</v>
      </c>
      <c r="X12" s="17">
        <v>2</v>
      </c>
      <c r="Y12" s="17">
        <v>0</v>
      </c>
      <c r="Z12" s="17">
        <v>2</v>
      </c>
      <c r="AA12" s="17">
        <v>4</v>
      </c>
      <c r="AB12" s="17">
        <v>2</v>
      </c>
      <c r="AC12" s="17">
        <v>0</v>
      </c>
      <c r="AD12" s="20">
        <v>2</v>
      </c>
      <c r="AE12" s="20">
        <v>0</v>
      </c>
      <c r="AF12" s="20">
        <v>0</v>
      </c>
      <c r="AG12" s="20">
        <v>2</v>
      </c>
      <c r="AH12" s="20">
        <v>2</v>
      </c>
      <c r="AI12" s="20">
        <v>2</v>
      </c>
      <c r="AJ12" s="20">
        <v>2</v>
      </c>
      <c r="AK12" s="20">
        <v>2</v>
      </c>
      <c r="AL12" s="20">
        <v>2</v>
      </c>
      <c r="AM12" s="20">
        <v>0</v>
      </c>
      <c r="AN12" s="21">
        <f t="shared" si="1"/>
        <v>4</v>
      </c>
      <c r="AO12" s="21">
        <v>8</v>
      </c>
      <c r="AP12" s="21">
        <v>4</v>
      </c>
      <c r="AQ12" s="20">
        <v>84</v>
      </c>
      <c r="AR12" s="20" t="s">
        <v>85</v>
      </c>
      <c r="AS12" s="21">
        <f t="shared" si="2"/>
        <v>84</v>
      </c>
    </row>
    <row r="13" spans="1:45" ht="15" customHeight="1">
      <c r="A13" s="17">
        <v>12</v>
      </c>
      <c r="B13" s="17"/>
      <c r="C13" s="18"/>
      <c r="D13" s="17">
        <v>1</v>
      </c>
      <c r="E13" s="17">
        <v>68</v>
      </c>
      <c r="F13" s="19">
        <f t="shared" si="0"/>
        <v>0</v>
      </c>
      <c r="G13" s="17">
        <v>2</v>
      </c>
      <c r="H13" s="17">
        <v>2</v>
      </c>
      <c r="I13" s="17">
        <v>2</v>
      </c>
      <c r="J13" s="17">
        <v>1</v>
      </c>
      <c r="K13" s="17">
        <v>1</v>
      </c>
      <c r="L13" s="17">
        <v>0</v>
      </c>
      <c r="M13" s="17">
        <v>0</v>
      </c>
      <c r="N13" s="17">
        <v>1</v>
      </c>
      <c r="O13" s="17">
        <v>1</v>
      </c>
      <c r="P13" s="17">
        <v>0</v>
      </c>
      <c r="Q13" s="17">
        <v>1</v>
      </c>
      <c r="R13" s="17">
        <v>1</v>
      </c>
      <c r="S13" s="17">
        <v>0</v>
      </c>
      <c r="T13" s="17">
        <v>0</v>
      </c>
      <c r="U13" s="17">
        <v>0</v>
      </c>
      <c r="V13" s="17"/>
      <c r="W13" s="17">
        <v>2</v>
      </c>
      <c r="X13" s="17">
        <v>4</v>
      </c>
      <c r="Y13" s="17">
        <v>4</v>
      </c>
      <c r="Z13" s="17">
        <v>2</v>
      </c>
      <c r="AA13" s="17">
        <v>4</v>
      </c>
      <c r="AB13" s="17">
        <v>2</v>
      </c>
      <c r="AC13" s="17">
        <v>2</v>
      </c>
      <c r="AD13" s="20">
        <v>2</v>
      </c>
      <c r="AE13" s="20">
        <v>0</v>
      </c>
      <c r="AF13" s="20">
        <v>2</v>
      </c>
      <c r="AG13" s="20">
        <v>2</v>
      </c>
      <c r="AH13" s="20">
        <v>2</v>
      </c>
      <c r="AI13" s="20">
        <v>2</v>
      </c>
      <c r="AJ13" s="20">
        <v>2</v>
      </c>
      <c r="AK13" s="20">
        <v>2</v>
      </c>
      <c r="AL13" s="20">
        <v>2</v>
      </c>
      <c r="AM13" s="20">
        <v>0</v>
      </c>
      <c r="AN13" s="21">
        <f t="shared" si="1"/>
        <v>6</v>
      </c>
      <c r="AO13" s="21">
        <v>10</v>
      </c>
      <c r="AP13" s="21">
        <v>4</v>
      </c>
      <c r="AQ13" s="20">
        <v>83</v>
      </c>
      <c r="AR13" s="20" t="s">
        <v>85</v>
      </c>
      <c r="AS13" s="21">
        <f t="shared" si="2"/>
        <v>83</v>
      </c>
    </row>
    <row r="14" spans="1:45" ht="15" customHeight="1">
      <c r="A14" s="17">
        <v>13</v>
      </c>
      <c r="B14" s="17"/>
      <c r="C14" s="18"/>
      <c r="D14" s="17">
        <v>1</v>
      </c>
      <c r="E14" s="17">
        <v>68</v>
      </c>
      <c r="F14" s="19">
        <f t="shared" si="0"/>
        <v>0</v>
      </c>
      <c r="G14" s="17">
        <v>2</v>
      </c>
      <c r="H14" s="17">
        <v>3</v>
      </c>
      <c r="I14" s="17">
        <v>1</v>
      </c>
      <c r="J14" s="17">
        <v>1</v>
      </c>
      <c r="K14" s="17">
        <v>1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/>
      <c r="W14" s="17">
        <v>4</v>
      </c>
      <c r="X14" s="17">
        <v>2</v>
      </c>
      <c r="Y14" s="17">
        <v>2</v>
      </c>
      <c r="Z14" s="17">
        <v>2</v>
      </c>
      <c r="AA14" s="17">
        <v>2</v>
      </c>
      <c r="AB14" s="17">
        <v>2</v>
      </c>
      <c r="AC14" s="17">
        <v>2</v>
      </c>
      <c r="AD14" s="20">
        <v>2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2</v>
      </c>
      <c r="AK14" s="20">
        <v>2</v>
      </c>
      <c r="AL14" s="20">
        <v>2</v>
      </c>
      <c r="AM14" s="20">
        <v>0</v>
      </c>
      <c r="AN14" s="21">
        <f t="shared" si="1"/>
        <v>6</v>
      </c>
      <c r="AO14" s="21">
        <v>2</v>
      </c>
      <c r="AP14" s="21">
        <v>4</v>
      </c>
      <c r="AQ14" s="20">
        <v>64</v>
      </c>
      <c r="AR14" s="20" t="s">
        <v>85</v>
      </c>
      <c r="AS14" s="21">
        <f t="shared" si="2"/>
        <v>64</v>
      </c>
    </row>
    <row r="15" spans="1:45" ht="15" customHeight="1">
      <c r="A15" s="17">
        <v>14</v>
      </c>
      <c r="B15" s="17"/>
      <c r="C15" s="18"/>
      <c r="D15" s="17">
        <v>1</v>
      </c>
      <c r="E15" s="17">
        <v>66</v>
      </c>
      <c r="F15" s="19">
        <f t="shared" si="0"/>
        <v>0</v>
      </c>
      <c r="G15" s="17">
        <v>2</v>
      </c>
      <c r="H15" s="17">
        <v>3</v>
      </c>
      <c r="I15" s="17">
        <v>1</v>
      </c>
      <c r="J15" s="17">
        <v>1</v>
      </c>
      <c r="K15" s="17">
        <v>1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1</v>
      </c>
      <c r="R15" s="17">
        <v>1</v>
      </c>
      <c r="S15" s="17">
        <v>0</v>
      </c>
      <c r="T15" s="17">
        <v>0</v>
      </c>
      <c r="U15" s="17">
        <v>0</v>
      </c>
      <c r="V15" s="17"/>
      <c r="W15" s="17">
        <v>1</v>
      </c>
      <c r="X15" s="17">
        <v>2</v>
      </c>
      <c r="Y15" s="17">
        <v>0</v>
      </c>
      <c r="Z15" s="17">
        <v>0</v>
      </c>
      <c r="AA15" s="17">
        <v>4</v>
      </c>
      <c r="AB15" s="17">
        <v>2</v>
      </c>
      <c r="AC15" s="17">
        <v>2</v>
      </c>
      <c r="AD15" s="20">
        <v>2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2</v>
      </c>
      <c r="AL15" s="20">
        <v>2</v>
      </c>
      <c r="AM15" s="20">
        <v>0</v>
      </c>
      <c r="AN15" s="21">
        <f t="shared" si="1"/>
        <v>6</v>
      </c>
      <c r="AO15" s="21">
        <v>0</v>
      </c>
      <c r="AP15" s="21">
        <v>4</v>
      </c>
      <c r="AQ15" s="20">
        <v>59</v>
      </c>
      <c r="AR15" s="20" t="s">
        <v>85</v>
      </c>
      <c r="AS15" s="21">
        <f t="shared" si="2"/>
        <v>59</v>
      </c>
    </row>
    <row r="16" spans="1:45" ht="15" customHeight="1">
      <c r="A16" s="17">
        <v>15</v>
      </c>
      <c r="B16" s="17"/>
      <c r="C16" s="18"/>
      <c r="D16" s="17">
        <v>1</v>
      </c>
      <c r="E16" s="17">
        <v>66</v>
      </c>
      <c r="F16" s="19">
        <f t="shared" si="0"/>
        <v>0</v>
      </c>
      <c r="G16" s="17">
        <v>2</v>
      </c>
      <c r="H16" s="17">
        <v>3</v>
      </c>
      <c r="I16" s="17">
        <v>1</v>
      </c>
      <c r="J16" s="17">
        <v>1</v>
      </c>
      <c r="K16" s="17">
        <v>1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1</v>
      </c>
      <c r="V16" s="17" t="s">
        <v>89</v>
      </c>
      <c r="W16" s="17">
        <v>4</v>
      </c>
      <c r="X16" s="17">
        <v>2</v>
      </c>
      <c r="Y16" s="17">
        <v>2</v>
      </c>
      <c r="Z16" s="17">
        <v>2</v>
      </c>
      <c r="AA16" s="17">
        <v>4</v>
      </c>
      <c r="AB16" s="17">
        <v>2</v>
      </c>
      <c r="AC16" s="17">
        <v>2</v>
      </c>
      <c r="AD16" s="20">
        <v>2</v>
      </c>
      <c r="AE16" s="20">
        <v>2</v>
      </c>
      <c r="AF16" s="20">
        <v>4</v>
      </c>
      <c r="AG16" s="20">
        <v>0</v>
      </c>
      <c r="AH16" s="20">
        <v>0</v>
      </c>
      <c r="AI16" s="20">
        <v>0</v>
      </c>
      <c r="AJ16" s="20">
        <v>2</v>
      </c>
      <c r="AK16" s="20">
        <v>2</v>
      </c>
      <c r="AL16" s="20">
        <v>2</v>
      </c>
      <c r="AM16" s="20">
        <v>0</v>
      </c>
      <c r="AN16" s="21">
        <f t="shared" si="1"/>
        <v>6</v>
      </c>
      <c r="AO16" s="21">
        <v>8</v>
      </c>
      <c r="AP16" s="21">
        <v>4</v>
      </c>
      <c r="AQ16" s="20">
        <v>68.5</v>
      </c>
      <c r="AR16" s="20" t="s">
        <v>85</v>
      </c>
      <c r="AS16" s="21">
        <f t="shared" si="2"/>
        <v>68.5</v>
      </c>
    </row>
    <row r="17" spans="1:45" ht="15" customHeight="1">
      <c r="A17" s="17">
        <v>16</v>
      </c>
      <c r="B17" s="17"/>
      <c r="C17" s="18"/>
      <c r="D17" s="17">
        <v>1</v>
      </c>
      <c r="E17" s="17">
        <v>61</v>
      </c>
      <c r="F17" s="19">
        <f t="shared" si="0"/>
        <v>0</v>
      </c>
      <c r="G17" s="17">
        <v>2</v>
      </c>
      <c r="H17" s="17">
        <v>3</v>
      </c>
      <c r="I17" s="17">
        <v>2</v>
      </c>
      <c r="J17" s="17">
        <v>2</v>
      </c>
      <c r="K17" s="17">
        <v>0</v>
      </c>
      <c r="L17" s="17">
        <v>0</v>
      </c>
      <c r="M17" s="17">
        <v>0</v>
      </c>
      <c r="N17" s="17">
        <v>1</v>
      </c>
      <c r="O17" s="17">
        <v>0</v>
      </c>
      <c r="P17" s="17">
        <v>0</v>
      </c>
      <c r="Q17" s="17">
        <v>0</v>
      </c>
      <c r="R17" s="17">
        <v>1</v>
      </c>
      <c r="S17" s="17">
        <v>0</v>
      </c>
      <c r="T17" s="17">
        <v>0</v>
      </c>
      <c r="U17" s="17">
        <v>0</v>
      </c>
      <c r="V17" s="17"/>
      <c r="W17" s="17">
        <v>4</v>
      </c>
      <c r="X17" s="17">
        <v>4</v>
      </c>
      <c r="Y17" s="17">
        <v>4</v>
      </c>
      <c r="Z17" s="17">
        <v>2</v>
      </c>
      <c r="AA17" s="17">
        <v>4</v>
      </c>
      <c r="AB17" s="17">
        <v>2</v>
      </c>
      <c r="AC17" s="17">
        <v>2</v>
      </c>
      <c r="AD17" s="20">
        <v>2</v>
      </c>
      <c r="AE17" s="20">
        <v>0</v>
      </c>
      <c r="AF17" s="20">
        <v>4</v>
      </c>
      <c r="AG17" s="20">
        <v>0</v>
      </c>
      <c r="AH17" s="20">
        <v>4</v>
      </c>
      <c r="AI17" s="20">
        <v>2</v>
      </c>
      <c r="AJ17" s="20">
        <v>2</v>
      </c>
      <c r="AK17" s="20">
        <v>2</v>
      </c>
      <c r="AL17" s="20">
        <v>4</v>
      </c>
      <c r="AM17" s="20">
        <v>2</v>
      </c>
      <c r="AN17" s="21">
        <f t="shared" si="1"/>
        <v>6</v>
      </c>
      <c r="AO17" s="21">
        <v>12</v>
      </c>
      <c r="AP17" s="21">
        <v>8</v>
      </c>
      <c r="AQ17" s="20">
        <v>85.5</v>
      </c>
      <c r="AR17" s="20" t="s">
        <v>85</v>
      </c>
      <c r="AS17" s="21">
        <f t="shared" si="2"/>
        <v>85.5</v>
      </c>
    </row>
    <row r="18" spans="1:45" ht="15" customHeight="1">
      <c r="A18" s="17">
        <v>17</v>
      </c>
      <c r="B18" s="17"/>
      <c r="C18" s="18"/>
      <c r="D18" s="17">
        <v>1</v>
      </c>
      <c r="E18" s="17">
        <v>63</v>
      </c>
      <c r="F18" s="19">
        <f t="shared" si="0"/>
        <v>0</v>
      </c>
      <c r="G18" s="17">
        <v>2</v>
      </c>
      <c r="H18" s="17">
        <v>2</v>
      </c>
      <c r="I18" s="17">
        <v>3</v>
      </c>
      <c r="J18" s="17">
        <v>2</v>
      </c>
      <c r="K18" s="17">
        <v>1</v>
      </c>
      <c r="L18" s="17">
        <v>0</v>
      </c>
      <c r="M18" s="17">
        <v>0</v>
      </c>
      <c r="N18" s="17">
        <v>0</v>
      </c>
      <c r="O18" s="17">
        <v>1</v>
      </c>
      <c r="P18" s="17">
        <v>1</v>
      </c>
      <c r="Q18" s="17">
        <v>1</v>
      </c>
      <c r="R18" s="17">
        <v>1</v>
      </c>
      <c r="S18" s="17">
        <v>0</v>
      </c>
      <c r="T18" s="17">
        <v>0</v>
      </c>
      <c r="U18" s="17">
        <v>0</v>
      </c>
      <c r="V18" s="17"/>
      <c r="W18" s="17">
        <v>4</v>
      </c>
      <c r="X18" s="17">
        <v>4</v>
      </c>
      <c r="Y18" s="17">
        <v>4</v>
      </c>
      <c r="Z18" s="17">
        <v>2</v>
      </c>
      <c r="AA18" s="17">
        <v>4</v>
      </c>
      <c r="AB18" s="17">
        <v>2</v>
      </c>
      <c r="AC18" s="17">
        <v>0</v>
      </c>
      <c r="AD18" s="20">
        <v>2</v>
      </c>
      <c r="AE18" s="20">
        <v>0</v>
      </c>
      <c r="AF18" s="20">
        <v>0</v>
      </c>
      <c r="AG18" s="20">
        <v>0</v>
      </c>
      <c r="AH18" s="20">
        <v>4</v>
      </c>
      <c r="AI18" s="20">
        <v>2</v>
      </c>
      <c r="AJ18" s="20">
        <v>2</v>
      </c>
      <c r="AK18" s="20">
        <v>2</v>
      </c>
      <c r="AL18" s="20">
        <v>2</v>
      </c>
      <c r="AM18" s="20">
        <v>0</v>
      </c>
      <c r="AN18" s="21">
        <f t="shared" si="1"/>
        <v>4</v>
      </c>
      <c r="AO18" s="21">
        <v>8</v>
      </c>
      <c r="AP18" s="21">
        <v>4</v>
      </c>
      <c r="AQ18" s="20">
        <v>96</v>
      </c>
      <c r="AR18" s="20" t="s">
        <v>85</v>
      </c>
      <c r="AS18" s="21">
        <f t="shared" si="2"/>
        <v>96</v>
      </c>
    </row>
    <row r="19" spans="1:45" ht="15" customHeight="1">
      <c r="A19" s="17">
        <v>18</v>
      </c>
      <c r="B19" s="17"/>
      <c r="C19" s="18"/>
      <c r="D19" s="17">
        <v>1</v>
      </c>
      <c r="E19" s="17">
        <v>63</v>
      </c>
      <c r="F19" s="19">
        <f t="shared" si="0"/>
        <v>0</v>
      </c>
      <c r="G19" s="17">
        <v>2</v>
      </c>
      <c r="H19" s="17">
        <v>2</v>
      </c>
      <c r="I19" s="17">
        <v>3</v>
      </c>
      <c r="J19" s="17">
        <v>1</v>
      </c>
      <c r="K19" s="17">
        <v>1</v>
      </c>
      <c r="L19" s="17">
        <v>0</v>
      </c>
      <c r="M19" s="17">
        <v>0</v>
      </c>
      <c r="N19" s="17">
        <v>1</v>
      </c>
      <c r="O19" s="17">
        <v>0</v>
      </c>
      <c r="P19" s="17">
        <v>1</v>
      </c>
      <c r="Q19" s="17">
        <v>1</v>
      </c>
      <c r="R19" s="17">
        <v>1</v>
      </c>
      <c r="S19" s="17">
        <v>0</v>
      </c>
      <c r="T19" s="17">
        <v>0</v>
      </c>
      <c r="U19" s="17">
        <v>0</v>
      </c>
      <c r="V19" s="17"/>
      <c r="W19" s="17">
        <v>4</v>
      </c>
      <c r="X19" s="17">
        <v>2</v>
      </c>
      <c r="Y19" s="17">
        <v>0</v>
      </c>
      <c r="Z19" s="17">
        <v>2</v>
      </c>
      <c r="AA19" s="17">
        <v>4</v>
      </c>
      <c r="AB19" s="17">
        <v>2</v>
      </c>
      <c r="AC19" s="17">
        <v>0</v>
      </c>
      <c r="AD19" s="20">
        <v>2</v>
      </c>
      <c r="AE19" s="20">
        <v>0</v>
      </c>
      <c r="AF19" s="20">
        <v>0</v>
      </c>
      <c r="AG19" s="20">
        <v>2</v>
      </c>
      <c r="AH19" s="20">
        <v>0</v>
      </c>
      <c r="AI19" s="20">
        <v>0</v>
      </c>
      <c r="AJ19" s="20">
        <v>2</v>
      </c>
      <c r="AK19" s="20">
        <v>2</v>
      </c>
      <c r="AL19" s="20">
        <v>2</v>
      </c>
      <c r="AM19" s="20">
        <v>0</v>
      </c>
      <c r="AN19" s="21">
        <f t="shared" si="1"/>
        <v>4</v>
      </c>
      <c r="AO19" s="21">
        <v>4</v>
      </c>
      <c r="AP19" s="21">
        <v>4</v>
      </c>
      <c r="AQ19" s="20">
        <v>95</v>
      </c>
      <c r="AR19" s="20" t="s">
        <v>85</v>
      </c>
      <c r="AS19" s="21">
        <f t="shared" si="2"/>
        <v>95</v>
      </c>
    </row>
    <row r="20" spans="1:45" ht="15" customHeight="1">
      <c r="A20" s="17">
        <v>19</v>
      </c>
      <c r="B20" s="17"/>
      <c r="C20" s="18"/>
      <c r="D20" s="17">
        <v>1</v>
      </c>
      <c r="E20" s="17">
        <v>67</v>
      </c>
      <c r="F20" s="19">
        <f t="shared" si="0"/>
        <v>0</v>
      </c>
      <c r="G20" s="17">
        <v>2</v>
      </c>
      <c r="H20" s="17">
        <v>3</v>
      </c>
      <c r="I20" s="17">
        <v>1</v>
      </c>
      <c r="J20" s="17">
        <v>1</v>
      </c>
      <c r="K20" s="17">
        <v>1</v>
      </c>
      <c r="L20" s="17">
        <v>0</v>
      </c>
      <c r="M20" s="17">
        <v>0</v>
      </c>
      <c r="N20" s="17">
        <v>0</v>
      </c>
      <c r="O20" s="17">
        <v>1</v>
      </c>
      <c r="P20" s="17">
        <v>0</v>
      </c>
      <c r="Q20" s="17">
        <v>1</v>
      </c>
      <c r="R20" s="17">
        <v>1</v>
      </c>
      <c r="S20" s="17">
        <v>0</v>
      </c>
      <c r="T20" s="17">
        <v>0</v>
      </c>
      <c r="U20" s="17">
        <v>0</v>
      </c>
      <c r="V20" s="17"/>
      <c r="W20" s="17">
        <v>3</v>
      </c>
      <c r="X20" s="17">
        <v>4</v>
      </c>
      <c r="Y20" s="17">
        <v>2</v>
      </c>
      <c r="Z20" s="17">
        <v>2</v>
      </c>
      <c r="AA20" s="17">
        <v>4</v>
      </c>
      <c r="AB20" s="17">
        <v>2</v>
      </c>
      <c r="AC20" s="17">
        <v>2</v>
      </c>
      <c r="AD20" s="20">
        <v>2</v>
      </c>
      <c r="AE20" s="20">
        <v>0</v>
      </c>
      <c r="AF20" s="20">
        <v>0</v>
      </c>
      <c r="AG20" s="20">
        <v>0</v>
      </c>
      <c r="AH20" s="20">
        <v>2</v>
      </c>
      <c r="AI20" s="20">
        <v>0</v>
      </c>
      <c r="AJ20" s="20">
        <v>0</v>
      </c>
      <c r="AK20" s="20">
        <v>4</v>
      </c>
      <c r="AL20" s="20">
        <v>4</v>
      </c>
      <c r="AM20" s="20">
        <v>0</v>
      </c>
      <c r="AN20" s="21">
        <f t="shared" si="1"/>
        <v>6</v>
      </c>
      <c r="AO20" s="21">
        <v>2</v>
      </c>
      <c r="AP20" s="21">
        <v>8</v>
      </c>
      <c r="AQ20" s="20">
        <v>93</v>
      </c>
      <c r="AR20" s="20" t="s">
        <v>85</v>
      </c>
      <c r="AS20" s="21">
        <f t="shared" si="2"/>
        <v>93</v>
      </c>
    </row>
    <row r="21" spans="1:45" ht="15" customHeight="1">
      <c r="A21" s="17">
        <v>20</v>
      </c>
      <c r="B21" s="17"/>
      <c r="C21" s="18"/>
      <c r="D21" s="17">
        <v>1</v>
      </c>
      <c r="E21" s="17">
        <v>66</v>
      </c>
      <c r="F21" s="19">
        <f t="shared" si="0"/>
        <v>0</v>
      </c>
      <c r="G21" s="17">
        <v>2</v>
      </c>
      <c r="H21" s="17">
        <v>3</v>
      </c>
      <c r="I21" s="17">
        <v>2</v>
      </c>
      <c r="J21" s="17">
        <v>2</v>
      </c>
      <c r="K21" s="17">
        <v>0</v>
      </c>
      <c r="L21" s="17">
        <v>1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1</v>
      </c>
      <c r="V21" s="17" t="s">
        <v>90</v>
      </c>
      <c r="W21" s="17">
        <v>2</v>
      </c>
      <c r="X21" s="17">
        <v>2</v>
      </c>
      <c r="Y21" s="17">
        <v>2</v>
      </c>
      <c r="Z21" s="17">
        <v>2</v>
      </c>
      <c r="AA21" s="17">
        <v>2</v>
      </c>
      <c r="AB21" s="17">
        <v>2</v>
      </c>
      <c r="AC21" s="17">
        <v>2</v>
      </c>
      <c r="AD21" s="20">
        <v>2</v>
      </c>
      <c r="AE21" s="20">
        <v>0</v>
      </c>
      <c r="AF21" s="20">
        <v>0</v>
      </c>
      <c r="AG21" s="20">
        <v>2</v>
      </c>
      <c r="AH21" s="20">
        <v>0</v>
      </c>
      <c r="AI21" s="20">
        <v>0</v>
      </c>
      <c r="AJ21" s="20">
        <v>0</v>
      </c>
      <c r="AK21" s="20">
        <v>4</v>
      </c>
      <c r="AL21" s="20">
        <v>2</v>
      </c>
      <c r="AM21" s="20">
        <v>0</v>
      </c>
      <c r="AN21" s="21">
        <f t="shared" si="1"/>
        <v>6</v>
      </c>
      <c r="AO21" s="21">
        <v>2</v>
      </c>
      <c r="AP21" s="21">
        <v>6</v>
      </c>
      <c r="AQ21" s="20">
        <v>81.5</v>
      </c>
      <c r="AR21" s="20" t="s">
        <v>85</v>
      </c>
      <c r="AS21" s="21">
        <f t="shared" si="2"/>
        <v>81.5</v>
      </c>
    </row>
    <row r="22" spans="1:45" ht="15" customHeight="1">
      <c r="A22" s="17">
        <v>21</v>
      </c>
      <c r="B22" s="17"/>
      <c r="C22" s="18"/>
      <c r="D22" s="17">
        <v>1</v>
      </c>
      <c r="E22" s="17">
        <v>64</v>
      </c>
      <c r="F22" s="19">
        <f t="shared" si="0"/>
        <v>0</v>
      </c>
      <c r="G22" s="17">
        <v>2</v>
      </c>
      <c r="H22" s="17">
        <v>1</v>
      </c>
      <c r="I22" s="17">
        <v>3</v>
      </c>
      <c r="J22" s="17">
        <v>1</v>
      </c>
      <c r="K22" s="17">
        <v>1</v>
      </c>
      <c r="L22" s="17">
        <v>0</v>
      </c>
      <c r="M22" s="17">
        <v>0</v>
      </c>
      <c r="N22" s="17">
        <v>0</v>
      </c>
      <c r="O22" s="17">
        <v>1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1</v>
      </c>
      <c r="V22" s="17" t="s">
        <v>91</v>
      </c>
      <c r="W22" s="17">
        <v>4</v>
      </c>
      <c r="X22" s="17">
        <v>4</v>
      </c>
      <c r="Y22" s="17">
        <v>2</v>
      </c>
      <c r="Z22" s="17">
        <v>2</v>
      </c>
      <c r="AA22" s="17">
        <v>4</v>
      </c>
      <c r="AB22" s="17">
        <v>2</v>
      </c>
      <c r="AC22" s="17">
        <v>2</v>
      </c>
      <c r="AD22" s="20">
        <v>2</v>
      </c>
      <c r="AE22" s="20">
        <v>0</v>
      </c>
      <c r="AF22" s="20">
        <v>0</v>
      </c>
      <c r="AG22" s="20">
        <v>0</v>
      </c>
      <c r="AH22" s="20">
        <v>0</v>
      </c>
      <c r="AI22" s="20">
        <v>2</v>
      </c>
      <c r="AJ22" s="20">
        <v>2</v>
      </c>
      <c r="AK22" s="20">
        <v>2</v>
      </c>
      <c r="AL22" s="20">
        <v>2</v>
      </c>
      <c r="AM22" s="20">
        <v>0</v>
      </c>
      <c r="AN22" s="21">
        <f t="shared" si="1"/>
        <v>6</v>
      </c>
      <c r="AO22" s="21">
        <v>4</v>
      </c>
      <c r="AP22" s="21">
        <v>4</v>
      </c>
      <c r="AQ22" s="20">
        <v>96</v>
      </c>
      <c r="AR22" s="20" t="s">
        <v>85</v>
      </c>
      <c r="AS22" s="21">
        <f t="shared" si="2"/>
        <v>96</v>
      </c>
    </row>
    <row r="23" spans="1:45" ht="15" customHeight="1">
      <c r="A23" s="17">
        <v>22</v>
      </c>
      <c r="B23" s="17"/>
      <c r="C23" s="18"/>
      <c r="D23" s="17">
        <v>1</v>
      </c>
      <c r="E23" s="17">
        <v>69</v>
      </c>
      <c r="F23" s="19">
        <f t="shared" si="0"/>
        <v>0</v>
      </c>
      <c r="G23" s="17">
        <v>2</v>
      </c>
      <c r="H23" s="17">
        <v>1</v>
      </c>
      <c r="I23" s="17">
        <v>3</v>
      </c>
      <c r="J23" s="17">
        <v>1</v>
      </c>
      <c r="K23" s="17">
        <v>1</v>
      </c>
      <c r="L23" s="17">
        <v>0</v>
      </c>
      <c r="M23" s="17">
        <v>0</v>
      </c>
      <c r="N23" s="17">
        <v>0</v>
      </c>
      <c r="O23" s="17">
        <v>0</v>
      </c>
      <c r="P23" s="17">
        <v>1</v>
      </c>
      <c r="Q23" s="17">
        <v>0</v>
      </c>
      <c r="R23" s="17">
        <v>1</v>
      </c>
      <c r="S23" s="17">
        <v>0</v>
      </c>
      <c r="T23" s="17">
        <v>0</v>
      </c>
      <c r="U23" s="17">
        <v>0</v>
      </c>
      <c r="V23" s="17" t="s">
        <v>92</v>
      </c>
      <c r="W23" s="17">
        <v>1</v>
      </c>
      <c r="X23" s="17">
        <v>2</v>
      </c>
      <c r="Y23" s="17">
        <v>0</v>
      </c>
      <c r="Z23" s="17">
        <v>2</v>
      </c>
      <c r="AA23" s="17">
        <v>4</v>
      </c>
      <c r="AB23" s="17">
        <v>2</v>
      </c>
      <c r="AC23" s="17">
        <v>2</v>
      </c>
      <c r="AD23" s="20">
        <v>2</v>
      </c>
      <c r="AE23" s="20">
        <v>0</v>
      </c>
      <c r="AF23" s="20">
        <v>0</v>
      </c>
      <c r="AG23" s="20">
        <v>2</v>
      </c>
      <c r="AH23" s="20">
        <v>2</v>
      </c>
      <c r="AI23" s="20">
        <v>2</v>
      </c>
      <c r="AJ23" s="20">
        <v>2</v>
      </c>
      <c r="AK23" s="20">
        <v>2</v>
      </c>
      <c r="AL23" s="20">
        <v>2</v>
      </c>
      <c r="AM23" s="20">
        <v>0</v>
      </c>
      <c r="AN23" s="21">
        <f t="shared" si="1"/>
        <v>6</v>
      </c>
      <c r="AO23" s="21">
        <v>8</v>
      </c>
      <c r="AP23" s="21">
        <v>4</v>
      </c>
      <c r="AQ23" s="20">
        <v>81.5</v>
      </c>
      <c r="AR23" s="20" t="s">
        <v>85</v>
      </c>
      <c r="AS23" s="21">
        <f t="shared" si="2"/>
        <v>81.5</v>
      </c>
    </row>
    <row r="24" spans="1:45" ht="15" customHeight="1">
      <c r="A24" s="17">
        <v>23</v>
      </c>
      <c r="B24" s="17"/>
      <c r="C24" s="18"/>
      <c r="D24" s="17">
        <v>1</v>
      </c>
      <c r="E24" s="17">
        <v>63</v>
      </c>
      <c r="F24" s="19">
        <f t="shared" si="0"/>
        <v>0</v>
      </c>
      <c r="G24" s="17">
        <v>1</v>
      </c>
      <c r="H24" s="17">
        <v>2</v>
      </c>
      <c r="I24" s="17">
        <v>2</v>
      </c>
      <c r="J24" s="17">
        <v>2</v>
      </c>
      <c r="K24" s="17">
        <v>1</v>
      </c>
      <c r="L24" s="17">
        <v>0</v>
      </c>
      <c r="M24" s="17">
        <v>0</v>
      </c>
      <c r="N24" s="17">
        <v>0</v>
      </c>
      <c r="O24" s="17">
        <v>1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1</v>
      </c>
      <c r="V24" s="17" t="s">
        <v>93</v>
      </c>
      <c r="W24" s="17">
        <v>4</v>
      </c>
      <c r="X24" s="17">
        <v>2</v>
      </c>
      <c r="Y24" s="17">
        <v>2</v>
      </c>
      <c r="Z24" s="17">
        <v>2</v>
      </c>
      <c r="AA24" s="17">
        <v>2</v>
      </c>
      <c r="AB24" s="17">
        <v>2</v>
      </c>
      <c r="AC24" s="17">
        <v>2</v>
      </c>
      <c r="AD24" s="20">
        <v>0</v>
      </c>
      <c r="AE24" s="20">
        <v>0</v>
      </c>
      <c r="AF24" s="20">
        <v>2</v>
      </c>
      <c r="AG24" s="20">
        <v>2</v>
      </c>
      <c r="AH24" s="20">
        <v>0</v>
      </c>
      <c r="AI24" s="20">
        <v>2</v>
      </c>
      <c r="AJ24" s="20">
        <v>0</v>
      </c>
      <c r="AK24" s="20">
        <v>2</v>
      </c>
      <c r="AL24" s="20">
        <v>2</v>
      </c>
      <c r="AM24" s="20">
        <v>0</v>
      </c>
      <c r="AN24" s="21">
        <f t="shared" si="1"/>
        <v>4</v>
      </c>
      <c r="AO24" s="21">
        <v>6</v>
      </c>
      <c r="AP24" s="21">
        <v>4</v>
      </c>
      <c r="AQ24" s="20">
        <v>77.5</v>
      </c>
      <c r="AR24" s="20" t="s">
        <v>85</v>
      </c>
      <c r="AS24" s="21">
        <f t="shared" si="2"/>
        <v>77.5</v>
      </c>
    </row>
    <row r="25" spans="1:45" ht="15" customHeight="1">
      <c r="A25" s="17">
        <v>24</v>
      </c>
      <c r="B25" s="17"/>
      <c r="C25" s="18"/>
      <c r="D25" s="17">
        <v>1</v>
      </c>
      <c r="E25" s="17">
        <v>65</v>
      </c>
      <c r="F25" s="19">
        <f t="shared" si="0"/>
        <v>0</v>
      </c>
      <c r="G25" s="17">
        <v>2</v>
      </c>
      <c r="H25" s="17">
        <v>3</v>
      </c>
      <c r="I25" s="17">
        <v>2</v>
      </c>
      <c r="J25" s="17">
        <v>1</v>
      </c>
      <c r="K25" s="17">
        <v>1</v>
      </c>
      <c r="L25" s="17">
        <v>0</v>
      </c>
      <c r="M25" s="17">
        <v>0</v>
      </c>
      <c r="N25" s="17">
        <v>0</v>
      </c>
      <c r="O25" s="17">
        <v>1</v>
      </c>
      <c r="P25" s="17">
        <v>0</v>
      </c>
      <c r="Q25" s="17">
        <v>1</v>
      </c>
      <c r="R25" s="17">
        <v>1</v>
      </c>
      <c r="S25" s="17">
        <v>0</v>
      </c>
      <c r="T25" s="17">
        <v>0</v>
      </c>
      <c r="U25" s="17">
        <v>0</v>
      </c>
      <c r="V25" s="17"/>
      <c r="W25" s="17">
        <v>4</v>
      </c>
      <c r="X25" s="17">
        <v>2</v>
      </c>
      <c r="Y25" s="17">
        <v>2</v>
      </c>
      <c r="Z25" s="17">
        <v>2</v>
      </c>
      <c r="AA25" s="17">
        <v>4</v>
      </c>
      <c r="AB25" s="17">
        <v>2</v>
      </c>
      <c r="AC25" s="17">
        <v>2</v>
      </c>
      <c r="AD25" s="20">
        <v>2</v>
      </c>
      <c r="AE25" s="20">
        <v>0</v>
      </c>
      <c r="AF25" s="20">
        <v>0</v>
      </c>
      <c r="AG25" s="20">
        <v>0</v>
      </c>
      <c r="AH25" s="20">
        <v>0</v>
      </c>
      <c r="AI25" s="20">
        <v>2</v>
      </c>
      <c r="AJ25" s="20">
        <v>2</v>
      </c>
      <c r="AK25" s="20">
        <v>2</v>
      </c>
      <c r="AL25" s="20">
        <v>2</v>
      </c>
      <c r="AM25" s="20">
        <v>0</v>
      </c>
      <c r="AN25" s="21">
        <f t="shared" si="1"/>
        <v>6</v>
      </c>
      <c r="AO25" s="21">
        <v>4</v>
      </c>
      <c r="AP25" s="21">
        <v>4</v>
      </c>
      <c r="AQ25" s="20">
        <v>88</v>
      </c>
      <c r="AR25" s="20" t="s">
        <v>85</v>
      </c>
      <c r="AS25" s="21">
        <f t="shared" si="2"/>
        <v>88</v>
      </c>
    </row>
    <row r="26" spans="1:45" ht="15" customHeight="1">
      <c r="A26" s="17">
        <v>25</v>
      </c>
      <c r="B26" s="17"/>
      <c r="C26" s="18"/>
      <c r="D26" s="17">
        <v>1</v>
      </c>
      <c r="E26" s="17">
        <v>63</v>
      </c>
      <c r="F26" s="19">
        <f t="shared" si="0"/>
        <v>0</v>
      </c>
      <c r="G26" s="17">
        <v>2</v>
      </c>
      <c r="H26" s="17">
        <v>2</v>
      </c>
      <c r="I26" s="17">
        <v>2</v>
      </c>
      <c r="J26" s="17">
        <v>1</v>
      </c>
      <c r="K26" s="17">
        <v>1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1</v>
      </c>
      <c r="S26" s="17">
        <v>0</v>
      </c>
      <c r="T26" s="17">
        <v>0</v>
      </c>
      <c r="U26" s="17">
        <v>0</v>
      </c>
      <c r="V26" s="17"/>
      <c r="W26" s="17">
        <v>4</v>
      </c>
      <c r="X26" s="17">
        <v>0</v>
      </c>
      <c r="Y26" s="17">
        <v>0</v>
      </c>
      <c r="Z26" s="17">
        <v>2</v>
      </c>
      <c r="AA26" s="17">
        <v>4</v>
      </c>
      <c r="AB26" s="17">
        <v>2</v>
      </c>
      <c r="AC26" s="17">
        <v>0</v>
      </c>
      <c r="AD26" s="20">
        <v>2</v>
      </c>
      <c r="AE26" s="20">
        <v>0</v>
      </c>
      <c r="AF26" s="20">
        <v>0</v>
      </c>
      <c r="AG26" s="20">
        <v>4</v>
      </c>
      <c r="AH26" s="20">
        <v>2</v>
      </c>
      <c r="AI26" s="20">
        <v>2</v>
      </c>
      <c r="AJ26" s="20">
        <v>2</v>
      </c>
      <c r="AK26" s="20">
        <v>2</v>
      </c>
      <c r="AL26" s="20">
        <v>4</v>
      </c>
      <c r="AM26" s="20">
        <v>0</v>
      </c>
      <c r="AN26" s="21">
        <f t="shared" si="1"/>
        <v>4</v>
      </c>
      <c r="AO26" s="21">
        <v>10</v>
      </c>
      <c r="AP26" s="21">
        <v>6</v>
      </c>
      <c r="AQ26" s="20">
        <v>98</v>
      </c>
      <c r="AR26" s="20" t="s">
        <v>85</v>
      </c>
      <c r="AS26" s="21">
        <f t="shared" si="2"/>
        <v>98</v>
      </c>
    </row>
    <row r="27" spans="1:45" ht="15" customHeight="1">
      <c r="A27" s="17">
        <v>26</v>
      </c>
      <c r="B27" s="17"/>
      <c r="C27" s="18"/>
      <c r="D27" s="17">
        <v>1</v>
      </c>
      <c r="E27" s="17">
        <v>69</v>
      </c>
      <c r="F27" s="19">
        <f t="shared" si="0"/>
        <v>0</v>
      </c>
      <c r="G27" s="17">
        <v>2</v>
      </c>
      <c r="H27" s="17">
        <v>1</v>
      </c>
      <c r="I27" s="17">
        <v>2</v>
      </c>
      <c r="J27" s="17">
        <v>1</v>
      </c>
      <c r="K27" s="17">
        <v>1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1</v>
      </c>
      <c r="R27" s="17">
        <v>1</v>
      </c>
      <c r="S27" s="17">
        <v>0</v>
      </c>
      <c r="T27" s="17">
        <v>0</v>
      </c>
      <c r="U27" s="17">
        <v>0</v>
      </c>
      <c r="V27" s="17"/>
      <c r="W27" s="17">
        <v>4</v>
      </c>
      <c r="X27" s="17">
        <v>2</v>
      </c>
      <c r="Y27" s="17">
        <v>2</v>
      </c>
      <c r="Z27" s="17">
        <v>2</v>
      </c>
      <c r="AA27" s="17">
        <v>4</v>
      </c>
      <c r="AB27" s="17">
        <v>2</v>
      </c>
      <c r="AC27" s="17">
        <v>0</v>
      </c>
      <c r="AD27" s="20">
        <v>2</v>
      </c>
      <c r="AE27" s="20">
        <v>0</v>
      </c>
      <c r="AF27" s="20">
        <v>0</v>
      </c>
      <c r="AG27" s="20">
        <v>0</v>
      </c>
      <c r="AH27" s="20">
        <v>0</v>
      </c>
      <c r="AI27" s="20">
        <v>2</v>
      </c>
      <c r="AJ27" s="20">
        <v>0</v>
      </c>
      <c r="AK27" s="20">
        <v>2</v>
      </c>
      <c r="AL27" s="20">
        <v>2</v>
      </c>
      <c r="AM27" s="20">
        <v>0</v>
      </c>
      <c r="AN27" s="21">
        <f t="shared" si="1"/>
        <v>4</v>
      </c>
      <c r="AO27" s="21">
        <v>2</v>
      </c>
      <c r="AP27" s="21">
        <v>4</v>
      </c>
      <c r="AQ27" s="20">
        <v>76</v>
      </c>
      <c r="AR27" s="20" t="s">
        <v>85</v>
      </c>
      <c r="AS27" s="21">
        <f t="shared" si="2"/>
        <v>76</v>
      </c>
    </row>
    <row r="28" spans="1:45" ht="15" customHeight="1">
      <c r="A28" s="17">
        <v>27</v>
      </c>
      <c r="B28" s="17"/>
      <c r="C28" s="18"/>
      <c r="D28" s="17">
        <v>1</v>
      </c>
      <c r="E28" s="17">
        <v>68</v>
      </c>
      <c r="F28" s="19">
        <f t="shared" si="0"/>
        <v>0</v>
      </c>
      <c r="G28" s="17">
        <v>2</v>
      </c>
      <c r="H28" s="17">
        <v>1</v>
      </c>
      <c r="I28" s="17">
        <v>2</v>
      </c>
      <c r="J28" s="17">
        <v>1</v>
      </c>
      <c r="K28" s="17">
        <v>1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1</v>
      </c>
      <c r="V28" s="17" t="s">
        <v>94</v>
      </c>
      <c r="W28" s="17">
        <v>4</v>
      </c>
      <c r="X28" s="17">
        <v>2</v>
      </c>
      <c r="Y28" s="17">
        <v>2</v>
      </c>
      <c r="Z28" s="17">
        <v>2</v>
      </c>
      <c r="AA28" s="17">
        <v>4</v>
      </c>
      <c r="AB28" s="17">
        <v>2</v>
      </c>
      <c r="AC28" s="17">
        <v>2</v>
      </c>
      <c r="AD28" s="20">
        <v>2</v>
      </c>
      <c r="AE28" s="20">
        <v>0</v>
      </c>
      <c r="AF28" s="20">
        <v>0</v>
      </c>
      <c r="AG28" s="20">
        <v>2</v>
      </c>
      <c r="AH28" s="20">
        <v>0</v>
      </c>
      <c r="AI28" s="20">
        <v>2</v>
      </c>
      <c r="AJ28" s="20">
        <v>0</v>
      </c>
      <c r="AK28" s="20">
        <v>2</v>
      </c>
      <c r="AL28" s="20">
        <v>2</v>
      </c>
      <c r="AM28" s="20">
        <v>0</v>
      </c>
      <c r="AN28" s="21">
        <f t="shared" si="1"/>
        <v>6</v>
      </c>
      <c r="AO28" s="21">
        <v>4</v>
      </c>
      <c r="AP28" s="21">
        <v>4</v>
      </c>
      <c r="AQ28" s="20">
        <v>99.5</v>
      </c>
      <c r="AR28" s="20" t="s">
        <v>85</v>
      </c>
      <c r="AS28" s="21">
        <f t="shared" si="2"/>
        <v>99.5</v>
      </c>
    </row>
    <row r="29" spans="1:45" ht="15" customHeight="1">
      <c r="A29" s="17">
        <v>28</v>
      </c>
      <c r="B29" s="17"/>
      <c r="C29" s="18"/>
      <c r="D29" s="17">
        <v>1</v>
      </c>
      <c r="E29" s="17">
        <v>66</v>
      </c>
      <c r="F29" s="19">
        <f t="shared" si="0"/>
        <v>0</v>
      </c>
      <c r="G29" s="17">
        <v>2</v>
      </c>
      <c r="H29" s="17">
        <v>2</v>
      </c>
      <c r="I29" s="17">
        <v>2</v>
      </c>
      <c r="J29" s="17">
        <v>1</v>
      </c>
      <c r="K29" s="17">
        <v>1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1</v>
      </c>
      <c r="R29" s="17">
        <v>1</v>
      </c>
      <c r="S29" s="17">
        <v>0</v>
      </c>
      <c r="T29" s="17">
        <v>0</v>
      </c>
      <c r="U29" s="17">
        <v>0</v>
      </c>
      <c r="V29" s="17"/>
      <c r="W29" s="17">
        <v>4</v>
      </c>
      <c r="X29" s="17">
        <v>4</v>
      </c>
      <c r="Y29" s="17">
        <v>2</v>
      </c>
      <c r="Z29" s="17">
        <v>0</v>
      </c>
      <c r="AA29" s="17">
        <v>4</v>
      </c>
      <c r="AB29" s="17">
        <v>2</v>
      </c>
      <c r="AC29" s="17">
        <v>0</v>
      </c>
      <c r="AD29" s="20">
        <v>2</v>
      </c>
      <c r="AE29" s="20">
        <v>2</v>
      </c>
      <c r="AF29" s="20">
        <v>4</v>
      </c>
      <c r="AG29" s="20">
        <v>2</v>
      </c>
      <c r="AH29" s="20">
        <v>0</v>
      </c>
      <c r="AI29" s="20">
        <v>2</v>
      </c>
      <c r="AJ29" s="20">
        <v>0</v>
      </c>
      <c r="AK29" s="20">
        <v>4</v>
      </c>
      <c r="AL29" s="20">
        <v>4</v>
      </c>
      <c r="AM29" s="20">
        <v>0</v>
      </c>
      <c r="AN29" s="21">
        <f t="shared" si="1"/>
        <v>4</v>
      </c>
      <c r="AO29" s="21">
        <v>10</v>
      </c>
      <c r="AP29" s="21">
        <v>8</v>
      </c>
      <c r="AQ29" s="20">
        <v>95</v>
      </c>
      <c r="AR29" s="20" t="s">
        <v>85</v>
      </c>
      <c r="AS29" s="21">
        <f t="shared" si="2"/>
        <v>95</v>
      </c>
    </row>
    <row r="30" spans="1:45" ht="15" customHeight="1">
      <c r="A30" s="17">
        <v>29</v>
      </c>
      <c r="B30" s="17"/>
      <c r="C30" s="18"/>
      <c r="D30" s="17">
        <v>1</v>
      </c>
      <c r="E30" s="17">
        <v>66</v>
      </c>
      <c r="F30" s="19">
        <f t="shared" si="0"/>
        <v>0</v>
      </c>
      <c r="G30" s="17">
        <v>1</v>
      </c>
      <c r="H30" s="17">
        <v>2</v>
      </c>
      <c r="I30" s="17">
        <v>2</v>
      </c>
      <c r="J30" s="17">
        <v>1</v>
      </c>
      <c r="K30" s="17">
        <v>1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1</v>
      </c>
      <c r="V30" s="17" t="s">
        <v>95</v>
      </c>
      <c r="W30" s="17">
        <v>2</v>
      </c>
      <c r="X30" s="17">
        <v>4</v>
      </c>
      <c r="Y30" s="17">
        <v>2</v>
      </c>
      <c r="Z30" s="17">
        <v>2</v>
      </c>
      <c r="AA30" s="17">
        <v>2</v>
      </c>
      <c r="AB30" s="17">
        <v>2</v>
      </c>
      <c r="AC30" s="17">
        <v>2</v>
      </c>
      <c r="AD30" s="20">
        <v>2</v>
      </c>
      <c r="AE30" s="20">
        <v>4</v>
      </c>
      <c r="AF30" s="20">
        <v>2</v>
      </c>
      <c r="AG30" s="20">
        <v>0</v>
      </c>
      <c r="AH30" s="20">
        <v>0</v>
      </c>
      <c r="AI30" s="20">
        <v>0</v>
      </c>
      <c r="AJ30" s="20">
        <v>2</v>
      </c>
      <c r="AK30" s="20">
        <v>2</v>
      </c>
      <c r="AL30" s="20">
        <v>2</v>
      </c>
      <c r="AM30" s="20">
        <v>4</v>
      </c>
      <c r="AN30" s="21">
        <f t="shared" si="1"/>
        <v>6</v>
      </c>
      <c r="AO30" s="21">
        <v>8</v>
      </c>
      <c r="AP30" s="21">
        <v>8</v>
      </c>
      <c r="AQ30" s="20">
        <v>108</v>
      </c>
      <c r="AR30" s="20" t="s">
        <v>85</v>
      </c>
      <c r="AS30" s="21">
        <f t="shared" si="2"/>
        <v>108</v>
      </c>
    </row>
    <row r="31" spans="1:45" ht="15" customHeight="1">
      <c r="A31" s="17">
        <v>30</v>
      </c>
      <c r="B31" s="17"/>
      <c r="C31" s="18"/>
      <c r="D31" s="17">
        <v>1</v>
      </c>
      <c r="E31" s="17">
        <v>67</v>
      </c>
      <c r="F31" s="19">
        <f t="shared" si="0"/>
        <v>0</v>
      </c>
      <c r="G31" s="17">
        <v>2</v>
      </c>
      <c r="H31" s="17">
        <v>1</v>
      </c>
      <c r="I31" s="17">
        <v>3</v>
      </c>
      <c r="J31" s="17">
        <v>1</v>
      </c>
      <c r="K31" s="17">
        <v>1</v>
      </c>
      <c r="L31" s="17">
        <v>0</v>
      </c>
      <c r="M31" s="17">
        <v>0</v>
      </c>
      <c r="N31" s="17">
        <v>1</v>
      </c>
      <c r="O31" s="17">
        <v>0</v>
      </c>
      <c r="P31" s="17">
        <v>0</v>
      </c>
      <c r="Q31" s="17">
        <v>1</v>
      </c>
      <c r="R31" s="17">
        <v>1</v>
      </c>
      <c r="S31" s="17">
        <v>0</v>
      </c>
      <c r="T31" s="17">
        <v>0</v>
      </c>
      <c r="U31" s="17">
        <v>0</v>
      </c>
      <c r="V31" s="17"/>
      <c r="W31" s="17">
        <v>4</v>
      </c>
      <c r="X31" s="17">
        <v>2</v>
      </c>
      <c r="Y31" s="17">
        <v>2</v>
      </c>
      <c r="Z31" s="17">
        <v>2</v>
      </c>
      <c r="AA31" s="17">
        <v>4</v>
      </c>
      <c r="AB31" s="17">
        <v>2</v>
      </c>
      <c r="AC31" s="17">
        <v>2</v>
      </c>
      <c r="AD31" s="20">
        <v>2</v>
      </c>
      <c r="AE31" s="20">
        <v>0</v>
      </c>
      <c r="AF31" s="20">
        <v>2</v>
      </c>
      <c r="AG31" s="20">
        <v>2</v>
      </c>
      <c r="AH31" s="20">
        <v>0</v>
      </c>
      <c r="AI31" s="20">
        <v>2</v>
      </c>
      <c r="AJ31" s="20">
        <v>2</v>
      </c>
      <c r="AK31" s="20">
        <v>2</v>
      </c>
      <c r="AL31" s="20">
        <v>2</v>
      </c>
      <c r="AM31" s="20">
        <v>0</v>
      </c>
      <c r="AN31" s="21">
        <f t="shared" si="1"/>
        <v>6</v>
      </c>
      <c r="AO31" s="21">
        <v>8</v>
      </c>
      <c r="AP31" s="21">
        <v>4</v>
      </c>
      <c r="AQ31" s="20">
        <v>99</v>
      </c>
      <c r="AR31" s="20" t="s">
        <v>85</v>
      </c>
      <c r="AS31" s="21">
        <f t="shared" si="2"/>
        <v>99</v>
      </c>
    </row>
    <row r="32" spans="1:45" ht="15" customHeight="1">
      <c r="A32" s="17">
        <v>31</v>
      </c>
      <c r="B32" s="17"/>
      <c r="C32" s="18"/>
      <c r="D32" s="17">
        <v>1</v>
      </c>
      <c r="E32" s="17">
        <v>63</v>
      </c>
      <c r="F32" s="19">
        <f t="shared" si="0"/>
        <v>0</v>
      </c>
      <c r="G32" s="17">
        <v>2</v>
      </c>
      <c r="H32" s="17">
        <v>2</v>
      </c>
      <c r="I32" s="17">
        <v>1</v>
      </c>
      <c r="J32" s="17">
        <v>1</v>
      </c>
      <c r="K32" s="17">
        <v>1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1</v>
      </c>
      <c r="V32" s="17" t="s">
        <v>96</v>
      </c>
      <c r="W32" s="17">
        <v>1</v>
      </c>
      <c r="X32" s="17">
        <v>2</v>
      </c>
      <c r="Y32" s="17">
        <v>2</v>
      </c>
      <c r="Z32" s="17">
        <v>2</v>
      </c>
      <c r="AA32" s="17">
        <v>2</v>
      </c>
      <c r="AB32" s="17">
        <v>2</v>
      </c>
      <c r="AC32" s="17">
        <v>0</v>
      </c>
      <c r="AD32" s="20">
        <v>2</v>
      </c>
      <c r="AE32" s="20">
        <v>0</v>
      </c>
      <c r="AF32" s="20">
        <v>0</v>
      </c>
      <c r="AG32" s="20">
        <v>0</v>
      </c>
      <c r="AH32" s="20">
        <v>2</v>
      </c>
      <c r="AI32" s="20">
        <v>0</v>
      </c>
      <c r="AJ32" s="20">
        <v>0</v>
      </c>
      <c r="AK32" s="20">
        <v>2</v>
      </c>
      <c r="AL32" s="20">
        <v>2</v>
      </c>
      <c r="AM32" s="20">
        <v>0</v>
      </c>
      <c r="AN32" s="21">
        <f t="shared" si="1"/>
        <v>4</v>
      </c>
      <c r="AO32" s="21">
        <v>2</v>
      </c>
      <c r="AP32" s="21">
        <v>4</v>
      </c>
      <c r="AQ32" s="20">
        <v>71</v>
      </c>
      <c r="AR32" s="20" t="s">
        <v>85</v>
      </c>
      <c r="AS32" s="21">
        <f t="shared" si="2"/>
        <v>71</v>
      </c>
    </row>
    <row r="33" spans="1:45" ht="15" customHeight="1">
      <c r="A33" s="17">
        <v>32</v>
      </c>
      <c r="B33" s="17"/>
      <c r="C33" s="18"/>
      <c r="D33" s="17">
        <v>1</v>
      </c>
      <c r="E33" s="17">
        <v>63</v>
      </c>
      <c r="F33" s="19">
        <f t="shared" si="0"/>
        <v>0</v>
      </c>
      <c r="G33" s="17">
        <v>1</v>
      </c>
      <c r="H33" s="17">
        <v>3</v>
      </c>
      <c r="I33" s="17">
        <v>2</v>
      </c>
      <c r="J33" s="17">
        <v>2</v>
      </c>
      <c r="K33" s="17">
        <v>1</v>
      </c>
      <c r="L33" s="17">
        <v>0</v>
      </c>
      <c r="M33" s="17">
        <v>0</v>
      </c>
      <c r="N33" s="17">
        <v>0</v>
      </c>
      <c r="O33" s="17">
        <v>1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1</v>
      </c>
      <c r="V33" s="17" t="s">
        <v>96</v>
      </c>
      <c r="W33" s="17">
        <v>2</v>
      </c>
      <c r="X33" s="17">
        <v>2</v>
      </c>
      <c r="Y33" s="17">
        <v>2</v>
      </c>
      <c r="Z33" s="17">
        <v>2</v>
      </c>
      <c r="AA33" s="17">
        <v>2</v>
      </c>
      <c r="AB33" s="17">
        <v>2</v>
      </c>
      <c r="AC33" s="17">
        <v>2</v>
      </c>
      <c r="AD33" s="20">
        <v>2</v>
      </c>
      <c r="AE33" s="20">
        <v>0</v>
      </c>
      <c r="AF33" s="20">
        <v>2</v>
      </c>
      <c r="AG33" s="20">
        <v>2</v>
      </c>
      <c r="AH33" s="20">
        <v>2</v>
      </c>
      <c r="AI33" s="20">
        <v>2</v>
      </c>
      <c r="AJ33" s="20">
        <v>2</v>
      </c>
      <c r="AK33" s="20">
        <v>2</v>
      </c>
      <c r="AL33" s="20">
        <v>4</v>
      </c>
      <c r="AM33" s="20">
        <v>0</v>
      </c>
      <c r="AN33" s="21">
        <f t="shared" si="1"/>
        <v>6</v>
      </c>
      <c r="AO33" s="21">
        <v>10</v>
      </c>
      <c r="AP33" s="21">
        <v>6</v>
      </c>
      <c r="AQ33" s="20">
        <v>101</v>
      </c>
      <c r="AR33" s="20" t="s">
        <v>85</v>
      </c>
      <c r="AS33" s="21">
        <f t="shared" si="2"/>
        <v>101</v>
      </c>
    </row>
    <row r="34" spans="1:45" ht="15" customHeight="1">
      <c r="A34" s="17">
        <v>33</v>
      </c>
      <c r="B34" s="17"/>
      <c r="C34" s="18"/>
      <c r="D34" s="17">
        <v>1</v>
      </c>
      <c r="E34" s="17">
        <v>68</v>
      </c>
      <c r="F34" s="19">
        <f t="shared" si="0"/>
        <v>0</v>
      </c>
      <c r="G34" s="17">
        <v>2</v>
      </c>
      <c r="H34" s="17">
        <v>4</v>
      </c>
      <c r="I34" s="17">
        <v>2</v>
      </c>
      <c r="J34" s="17">
        <v>4</v>
      </c>
      <c r="K34" s="17">
        <v>0</v>
      </c>
      <c r="L34" s="17">
        <v>1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1</v>
      </c>
      <c r="V34" s="17" t="s">
        <v>97</v>
      </c>
      <c r="W34" s="17">
        <v>1</v>
      </c>
      <c r="X34" s="17">
        <v>2</v>
      </c>
      <c r="Y34" s="17">
        <v>2</v>
      </c>
      <c r="Z34" s="17">
        <v>2</v>
      </c>
      <c r="AA34" s="17">
        <v>2</v>
      </c>
      <c r="AB34" s="17">
        <v>2</v>
      </c>
      <c r="AC34" s="17">
        <v>2</v>
      </c>
      <c r="AD34" s="20">
        <v>2</v>
      </c>
      <c r="AE34" s="20">
        <v>0</v>
      </c>
      <c r="AF34" s="20">
        <v>0</v>
      </c>
      <c r="AG34" s="20">
        <v>2</v>
      </c>
      <c r="AH34" s="20">
        <v>2</v>
      </c>
      <c r="AI34" s="20">
        <v>2</v>
      </c>
      <c r="AJ34" s="20">
        <v>2</v>
      </c>
      <c r="AK34" s="20">
        <v>2</v>
      </c>
      <c r="AL34" s="20">
        <v>4</v>
      </c>
      <c r="AM34" s="20">
        <v>2</v>
      </c>
      <c r="AN34" s="21">
        <f t="shared" si="1"/>
        <v>6</v>
      </c>
      <c r="AO34" s="21">
        <v>8</v>
      </c>
      <c r="AP34" s="21">
        <v>8</v>
      </c>
      <c r="AQ34" s="20">
        <v>86.5</v>
      </c>
      <c r="AR34" s="20" t="s">
        <v>85</v>
      </c>
      <c r="AS34" s="21">
        <f t="shared" si="2"/>
        <v>86.5</v>
      </c>
    </row>
    <row r="35" spans="1:45" ht="15" customHeight="1">
      <c r="A35" s="17">
        <v>34</v>
      </c>
      <c r="B35" s="17"/>
      <c r="C35" s="18"/>
      <c r="D35" s="17">
        <v>1</v>
      </c>
      <c r="E35" s="17">
        <v>64</v>
      </c>
      <c r="F35" s="19">
        <f t="shared" si="0"/>
        <v>0</v>
      </c>
      <c r="G35" s="17">
        <v>2</v>
      </c>
      <c r="H35" s="17">
        <v>2</v>
      </c>
      <c r="I35" s="17">
        <v>2</v>
      </c>
      <c r="J35" s="17">
        <v>3</v>
      </c>
      <c r="K35" s="17">
        <v>0</v>
      </c>
      <c r="L35" s="17">
        <v>0</v>
      </c>
      <c r="M35" s="17">
        <v>1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 t="s">
        <v>88</v>
      </c>
      <c r="W35" s="17">
        <v>4</v>
      </c>
      <c r="X35" s="17">
        <v>2</v>
      </c>
      <c r="Y35" s="17">
        <v>2</v>
      </c>
      <c r="Z35" s="17">
        <v>2</v>
      </c>
      <c r="AA35" s="17">
        <v>2</v>
      </c>
      <c r="AB35" s="17">
        <v>2</v>
      </c>
      <c r="AC35" s="17">
        <v>2</v>
      </c>
      <c r="AD35" s="20">
        <v>2</v>
      </c>
      <c r="AE35" s="20">
        <v>0</v>
      </c>
      <c r="AF35" s="20">
        <v>0</v>
      </c>
      <c r="AG35" s="20">
        <v>2</v>
      </c>
      <c r="AH35" s="20">
        <v>2</v>
      </c>
      <c r="AI35" s="20">
        <v>2</v>
      </c>
      <c r="AJ35" s="20">
        <v>2</v>
      </c>
      <c r="AK35" s="20">
        <v>2</v>
      </c>
      <c r="AL35" s="20">
        <v>2</v>
      </c>
      <c r="AM35" s="20">
        <v>0</v>
      </c>
      <c r="AN35" s="21">
        <f t="shared" si="1"/>
        <v>6</v>
      </c>
      <c r="AO35" s="21">
        <v>8</v>
      </c>
      <c r="AP35" s="21">
        <v>4</v>
      </c>
      <c r="AQ35" s="20">
        <v>84</v>
      </c>
      <c r="AR35" s="20" t="s">
        <v>85</v>
      </c>
      <c r="AS35" s="21">
        <f t="shared" si="2"/>
        <v>84</v>
      </c>
    </row>
    <row r="36" spans="1:45" ht="15" customHeight="1">
      <c r="A36" s="17">
        <v>35</v>
      </c>
      <c r="B36" s="17"/>
      <c r="C36" s="18"/>
      <c r="D36" s="17">
        <v>1</v>
      </c>
      <c r="E36" s="17">
        <v>69</v>
      </c>
      <c r="F36" s="19">
        <f t="shared" si="0"/>
        <v>0</v>
      </c>
      <c r="G36" s="17">
        <v>2</v>
      </c>
      <c r="H36" s="17">
        <v>2</v>
      </c>
      <c r="I36" s="17">
        <v>2</v>
      </c>
      <c r="J36" s="17">
        <v>2</v>
      </c>
      <c r="K36" s="17">
        <v>0</v>
      </c>
      <c r="L36" s="17">
        <v>0</v>
      </c>
      <c r="M36" s="17">
        <v>0</v>
      </c>
      <c r="N36" s="17">
        <v>1</v>
      </c>
      <c r="O36" s="17">
        <v>0</v>
      </c>
      <c r="P36" s="17">
        <v>0</v>
      </c>
      <c r="Q36" s="17">
        <v>1</v>
      </c>
      <c r="R36" s="17">
        <v>1</v>
      </c>
      <c r="S36" s="17">
        <v>0</v>
      </c>
      <c r="T36" s="17">
        <v>0</v>
      </c>
      <c r="U36" s="17">
        <v>0</v>
      </c>
      <c r="V36" s="17"/>
      <c r="W36" s="17">
        <v>2</v>
      </c>
      <c r="X36" s="17">
        <v>2</v>
      </c>
      <c r="Y36" s="17">
        <v>2</v>
      </c>
      <c r="Z36" s="17">
        <v>2</v>
      </c>
      <c r="AA36" s="17">
        <v>4</v>
      </c>
      <c r="AB36" s="17">
        <v>2</v>
      </c>
      <c r="AC36" s="17">
        <v>2</v>
      </c>
      <c r="AD36" s="20">
        <v>2</v>
      </c>
      <c r="AE36" s="20">
        <v>0</v>
      </c>
      <c r="AF36" s="20">
        <v>0</v>
      </c>
      <c r="AG36" s="20">
        <v>2</v>
      </c>
      <c r="AH36" s="20">
        <v>0</v>
      </c>
      <c r="AI36" s="20">
        <v>0</v>
      </c>
      <c r="AJ36" s="20">
        <v>2</v>
      </c>
      <c r="AK36" s="20">
        <v>4</v>
      </c>
      <c r="AL36" s="20">
        <v>2</v>
      </c>
      <c r="AM36" s="20">
        <v>0</v>
      </c>
      <c r="AN36" s="21">
        <f t="shared" si="1"/>
        <v>6</v>
      </c>
      <c r="AO36" s="21">
        <v>4</v>
      </c>
      <c r="AP36" s="21">
        <v>6</v>
      </c>
      <c r="AQ36" s="20">
        <v>85</v>
      </c>
      <c r="AR36" s="20" t="s">
        <v>85</v>
      </c>
      <c r="AS36" s="21">
        <f t="shared" si="2"/>
        <v>85</v>
      </c>
    </row>
    <row r="37" spans="1:45" ht="15" customHeight="1">
      <c r="A37" s="17">
        <v>36</v>
      </c>
      <c r="B37" s="17"/>
      <c r="C37" s="18"/>
      <c r="D37" s="17">
        <v>1</v>
      </c>
      <c r="E37" s="17">
        <v>66</v>
      </c>
      <c r="F37" s="19">
        <f t="shared" si="0"/>
        <v>0</v>
      </c>
      <c r="G37" s="17">
        <v>2</v>
      </c>
      <c r="H37" s="17">
        <v>4</v>
      </c>
      <c r="I37" s="17">
        <v>1</v>
      </c>
      <c r="J37" s="17">
        <v>4</v>
      </c>
      <c r="K37" s="17">
        <v>0</v>
      </c>
      <c r="L37" s="17">
        <v>0</v>
      </c>
      <c r="M37" s="17">
        <v>0</v>
      </c>
      <c r="N37" s="17">
        <v>0</v>
      </c>
      <c r="O37" s="17">
        <v>1</v>
      </c>
      <c r="P37" s="17">
        <v>1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/>
      <c r="W37" s="17">
        <v>1</v>
      </c>
      <c r="X37" s="17">
        <v>2</v>
      </c>
      <c r="Y37" s="17">
        <v>2</v>
      </c>
      <c r="Z37" s="17">
        <v>2</v>
      </c>
      <c r="AA37" s="17">
        <v>4</v>
      </c>
      <c r="AB37" s="17">
        <v>2</v>
      </c>
      <c r="AC37" s="17">
        <v>2</v>
      </c>
      <c r="AD37" s="20">
        <v>2</v>
      </c>
      <c r="AE37" s="20">
        <v>0</v>
      </c>
      <c r="AF37" s="20">
        <v>0</v>
      </c>
      <c r="AG37" s="20">
        <v>2</v>
      </c>
      <c r="AH37" s="20">
        <v>0</v>
      </c>
      <c r="AI37" s="20">
        <v>0</v>
      </c>
      <c r="AJ37" s="20">
        <v>2</v>
      </c>
      <c r="AK37" s="20">
        <v>2</v>
      </c>
      <c r="AL37" s="20">
        <v>2</v>
      </c>
      <c r="AM37" s="20">
        <v>0</v>
      </c>
      <c r="AN37" s="21">
        <f t="shared" si="1"/>
        <v>6</v>
      </c>
      <c r="AO37" s="21">
        <v>4</v>
      </c>
      <c r="AP37" s="21">
        <v>4</v>
      </c>
      <c r="AQ37" s="20">
        <v>91</v>
      </c>
      <c r="AR37" s="20" t="s">
        <v>85</v>
      </c>
      <c r="AS37" s="21">
        <f t="shared" si="2"/>
        <v>91</v>
      </c>
    </row>
    <row r="38" spans="1:45" ht="15" customHeight="1">
      <c r="A38" s="17">
        <v>37</v>
      </c>
      <c r="B38" s="17"/>
      <c r="C38" s="18"/>
      <c r="D38" s="17">
        <v>1</v>
      </c>
      <c r="E38" s="17">
        <v>61</v>
      </c>
      <c r="F38" s="19">
        <f t="shared" si="0"/>
        <v>0</v>
      </c>
      <c r="G38" s="17">
        <v>2</v>
      </c>
      <c r="H38" s="17">
        <v>2</v>
      </c>
      <c r="I38" s="17">
        <v>1</v>
      </c>
      <c r="J38" s="17">
        <v>4</v>
      </c>
      <c r="K38" s="17">
        <v>0</v>
      </c>
      <c r="L38" s="17">
        <v>0</v>
      </c>
      <c r="M38" s="17">
        <v>0</v>
      </c>
      <c r="N38" s="17">
        <v>0</v>
      </c>
      <c r="O38" s="17">
        <v>1</v>
      </c>
      <c r="P38" s="17">
        <v>1</v>
      </c>
      <c r="Q38" s="17">
        <v>1</v>
      </c>
      <c r="R38" s="17">
        <v>1</v>
      </c>
      <c r="S38" s="17">
        <v>0</v>
      </c>
      <c r="T38" s="17">
        <v>0</v>
      </c>
      <c r="U38" s="17">
        <v>0</v>
      </c>
      <c r="V38" s="17"/>
      <c r="W38" s="17">
        <v>4</v>
      </c>
      <c r="X38" s="17">
        <v>2</v>
      </c>
      <c r="Y38" s="17">
        <v>2</v>
      </c>
      <c r="Z38" s="17">
        <v>2</v>
      </c>
      <c r="AA38" s="17">
        <v>4</v>
      </c>
      <c r="AB38" s="17">
        <v>2</v>
      </c>
      <c r="AC38" s="17">
        <v>2</v>
      </c>
      <c r="AD38" s="20">
        <v>2</v>
      </c>
      <c r="AE38" s="20">
        <v>0</v>
      </c>
      <c r="AF38" s="20">
        <v>0</v>
      </c>
      <c r="AG38" s="20">
        <v>2</v>
      </c>
      <c r="AH38" s="20">
        <v>0</v>
      </c>
      <c r="AI38" s="20">
        <v>0</v>
      </c>
      <c r="AJ38" s="20">
        <v>2</v>
      </c>
      <c r="AK38" s="20">
        <v>2</v>
      </c>
      <c r="AL38" s="20">
        <v>2</v>
      </c>
      <c r="AM38" s="20">
        <v>0</v>
      </c>
      <c r="AN38" s="21">
        <f t="shared" si="1"/>
        <v>6</v>
      </c>
      <c r="AO38" s="21">
        <v>4</v>
      </c>
      <c r="AP38" s="21">
        <v>4</v>
      </c>
      <c r="AQ38" s="20">
        <v>104.5</v>
      </c>
      <c r="AR38" s="20" t="s">
        <v>85</v>
      </c>
      <c r="AS38" s="21">
        <f t="shared" si="2"/>
        <v>104.5</v>
      </c>
    </row>
    <row r="39" spans="1:45" ht="15" customHeight="1">
      <c r="A39" s="17">
        <v>38</v>
      </c>
      <c r="B39" s="17"/>
      <c r="C39" s="18"/>
      <c r="D39" s="17">
        <v>1</v>
      </c>
      <c r="E39" s="17">
        <v>61</v>
      </c>
      <c r="F39" s="19">
        <f t="shared" si="0"/>
        <v>0</v>
      </c>
      <c r="G39" s="17">
        <v>2</v>
      </c>
      <c r="H39" s="17">
        <v>1</v>
      </c>
      <c r="I39" s="17">
        <v>2</v>
      </c>
      <c r="J39" s="17">
        <v>2</v>
      </c>
      <c r="K39" s="17">
        <v>0</v>
      </c>
      <c r="L39" s="17">
        <v>0</v>
      </c>
      <c r="M39" s="17">
        <v>0</v>
      </c>
      <c r="N39" s="17">
        <v>0</v>
      </c>
      <c r="O39" s="17">
        <v>1</v>
      </c>
      <c r="P39" s="17">
        <v>0</v>
      </c>
      <c r="Q39" s="17">
        <v>0</v>
      </c>
      <c r="R39" s="17">
        <v>1</v>
      </c>
      <c r="S39" s="17">
        <v>0</v>
      </c>
      <c r="T39" s="17">
        <v>0</v>
      </c>
      <c r="U39" s="17">
        <v>0</v>
      </c>
      <c r="V39" s="17"/>
      <c r="W39" s="17">
        <v>2</v>
      </c>
      <c r="X39" s="17">
        <v>2</v>
      </c>
      <c r="Y39" s="17">
        <v>2</v>
      </c>
      <c r="Z39" s="17">
        <v>2</v>
      </c>
      <c r="AA39" s="17">
        <v>4</v>
      </c>
      <c r="AB39" s="17">
        <v>2</v>
      </c>
      <c r="AC39" s="17">
        <v>2</v>
      </c>
      <c r="AD39" s="20">
        <v>2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2</v>
      </c>
      <c r="AK39" s="20">
        <v>2</v>
      </c>
      <c r="AL39" s="20">
        <v>2</v>
      </c>
      <c r="AM39" s="20">
        <v>0</v>
      </c>
      <c r="AN39" s="21">
        <f t="shared" si="1"/>
        <v>6</v>
      </c>
      <c r="AO39" s="21">
        <v>2</v>
      </c>
      <c r="AP39" s="21">
        <v>4</v>
      </c>
      <c r="AQ39" s="20">
        <v>105.5</v>
      </c>
      <c r="AR39" s="20" t="s">
        <v>85</v>
      </c>
      <c r="AS39" s="21">
        <f t="shared" si="2"/>
        <v>105.5</v>
      </c>
    </row>
    <row r="40" spans="1:45" ht="15" customHeight="1">
      <c r="A40" s="17">
        <v>39</v>
      </c>
      <c r="B40" s="17"/>
      <c r="C40" s="18"/>
      <c r="D40" s="17">
        <v>1</v>
      </c>
      <c r="E40" s="17">
        <v>66</v>
      </c>
      <c r="F40" s="19">
        <f t="shared" si="0"/>
        <v>0</v>
      </c>
      <c r="G40" s="17">
        <v>2</v>
      </c>
      <c r="H40" s="17">
        <v>1</v>
      </c>
      <c r="I40" s="17">
        <v>1</v>
      </c>
      <c r="J40" s="17">
        <v>1</v>
      </c>
      <c r="K40" s="17">
        <v>1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1</v>
      </c>
      <c r="R40" s="17">
        <v>1</v>
      </c>
      <c r="S40" s="17">
        <v>0</v>
      </c>
      <c r="T40" s="17">
        <v>0</v>
      </c>
      <c r="U40" s="17">
        <v>0</v>
      </c>
      <c r="V40" s="17"/>
      <c r="W40" s="17">
        <v>1</v>
      </c>
      <c r="X40" s="17">
        <v>0</v>
      </c>
      <c r="Y40" s="17">
        <v>0</v>
      </c>
      <c r="Z40" s="17">
        <v>2</v>
      </c>
      <c r="AA40" s="17">
        <v>4</v>
      </c>
      <c r="AB40" s="17">
        <v>2</v>
      </c>
      <c r="AC40" s="17">
        <v>2</v>
      </c>
      <c r="AD40" s="20">
        <v>2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2</v>
      </c>
      <c r="AL40" s="20">
        <v>4</v>
      </c>
      <c r="AM40" s="20">
        <v>0</v>
      </c>
      <c r="AN40" s="21">
        <f t="shared" si="1"/>
        <v>6</v>
      </c>
      <c r="AO40" s="21">
        <v>0</v>
      </c>
      <c r="AP40" s="21">
        <v>6</v>
      </c>
      <c r="AQ40" s="20">
        <v>79</v>
      </c>
      <c r="AR40" s="20" t="s">
        <v>85</v>
      </c>
      <c r="AS40" s="21">
        <f t="shared" si="2"/>
        <v>79</v>
      </c>
    </row>
    <row r="41" spans="1:45" ht="15" customHeight="1">
      <c r="A41" s="17">
        <v>40</v>
      </c>
      <c r="B41" s="17"/>
      <c r="C41" s="18"/>
      <c r="D41" s="17">
        <v>1</v>
      </c>
      <c r="E41" s="17">
        <v>67</v>
      </c>
      <c r="F41" s="19">
        <f t="shared" si="0"/>
        <v>0</v>
      </c>
      <c r="G41" s="17">
        <v>2</v>
      </c>
      <c r="H41" s="17">
        <v>1</v>
      </c>
      <c r="I41" s="17">
        <v>1</v>
      </c>
      <c r="J41" s="17">
        <v>1</v>
      </c>
      <c r="K41" s="17">
        <v>0</v>
      </c>
      <c r="L41" s="17">
        <v>0</v>
      </c>
      <c r="M41" s="17">
        <v>0</v>
      </c>
      <c r="N41" s="17">
        <v>1</v>
      </c>
      <c r="O41" s="17">
        <v>0</v>
      </c>
      <c r="P41" s="17">
        <v>0</v>
      </c>
      <c r="Q41" s="17">
        <v>0</v>
      </c>
      <c r="R41" s="17">
        <v>1</v>
      </c>
      <c r="S41" s="17">
        <v>0</v>
      </c>
      <c r="T41" s="17">
        <v>0</v>
      </c>
      <c r="U41" s="17">
        <v>0</v>
      </c>
      <c r="V41" s="17"/>
      <c r="W41" s="17">
        <v>4</v>
      </c>
      <c r="X41" s="17">
        <v>2</v>
      </c>
      <c r="Y41" s="17">
        <v>2</v>
      </c>
      <c r="Z41" s="17">
        <v>2</v>
      </c>
      <c r="AA41" s="17">
        <v>4</v>
      </c>
      <c r="AB41" s="17">
        <v>2</v>
      </c>
      <c r="AC41" s="17">
        <v>2</v>
      </c>
      <c r="AD41" s="20">
        <v>2</v>
      </c>
      <c r="AE41" s="20">
        <v>0</v>
      </c>
      <c r="AF41" s="20">
        <v>2</v>
      </c>
      <c r="AG41" s="20">
        <v>0</v>
      </c>
      <c r="AH41" s="20">
        <v>0</v>
      </c>
      <c r="AI41" s="20">
        <v>0</v>
      </c>
      <c r="AJ41" s="20">
        <v>2</v>
      </c>
      <c r="AK41" s="20">
        <v>2</v>
      </c>
      <c r="AL41" s="20">
        <v>2</v>
      </c>
      <c r="AM41" s="20">
        <v>0</v>
      </c>
      <c r="AN41" s="21">
        <f t="shared" si="1"/>
        <v>6</v>
      </c>
      <c r="AO41" s="21">
        <v>4</v>
      </c>
      <c r="AP41" s="21">
        <v>4</v>
      </c>
      <c r="AQ41" s="20">
        <v>81</v>
      </c>
      <c r="AR41" s="20" t="s">
        <v>85</v>
      </c>
      <c r="AS41" s="21">
        <f t="shared" si="2"/>
        <v>81</v>
      </c>
    </row>
    <row r="42" spans="1:45" ht="15" customHeight="1">
      <c r="A42" s="17">
        <v>41</v>
      </c>
      <c r="B42" s="17"/>
      <c r="C42" s="18"/>
      <c r="D42" s="17">
        <v>1</v>
      </c>
      <c r="E42" s="17">
        <v>68</v>
      </c>
      <c r="F42" s="19">
        <f t="shared" si="0"/>
        <v>0</v>
      </c>
      <c r="G42" s="17">
        <v>2</v>
      </c>
      <c r="H42" s="17">
        <v>1</v>
      </c>
      <c r="I42" s="17">
        <v>1</v>
      </c>
      <c r="J42" s="17">
        <v>2</v>
      </c>
      <c r="K42" s="17">
        <v>0</v>
      </c>
      <c r="L42" s="17">
        <v>0</v>
      </c>
      <c r="M42" s="17">
        <v>0</v>
      </c>
      <c r="N42" s="17">
        <v>0</v>
      </c>
      <c r="O42" s="17">
        <v>1</v>
      </c>
      <c r="P42" s="17">
        <v>0</v>
      </c>
      <c r="Q42" s="17">
        <v>0</v>
      </c>
      <c r="R42" s="17">
        <v>1</v>
      </c>
      <c r="S42" s="17">
        <v>0</v>
      </c>
      <c r="T42" s="17">
        <v>0</v>
      </c>
      <c r="U42" s="17">
        <v>0</v>
      </c>
      <c r="V42" s="17"/>
      <c r="W42" s="17">
        <v>4</v>
      </c>
      <c r="X42" s="17">
        <v>2</v>
      </c>
      <c r="Y42" s="17">
        <v>2</v>
      </c>
      <c r="Z42" s="17">
        <v>2</v>
      </c>
      <c r="AA42" s="17">
        <v>4</v>
      </c>
      <c r="AB42" s="17">
        <v>2</v>
      </c>
      <c r="AC42" s="17">
        <v>2</v>
      </c>
      <c r="AD42" s="20">
        <v>2</v>
      </c>
      <c r="AE42" s="20">
        <v>0</v>
      </c>
      <c r="AF42" s="20">
        <v>0</v>
      </c>
      <c r="AG42" s="20">
        <v>2</v>
      </c>
      <c r="AH42" s="20">
        <v>0</v>
      </c>
      <c r="AI42" s="20">
        <v>2</v>
      </c>
      <c r="AJ42" s="20">
        <v>0</v>
      </c>
      <c r="AK42" s="20">
        <v>2</v>
      </c>
      <c r="AL42" s="20">
        <v>2</v>
      </c>
      <c r="AM42" s="20">
        <v>0</v>
      </c>
      <c r="AN42" s="21">
        <f t="shared" si="1"/>
        <v>6</v>
      </c>
      <c r="AO42" s="21">
        <v>4</v>
      </c>
      <c r="AP42" s="21">
        <v>4</v>
      </c>
      <c r="AQ42" s="20">
        <v>77</v>
      </c>
      <c r="AR42" s="20" t="s">
        <v>85</v>
      </c>
      <c r="AS42" s="21">
        <f t="shared" si="2"/>
        <v>77</v>
      </c>
    </row>
    <row r="43" spans="1:45" ht="15" customHeight="1">
      <c r="A43" s="17">
        <v>42</v>
      </c>
      <c r="B43" s="17"/>
      <c r="C43" s="18"/>
      <c r="D43" s="17">
        <v>1</v>
      </c>
      <c r="E43" s="17">
        <v>68</v>
      </c>
      <c r="F43" s="19">
        <f t="shared" si="0"/>
        <v>0</v>
      </c>
      <c r="G43" s="17">
        <v>2</v>
      </c>
      <c r="H43" s="17">
        <v>1</v>
      </c>
      <c r="I43" s="17">
        <v>3</v>
      </c>
      <c r="J43" s="17">
        <v>1</v>
      </c>
      <c r="K43" s="17">
        <v>0</v>
      </c>
      <c r="L43" s="17">
        <v>0</v>
      </c>
      <c r="M43" s="17">
        <v>0</v>
      </c>
      <c r="N43" s="17">
        <v>1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1</v>
      </c>
      <c r="V43" s="17" t="s">
        <v>98</v>
      </c>
      <c r="W43" s="17">
        <v>1</v>
      </c>
      <c r="X43" s="17">
        <v>4</v>
      </c>
      <c r="Y43" s="17">
        <v>2</v>
      </c>
      <c r="Z43" s="17">
        <v>2</v>
      </c>
      <c r="AA43" s="17">
        <v>2</v>
      </c>
      <c r="AB43" s="17">
        <v>2</v>
      </c>
      <c r="AC43" s="17">
        <v>0</v>
      </c>
      <c r="AD43" s="20">
        <v>2</v>
      </c>
      <c r="AE43" s="20">
        <v>0</v>
      </c>
      <c r="AF43" s="20">
        <v>2</v>
      </c>
      <c r="AG43" s="20">
        <v>0</v>
      </c>
      <c r="AH43" s="20">
        <v>0</v>
      </c>
      <c r="AI43" s="20">
        <v>0</v>
      </c>
      <c r="AJ43" s="20">
        <v>2</v>
      </c>
      <c r="AK43" s="20">
        <v>2</v>
      </c>
      <c r="AL43" s="20">
        <v>2</v>
      </c>
      <c r="AM43" s="20">
        <v>0</v>
      </c>
      <c r="AN43" s="21">
        <f t="shared" si="1"/>
        <v>4</v>
      </c>
      <c r="AO43" s="21">
        <v>4</v>
      </c>
      <c r="AP43" s="21">
        <v>4</v>
      </c>
      <c r="AQ43" s="20">
        <v>89.5</v>
      </c>
      <c r="AR43" s="20" t="s">
        <v>85</v>
      </c>
      <c r="AS43" s="21">
        <f t="shared" si="2"/>
        <v>89.5</v>
      </c>
    </row>
    <row r="44" spans="1:45" ht="15" customHeight="1">
      <c r="A44" s="17">
        <v>43</v>
      </c>
      <c r="B44" s="17"/>
      <c r="C44" s="18"/>
      <c r="D44" s="17">
        <v>1</v>
      </c>
      <c r="E44" s="17">
        <v>65</v>
      </c>
      <c r="F44" s="19">
        <f t="shared" si="0"/>
        <v>0</v>
      </c>
      <c r="G44" s="17">
        <v>2</v>
      </c>
      <c r="H44" s="17">
        <v>1</v>
      </c>
      <c r="I44" s="17">
        <v>2</v>
      </c>
      <c r="J44" s="17">
        <v>2</v>
      </c>
      <c r="K44" s="17">
        <v>1</v>
      </c>
      <c r="L44" s="17">
        <v>0</v>
      </c>
      <c r="M44" s="17">
        <v>0</v>
      </c>
      <c r="N44" s="17">
        <v>1</v>
      </c>
      <c r="O44" s="17">
        <v>0</v>
      </c>
      <c r="P44" s="17">
        <v>0</v>
      </c>
      <c r="Q44" s="17">
        <v>1</v>
      </c>
      <c r="R44" s="17">
        <v>1</v>
      </c>
      <c r="S44" s="17">
        <v>0</v>
      </c>
      <c r="T44" s="17">
        <v>0</v>
      </c>
      <c r="U44" s="17">
        <v>0</v>
      </c>
      <c r="V44" s="17"/>
      <c r="W44" s="17">
        <v>4</v>
      </c>
      <c r="X44" s="17">
        <v>2</v>
      </c>
      <c r="Y44" s="17">
        <v>2</v>
      </c>
      <c r="Z44" s="17">
        <v>2</v>
      </c>
      <c r="AA44" s="17">
        <v>2</v>
      </c>
      <c r="AB44" s="17">
        <v>2</v>
      </c>
      <c r="AC44" s="17">
        <v>0</v>
      </c>
      <c r="AD44" s="20">
        <v>2</v>
      </c>
      <c r="AE44" s="20">
        <v>2</v>
      </c>
      <c r="AF44" s="20">
        <v>4</v>
      </c>
      <c r="AG44" s="20">
        <v>4</v>
      </c>
      <c r="AH44" s="20">
        <v>0</v>
      </c>
      <c r="AI44" s="20">
        <v>2</v>
      </c>
      <c r="AJ44" s="20">
        <v>2</v>
      </c>
      <c r="AK44" s="20">
        <v>2</v>
      </c>
      <c r="AL44" s="20">
        <v>2</v>
      </c>
      <c r="AM44" s="20">
        <v>0</v>
      </c>
      <c r="AN44" s="21">
        <f t="shared" si="1"/>
        <v>4</v>
      </c>
      <c r="AO44" s="21">
        <v>14</v>
      </c>
      <c r="AP44" s="21">
        <v>4</v>
      </c>
      <c r="AQ44" s="20">
        <v>105.5</v>
      </c>
      <c r="AR44" s="20" t="s">
        <v>85</v>
      </c>
      <c r="AS44" s="21">
        <f t="shared" si="2"/>
        <v>105.5</v>
      </c>
    </row>
    <row r="45" spans="1:45" ht="15" customHeight="1">
      <c r="A45" s="17">
        <v>44</v>
      </c>
      <c r="B45" s="17"/>
      <c r="C45" s="18"/>
      <c r="D45" s="17">
        <v>1</v>
      </c>
      <c r="E45" s="17">
        <v>68</v>
      </c>
      <c r="F45" s="19">
        <f t="shared" si="0"/>
        <v>0</v>
      </c>
      <c r="G45" s="17">
        <v>2</v>
      </c>
      <c r="H45" s="17">
        <v>1</v>
      </c>
      <c r="I45" s="17">
        <v>3</v>
      </c>
      <c r="J45" s="17">
        <v>1</v>
      </c>
      <c r="K45" s="17">
        <v>1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1</v>
      </c>
      <c r="U45" s="17">
        <v>0</v>
      </c>
      <c r="V45" s="17"/>
      <c r="W45" s="17">
        <v>1</v>
      </c>
      <c r="X45" s="17">
        <v>4</v>
      </c>
      <c r="Y45" s="17">
        <v>2</v>
      </c>
      <c r="Z45" s="17">
        <v>2</v>
      </c>
      <c r="AA45" s="17">
        <v>4</v>
      </c>
      <c r="AB45" s="17">
        <v>2</v>
      </c>
      <c r="AC45" s="17">
        <v>2</v>
      </c>
      <c r="AD45" s="20">
        <v>2</v>
      </c>
      <c r="AE45" s="20">
        <v>2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2</v>
      </c>
      <c r="AL45" s="20">
        <v>2</v>
      </c>
      <c r="AM45" s="20">
        <v>0</v>
      </c>
      <c r="AN45" s="21">
        <f t="shared" si="1"/>
        <v>6</v>
      </c>
      <c r="AO45" s="21">
        <v>2</v>
      </c>
      <c r="AP45" s="21">
        <v>4</v>
      </c>
      <c r="AQ45" s="20">
        <v>93.5</v>
      </c>
      <c r="AR45" s="20" t="s">
        <v>85</v>
      </c>
      <c r="AS45" s="21">
        <f t="shared" si="2"/>
        <v>93.5</v>
      </c>
    </row>
    <row r="46" spans="1:45" ht="15" customHeight="1">
      <c r="A46" s="17">
        <v>45</v>
      </c>
      <c r="B46" s="17"/>
      <c r="C46" s="18"/>
      <c r="D46" s="17">
        <v>1</v>
      </c>
      <c r="E46" s="17">
        <v>68</v>
      </c>
      <c r="F46" s="19">
        <f t="shared" si="0"/>
        <v>0</v>
      </c>
      <c r="G46" s="17">
        <v>2</v>
      </c>
      <c r="H46" s="17">
        <v>3</v>
      </c>
      <c r="I46" s="17">
        <v>1</v>
      </c>
      <c r="J46" s="17">
        <v>1</v>
      </c>
      <c r="K46" s="17">
        <v>1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1</v>
      </c>
      <c r="R46" s="17">
        <v>1</v>
      </c>
      <c r="S46" s="17">
        <v>1</v>
      </c>
      <c r="T46" s="17">
        <v>0</v>
      </c>
      <c r="U46" s="17">
        <v>1</v>
      </c>
      <c r="V46" s="17" t="s">
        <v>99</v>
      </c>
      <c r="W46" s="17">
        <v>1</v>
      </c>
      <c r="X46" s="17">
        <v>0</v>
      </c>
      <c r="Y46" s="17">
        <v>0</v>
      </c>
      <c r="Z46" s="17">
        <v>2</v>
      </c>
      <c r="AA46" s="17">
        <v>4</v>
      </c>
      <c r="AB46" s="17">
        <v>2</v>
      </c>
      <c r="AC46" s="17">
        <v>2</v>
      </c>
      <c r="AD46" s="20">
        <v>2</v>
      </c>
      <c r="AE46" s="20">
        <v>2</v>
      </c>
      <c r="AF46" s="20">
        <v>2</v>
      </c>
      <c r="AG46" s="20">
        <v>0</v>
      </c>
      <c r="AH46" s="20">
        <v>0</v>
      </c>
      <c r="AI46" s="20">
        <v>0</v>
      </c>
      <c r="AJ46" s="20">
        <v>2</v>
      </c>
      <c r="AK46" s="20">
        <v>2</v>
      </c>
      <c r="AL46" s="20">
        <v>2</v>
      </c>
      <c r="AM46" s="20">
        <v>0</v>
      </c>
      <c r="AN46" s="21">
        <f t="shared" si="1"/>
        <v>6</v>
      </c>
      <c r="AO46" s="21">
        <v>6</v>
      </c>
      <c r="AP46" s="21">
        <v>4</v>
      </c>
      <c r="AQ46" s="20">
        <v>96.5</v>
      </c>
      <c r="AR46" s="20" t="s">
        <v>85</v>
      </c>
      <c r="AS46" s="21">
        <f t="shared" si="2"/>
        <v>96.5</v>
      </c>
    </row>
    <row r="47" spans="1:45" ht="15" customHeight="1">
      <c r="A47" s="17">
        <v>46</v>
      </c>
      <c r="B47" s="17"/>
      <c r="C47" s="18"/>
      <c r="D47" s="17">
        <v>1</v>
      </c>
      <c r="E47" s="17">
        <v>67</v>
      </c>
      <c r="F47" s="19">
        <f t="shared" si="0"/>
        <v>0</v>
      </c>
      <c r="G47" s="17">
        <v>2</v>
      </c>
      <c r="H47" s="17">
        <v>1</v>
      </c>
      <c r="I47" s="17">
        <v>3</v>
      </c>
      <c r="J47" s="17">
        <v>1</v>
      </c>
      <c r="K47" s="17">
        <v>1</v>
      </c>
      <c r="L47" s="17">
        <v>0</v>
      </c>
      <c r="M47" s="17">
        <v>0</v>
      </c>
      <c r="N47" s="17">
        <v>0</v>
      </c>
      <c r="O47" s="17">
        <v>0</v>
      </c>
      <c r="P47" s="17">
        <v>1</v>
      </c>
      <c r="Q47" s="17">
        <v>1</v>
      </c>
      <c r="R47" s="17">
        <v>1</v>
      </c>
      <c r="S47" s="17">
        <v>0</v>
      </c>
      <c r="T47" s="17">
        <v>0</v>
      </c>
      <c r="U47" s="17">
        <v>0</v>
      </c>
      <c r="V47" s="17"/>
      <c r="W47" s="17">
        <v>4</v>
      </c>
      <c r="X47" s="17">
        <v>2</v>
      </c>
      <c r="Y47" s="17">
        <v>0</v>
      </c>
      <c r="Z47" s="17">
        <v>0</v>
      </c>
      <c r="AA47" s="17">
        <v>4</v>
      </c>
      <c r="AB47" s="17">
        <v>2</v>
      </c>
      <c r="AC47" s="17">
        <v>0</v>
      </c>
      <c r="AD47" s="20">
        <v>2</v>
      </c>
      <c r="AE47" s="20">
        <v>4</v>
      </c>
      <c r="AF47" s="20">
        <v>0</v>
      </c>
      <c r="AG47" s="20">
        <v>2</v>
      </c>
      <c r="AH47" s="20">
        <v>4</v>
      </c>
      <c r="AI47" s="20">
        <v>2</v>
      </c>
      <c r="AJ47" s="20">
        <v>2</v>
      </c>
      <c r="AK47" s="20">
        <v>2</v>
      </c>
      <c r="AL47" s="20">
        <v>4</v>
      </c>
      <c r="AM47" s="20">
        <v>0</v>
      </c>
      <c r="AN47" s="21">
        <f t="shared" si="1"/>
        <v>4</v>
      </c>
      <c r="AO47" s="21">
        <v>14</v>
      </c>
      <c r="AP47" s="21">
        <v>6</v>
      </c>
      <c r="AQ47" s="20">
        <v>85.5</v>
      </c>
      <c r="AR47" s="20" t="s">
        <v>85</v>
      </c>
      <c r="AS47" s="21">
        <f t="shared" si="2"/>
        <v>85.5</v>
      </c>
    </row>
    <row r="48" spans="1:45" ht="15" customHeight="1">
      <c r="A48" s="17">
        <v>47</v>
      </c>
      <c r="B48" s="17"/>
      <c r="C48" s="18"/>
      <c r="D48" s="17">
        <v>1</v>
      </c>
      <c r="E48" s="17">
        <v>61</v>
      </c>
      <c r="F48" s="19">
        <f t="shared" si="0"/>
        <v>0</v>
      </c>
      <c r="G48" s="17">
        <v>2</v>
      </c>
      <c r="H48" s="17">
        <v>1</v>
      </c>
      <c r="I48" s="17">
        <v>2</v>
      </c>
      <c r="J48" s="17">
        <v>1</v>
      </c>
      <c r="K48" s="17">
        <v>1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1</v>
      </c>
      <c r="S48" s="17">
        <v>0</v>
      </c>
      <c r="T48" s="17">
        <v>0</v>
      </c>
      <c r="U48" s="17">
        <v>0</v>
      </c>
      <c r="V48" s="17"/>
      <c r="W48" s="17">
        <v>4</v>
      </c>
      <c r="X48" s="17">
        <v>2</v>
      </c>
      <c r="Y48" s="17">
        <v>2</v>
      </c>
      <c r="Z48" s="17">
        <v>2</v>
      </c>
      <c r="AA48" s="17">
        <v>4</v>
      </c>
      <c r="AB48" s="17">
        <v>2</v>
      </c>
      <c r="AC48" s="17">
        <v>0</v>
      </c>
      <c r="AD48" s="20">
        <v>2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2</v>
      </c>
      <c r="AL48" s="20">
        <v>2</v>
      </c>
      <c r="AM48" s="20">
        <v>0</v>
      </c>
      <c r="AN48" s="21">
        <f t="shared" si="1"/>
        <v>4</v>
      </c>
      <c r="AO48" s="21">
        <v>0</v>
      </c>
      <c r="AP48" s="21">
        <v>4</v>
      </c>
      <c r="AQ48" s="20">
        <v>90</v>
      </c>
      <c r="AR48" s="20" t="s">
        <v>85</v>
      </c>
      <c r="AS48" s="21">
        <f t="shared" si="2"/>
        <v>90</v>
      </c>
    </row>
    <row r="49" spans="1:45" ht="15" customHeight="1">
      <c r="A49" s="17">
        <v>48</v>
      </c>
      <c r="B49" s="17"/>
      <c r="C49" s="18"/>
      <c r="D49" s="17">
        <v>1</v>
      </c>
      <c r="E49" s="17">
        <v>69</v>
      </c>
      <c r="F49" s="19">
        <f t="shared" si="0"/>
        <v>0</v>
      </c>
      <c r="G49" s="17">
        <v>2</v>
      </c>
      <c r="H49" s="17">
        <v>1</v>
      </c>
      <c r="I49" s="17">
        <v>2</v>
      </c>
      <c r="J49" s="17">
        <v>1</v>
      </c>
      <c r="K49" s="17">
        <v>1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1</v>
      </c>
      <c r="R49" s="17">
        <v>1</v>
      </c>
      <c r="S49" s="17">
        <v>0</v>
      </c>
      <c r="T49" s="17">
        <v>0</v>
      </c>
      <c r="U49" s="17">
        <v>1</v>
      </c>
      <c r="V49" s="17" t="s">
        <v>100</v>
      </c>
      <c r="W49" s="17">
        <v>4</v>
      </c>
      <c r="X49" s="17">
        <v>0</v>
      </c>
      <c r="Y49" s="17">
        <v>2</v>
      </c>
      <c r="Z49" s="17">
        <v>2</v>
      </c>
      <c r="AA49" s="17">
        <v>4</v>
      </c>
      <c r="AB49" s="17">
        <v>2</v>
      </c>
      <c r="AC49" s="17">
        <v>2</v>
      </c>
      <c r="AD49" s="20">
        <v>2</v>
      </c>
      <c r="AE49" s="20">
        <v>0</v>
      </c>
      <c r="AF49" s="20">
        <v>0</v>
      </c>
      <c r="AG49" s="20">
        <v>2</v>
      </c>
      <c r="AH49" s="20">
        <v>0</v>
      </c>
      <c r="AI49" s="20">
        <v>0</v>
      </c>
      <c r="AJ49" s="20">
        <v>2</v>
      </c>
      <c r="AK49" s="20">
        <v>2</v>
      </c>
      <c r="AL49" s="20">
        <v>2</v>
      </c>
      <c r="AM49" s="20">
        <v>0</v>
      </c>
      <c r="AN49" s="21">
        <f t="shared" si="1"/>
        <v>6</v>
      </c>
      <c r="AO49" s="21">
        <v>4</v>
      </c>
      <c r="AP49" s="21">
        <v>4</v>
      </c>
      <c r="AQ49" s="20">
        <v>102</v>
      </c>
      <c r="AR49" s="20" t="s">
        <v>85</v>
      </c>
      <c r="AS49" s="21">
        <f t="shared" si="2"/>
        <v>102</v>
      </c>
    </row>
    <row r="50" spans="1:45" ht="15" customHeight="1">
      <c r="A50" s="17">
        <v>49</v>
      </c>
      <c r="B50" s="17"/>
      <c r="C50" s="18"/>
      <c r="D50" s="17">
        <v>1</v>
      </c>
      <c r="E50" s="17">
        <v>63</v>
      </c>
      <c r="F50" s="19">
        <f t="shared" si="0"/>
        <v>0</v>
      </c>
      <c r="G50" s="17">
        <v>2</v>
      </c>
      <c r="H50" s="17">
        <v>1</v>
      </c>
      <c r="I50" s="17">
        <v>2</v>
      </c>
      <c r="J50" s="17">
        <v>1</v>
      </c>
      <c r="K50" s="17">
        <v>0</v>
      </c>
      <c r="L50" s="17">
        <v>0</v>
      </c>
      <c r="M50" s="17">
        <v>0</v>
      </c>
      <c r="N50" s="17">
        <v>1</v>
      </c>
      <c r="O50" s="17">
        <v>0</v>
      </c>
      <c r="P50" s="17">
        <v>0</v>
      </c>
      <c r="Q50" s="17">
        <v>1</v>
      </c>
      <c r="R50" s="17">
        <v>0</v>
      </c>
      <c r="S50" s="17">
        <v>0</v>
      </c>
      <c r="T50" s="17">
        <v>0</v>
      </c>
      <c r="U50" s="17">
        <v>0</v>
      </c>
      <c r="V50" s="17"/>
      <c r="W50" s="17">
        <v>2</v>
      </c>
      <c r="X50" s="17">
        <v>2</v>
      </c>
      <c r="Y50" s="17">
        <v>2</v>
      </c>
      <c r="Z50" s="17">
        <v>2</v>
      </c>
      <c r="AA50" s="17">
        <v>4</v>
      </c>
      <c r="AB50" s="17">
        <v>2</v>
      </c>
      <c r="AC50" s="17">
        <v>2</v>
      </c>
      <c r="AD50" s="20">
        <v>2</v>
      </c>
      <c r="AE50" s="20">
        <v>0</v>
      </c>
      <c r="AF50" s="20">
        <v>4</v>
      </c>
      <c r="AG50" s="20">
        <v>4</v>
      </c>
      <c r="AH50" s="20">
        <v>0</v>
      </c>
      <c r="AI50" s="20">
        <v>2</v>
      </c>
      <c r="AJ50" s="20">
        <v>2</v>
      </c>
      <c r="AK50" s="20">
        <v>2</v>
      </c>
      <c r="AL50" s="20">
        <v>2</v>
      </c>
      <c r="AM50" s="20">
        <v>0</v>
      </c>
      <c r="AN50" s="21">
        <f t="shared" si="1"/>
        <v>6</v>
      </c>
      <c r="AO50" s="21">
        <v>12</v>
      </c>
      <c r="AP50" s="21">
        <v>4</v>
      </c>
      <c r="AQ50" s="20">
        <v>73</v>
      </c>
      <c r="AR50" s="20" t="s">
        <v>85</v>
      </c>
      <c r="AS50" s="21">
        <f t="shared" si="2"/>
        <v>73</v>
      </c>
    </row>
    <row r="51" spans="1:45" ht="15" customHeight="1">
      <c r="A51" s="17">
        <v>50</v>
      </c>
      <c r="B51" s="17"/>
      <c r="C51" s="18"/>
      <c r="D51" s="17">
        <v>1</v>
      </c>
      <c r="E51" s="17">
        <v>68</v>
      </c>
      <c r="F51" s="19">
        <f t="shared" si="0"/>
        <v>0</v>
      </c>
      <c r="G51" s="17">
        <v>2</v>
      </c>
      <c r="H51" s="17">
        <v>1</v>
      </c>
      <c r="I51" s="17">
        <v>3</v>
      </c>
      <c r="J51" s="17">
        <v>1</v>
      </c>
      <c r="K51" s="17">
        <v>1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1</v>
      </c>
      <c r="R51" s="17">
        <v>1</v>
      </c>
      <c r="S51" s="17">
        <v>0</v>
      </c>
      <c r="T51" s="17">
        <v>0</v>
      </c>
      <c r="U51" s="17">
        <v>1</v>
      </c>
      <c r="V51" s="17" t="s">
        <v>84</v>
      </c>
      <c r="W51" s="17">
        <v>4</v>
      </c>
      <c r="X51" s="17">
        <v>2</v>
      </c>
      <c r="Y51" s="17">
        <v>2</v>
      </c>
      <c r="Z51" s="17">
        <v>0</v>
      </c>
      <c r="AA51" s="17">
        <v>4</v>
      </c>
      <c r="AB51" s="17">
        <v>2</v>
      </c>
      <c r="AC51" s="17">
        <v>2</v>
      </c>
      <c r="AD51" s="20">
        <v>2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2</v>
      </c>
      <c r="AL51" s="20">
        <v>2</v>
      </c>
      <c r="AM51" s="20">
        <v>0</v>
      </c>
      <c r="AN51" s="21">
        <f t="shared" si="1"/>
        <v>6</v>
      </c>
      <c r="AO51" s="21">
        <v>0</v>
      </c>
      <c r="AP51" s="21">
        <v>4</v>
      </c>
      <c r="AQ51" s="20">
        <v>86.5</v>
      </c>
      <c r="AR51" s="20" t="s">
        <v>85</v>
      </c>
      <c r="AS51" s="21">
        <f t="shared" si="2"/>
        <v>86.5</v>
      </c>
    </row>
    <row r="52" spans="1:45" ht="15" customHeight="1">
      <c r="A52" s="17">
        <v>51</v>
      </c>
      <c r="B52" s="17"/>
      <c r="C52" s="18"/>
      <c r="D52" s="17">
        <v>1</v>
      </c>
      <c r="E52" s="17">
        <v>61</v>
      </c>
      <c r="F52" s="19">
        <f t="shared" si="0"/>
        <v>0</v>
      </c>
      <c r="G52" s="17">
        <v>2</v>
      </c>
      <c r="H52" s="17">
        <v>1</v>
      </c>
      <c r="I52" s="17">
        <v>1</v>
      </c>
      <c r="J52" s="17">
        <v>1</v>
      </c>
      <c r="K52" s="17">
        <v>1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1</v>
      </c>
      <c r="R52" s="17">
        <v>0</v>
      </c>
      <c r="S52" s="17">
        <v>0</v>
      </c>
      <c r="T52" s="17">
        <v>0</v>
      </c>
      <c r="U52" s="17">
        <v>0</v>
      </c>
      <c r="V52" s="17"/>
      <c r="W52" s="17">
        <v>1</v>
      </c>
      <c r="X52" s="17">
        <v>2</v>
      </c>
      <c r="Y52" s="17">
        <v>0</v>
      </c>
      <c r="Z52" s="17">
        <v>2</v>
      </c>
      <c r="AA52" s="17">
        <v>4</v>
      </c>
      <c r="AB52" s="17">
        <v>2</v>
      </c>
      <c r="AC52" s="17">
        <v>0</v>
      </c>
      <c r="AD52" s="20">
        <v>2</v>
      </c>
      <c r="AE52" s="20">
        <v>0</v>
      </c>
      <c r="AF52" s="20">
        <v>0</v>
      </c>
      <c r="AG52" s="20">
        <v>2</v>
      </c>
      <c r="AH52" s="20">
        <v>0</v>
      </c>
      <c r="AI52" s="20">
        <v>2</v>
      </c>
      <c r="AJ52" s="20">
        <v>2</v>
      </c>
      <c r="AK52" s="20">
        <v>2</v>
      </c>
      <c r="AL52" s="20">
        <v>2</v>
      </c>
      <c r="AM52" s="20">
        <v>0</v>
      </c>
      <c r="AN52" s="21">
        <f t="shared" si="1"/>
        <v>4</v>
      </c>
      <c r="AO52" s="21">
        <v>6</v>
      </c>
      <c r="AP52" s="21">
        <v>4</v>
      </c>
      <c r="AQ52" s="20">
        <v>69</v>
      </c>
      <c r="AR52" s="20" t="s">
        <v>85</v>
      </c>
      <c r="AS52" s="21">
        <f t="shared" si="2"/>
        <v>69</v>
      </c>
    </row>
    <row r="53" spans="1:45" ht="15" customHeight="1">
      <c r="A53" s="17">
        <v>52</v>
      </c>
      <c r="B53" s="17"/>
      <c r="C53" s="18"/>
      <c r="D53" s="17">
        <v>1</v>
      </c>
      <c r="E53" s="17">
        <v>60</v>
      </c>
      <c r="F53" s="19">
        <f t="shared" si="0"/>
        <v>0</v>
      </c>
      <c r="G53" s="17">
        <v>2</v>
      </c>
      <c r="H53" s="17">
        <v>1</v>
      </c>
      <c r="I53" s="17">
        <v>2</v>
      </c>
      <c r="J53" s="17">
        <v>2</v>
      </c>
      <c r="K53" s="17">
        <v>0</v>
      </c>
      <c r="L53" s="17">
        <v>0</v>
      </c>
      <c r="M53" s="17">
        <v>0</v>
      </c>
      <c r="N53" s="17">
        <v>0</v>
      </c>
      <c r="O53" s="17">
        <v>4</v>
      </c>
      <c r="P53" s="17">
        <v>0</v>
      </c>
      <c r="Q53" s="17">
        <v>1</v>
      </c>
      <c r="R53" s="17">
        <v>1</v>
      </c>
      <c r="S53" s="17">
        <v>0</v>
      </c>
      <c r="T53" s="17">
        <v>0</v>
      </c>
      <c r="U53" s="17">
        <v>1</v>
      </c>
      <c r="V53" s="17" t="s">
        <v>99</v>
      </c>
      <c r="W53" s="17">
        <v>4</v>
      </c>
      <c r="X53" s="17">
        <v>0</v>
      </c>
      <c r="Y53" s="17">
        <v>2</v>
      </c>
      <c r="Z53" s="17">
        <v>0</v>
      </c>
      <c r="AA53" s="17">
        <v>4</v>
      </c>
      <c r="AB53" s="17">
        <v>2</v>
      </c>
      <c r="AC53" s="17">
        <v>0</v>
      </c>
      <c r="AD53" s="20">
        <v>2</v>
      </c>
      <c r="AE53" s="20">
        <v>0</v>
      </c>
      <c r="AF53" s="20">
        <v>2</v>
      </c>
      <c r="AG53" s="20">
        <v>0</v>
      </c>
      <c r="AH53" s="20">
        <v>2</v>
      </c>
      <c r="AI53" s="20">
        <v>0</v>
      </c>
      <c r="AJ53" s="20">
        <v>2</v>
      </c>
      <c r="AK53" s="20">
        <v>4</v>
      </c>
      <c r="AL53" s="20">
        <v>2</v>
      </c>
      <c r="AM53" s="20">
        <v>0</v>
      </c>
      <c r="AN53" s="21">
        <f t="shared" si="1"/>
        <v>4</v>
      </c>
      <c r="AO53" s="21">
        <v>6</v>
      </c>
      <c r="AP53" s="21">
        <v>6</v>
      </c>
      <c r="AQ53" s="20">
        <v>97</v>
      </c>
      <c r="AR53" s="20" t="s">
        <v>85</v>
      </c>
      <c r="AS53" s="21">
        <f t="shared" si="2"/>
        <v>97</v>
      </c>
    </row>
    <row r="54" spans="1:45" ht="15" customHeight="1">
      <c r="A54" s="17">
        <v>53</v>
      </c>
      <c r="B54" s="17"/>
      <c r="C54" s="18"/>
      <c r="D54" s="17">
        <v>1</v>
      </c>
      <c r="E54" s="17">
        <v>67</v>
      </c>
      <c r="F54" s="19">
        <f t="shared" si="0"/>
        <v>0</v>
      </c>
      <c r="G54" s="17">
        <v>2</v>
      </c>
      <c r="H54" s="17">
        <v>1</v>
      </c>
      <c r="I54" s="17">
        <v>2</v>
      </c>
      <c r="J54" s="17">
        <v>1</v>
      </c>
      <c r="K54" s="17">
        <v>0</v>
      </c>
      <c r="L54" s="17">
        <v>0</v>
      </c>
      <c r="M54" s="17">
        <v>0</v>
      </c>
      <c r="N54" s="17">
        <v>0</v>
      </c>
      <c r="O54" s="17">
        <v>1</v>
      </c>
      <c r="P54" s="17">
        <v>1</v>
      </c>
      <c r="Q54" s="17">
        <v>1</v>
      </c>
      <c r="R54" s="17">
        <v>0</v>
      </c>
      <c r="S54" s="17">
        <v>0</v>
      </c>
      <c r="T54" s="17">
        <v>0</v>
      </c>
      <c r="U54" s="17">
        <v>0</v>
      </c>
      <c r="V54" s="17"/>
      <c r="W54" s="17">
        <v>4</v>
      </c>
      <c r="X54" s="17">
        <v>0</v>
      </c>
      <c r="Y54" s="17">
        <v>2</v>
      </c>
      <c r="Z54" s="17">
        <v>0</v>
      </c>
      <c r="AA54" s="17">
        <v>4</v>
      </c>
      <c r="AB54" s="17">
        <v>2</v>
      </c>
      <c r="AC54" s="17">
        <v>2</v>
      </c>
      <c r="AD54" s="20">
        <v>2</v>
      </c>
      <c r="AE54" s="20">
        <v>2</v>
      </c>
      <c r="AF54" s="20">
        <v>0</v>
      </c>
      <c r="AG54" s="20">
        <v>0</v>
      </c>
      <c r="AH54" s="20">
        <v>0</v>
      </c>
      <c r="AI54" s="20">
        <v>2</v>
      </c>
      <c r="AJ54" s="20">
        <v>2</v>
      </c>
      <c r="AK54" s="20">
        <v>2</v>
      </c>
      <c r="AL54" s="20">
        <v>2</v>
      </c>
      <c r="AM54" s="20">
        <v>0</v>
      </c>
      <c r="AN54" s="21">
        <f t="shared" si="1"/>
        <v>6</v>
      </c>
      <c r="AO54" s="21">
        <v>6</v>
      </c>
      <c r="AP54" s="21">
        <v>4</v>
      </c>
      <c r="AQ54" s="20">
        <v>93</v>
      </c>
      <c r="AR54" s="20" t="s">
        <v>85</v>
      </c>
      <c r="AS54" s="21">
        <f t="shared" si="2"/>
        <v>93</v>
      </c>
    </row>
    <row r="55" spans="1:45" ht="15" customHeight="1">
      <c r="A55" s="17">
        <v>54</v>
      </c>
      <c r="B55" s="17"/>
      <c r="C55" s="18"/>
      <c r="D55" s="17">
        <v>1</v>
      </c>
      <c r="E55" s="17">
        <v>65</v>
      </c>
      <c r="F55" s="19">
        <f t="shared" si="0"/>
        <v>0</v>
      </c>
      <c r="G55" s="17">
        <v>2</v>
      </c>
      <c r="H55" s="17">
        <v>1</v>
      </c>
      <c r="I55" s="17">
        <v>3</v>
      </c>
      <c r="J55" s="17">
        <v>1</v>
      </c>
      <c r="K55" s="17">
        <v>1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1</v>
      </c>
      <c r="R55" s="17">
        <v>1</v>
      </c>
      <c r="S55" s="17">
        <v>0</v>
      </c>
      <c r="T55" s="17">
        <v>0</v>
      </c>
      <c r="U55" s="17">
        <v>0</v>
      </c>
      <c r="V55" s="17"/>
      <c r="W55" s="17">
        <v>4</v>
      </c>
      <c r="X55" s="17">
        <v>2</v>
      </c>
      <c r="Y55" s="17">
        <v>0</v>
      </c>
      <c r="Z55" s="17">
        <v>0</v>
      </c>
      <c r="AA55" s="17">
        <v>4</v>
      </c>
      <c r="AB55" s="17">
        <v>2</v>
      </c>
      <c r="AC55" s="17">
        <v>0</v>
      </c>
      <c r="AD55" s="20">
        <v>2</v>
      </c>
      <c r="AE55" s="20">
        <v>0</v>
      </c>
      <c r="AF55" s="20">
        <v>0</v>
      </c>
      <c r="AG55" s="20">
        <v>2</v>
      </c>
      <c r="AH55" s="20">
        <v>2</v>
      </c>
      <c r="AI55" s="20">
        <v>2</v>
      </c>
      <c r="AJ55" s="20">
        <v>0</v>
      </c>
      <c r="AK55" s="20">
        <v>2</v>
      </c>
      <c r="AL55" s="20">
        <v>4</v>
      </c>
      <c r="AM55" s="20">
        <v>0</v>
      </c>
      <c r="AN55" s="21">
        <f t="shared" si="1"/>
        <v>4</v>
      </c>
      <c r="AO55" s="21">
        <v>6</v>
      </c>
      <c r="AP55" s="21">
        <v>6</v>
      </c>
      <c r="AQ55" s="20">
        <v>105.5</v>
      </c>
      <c r="AR55" s="20" t="s">
        <v>85</v>
      </c>
      <c r="AS55" s="21">
        <f t="shared" si="2"/>
        <v>105.5</v>
      </c>
    </row>
    <row r="56" spans="1:45" ht="15" customHeight="1">
      <c r="A56" s="17">
        <v>55</v>
      </c>
      <c r="B56" s="17"/>
      <c r="C56" s="18"/>
      <c r="D56" s="17">
        <v>1</v>
      </c>
      <c r="E56" s="17">
        <v>66</v>
      </c>
      <c r="F56" s="19">
        <f t="shared" si="0"/>
        <v>0</v>
      </c>
      <c r="G56" s="17">
        <v>2</v>
      </c>
      <c r="H56" s="17">
        <v>1</v>
      </c>
      <c r="I56" s="17">
        <v>4</v>
      </c>
      <c r="J56" s="17">
        <v>1</v>
      </c>
      <c r="K56" s="17">
        <v>1</v>
      </c>
      <c r="L56" s="17">
        <v>0</v>
      </c>
      <c r="M56" s="17">
        <v>0</v>
      </c>
      <c r="N56" s="17">
        <v>0</v>
      </c>
      <c r="O56" s="17">
        <v>1</v>
      </c>
      <c r="P56" s="17">
        <v>0</v>
      </c>
      <c r="Q56" s="17">
        <v>1</v>
      </c>
      <c r="R56" s="17">
        <v>1</v>
      </c>
      <c r="S56" s="17">
        <v>0</v>
      </c>
      <c r="T56" s="17">
        <v>0</v>
      </c>
      <c r="U56" s="17">
        <v>0</v>
      </c>
      <c r="V56" s="17"/>
      <c r="W56" s="17">
        <v>1</v>
      </c>
      <c r="X56" s="17">
        <v>2</v>
      </c>
      <c r="Y56" s="17">
        <v>2</v>
      </c>
      <c r="Z56" s="17">
        <v>2</v>
      </c>
      <c r="AA56" s="17">
        <v>4</v>
      </c>
      <c r="AB56" s="17">
        <v>2</v>
      </c>
      <c r="AC56" s="17">
        <v>2</v>
      </c>
      <c r="AD56" s="20">
        <v>2</v>
      </c>
      <c r="AE56" s="20">
        <v>4</v>
      </c>
      <c r="AF56" s="20">
        <v>0</v>
      </c>
      <c r="AG56" s="20">
        <v>2</v>
      </c>
      <c r="AH56" s="20">
        <v>2</v>
      </c>
      <c r="AI56" s="20">
        <v>2</v>
      </c>
      <c r="AJ56" s="20">
        <v>0</v>
      </c>
      <c r="AK56" s="20">
        <v>2</v>
      </c>
      <c r="AL56" s="20">
        <v>2</v>
      </c>
      <c r="AM56" s="20">
        <v>0</v>
      </c>
      <c r="AN56" s="21">
        <f t="shared" si="1"/>
        <v>6</v>
      </c>
      <c r="AO56" s="21">
        <v>10</v>
      </c>
      <c r="AP56" s="21">
        <v>4</v>
      </c>
      <c r="AQ56" s="20">
        <v>109</v>
      </c>
      <c r="AR56" s="20" t="s">
        <v>85</v>
      </c>
      <c r="AS56" s="21">
        <f t="shared" si="2"/>
        <v>109</v>
      </c>
    </row>
    <row r="57" spans="1:45" ht="15" customHeight="1">
      <c r="A57" s="17">
        <v>56</v>
      </c>
      <c r="B57" s="17"/>
      <c r="C57" s="18"/>
      <c r="D57" s="17">
        <v>1</v>
      </c>
      <c r="E57" s="17">
        <v>65</v>
      </c>
      <c r="F57" s="19">
        <f t="shared" si="0"/>
        <v>0</v>
      </c>
      <c r="G57" s="17">
        <v>2</v>
      </c>
      <c r="H57" s="17">
        <v>2</v>
      </c>
      <c r="I57" s="17">
        <v>2</v>
      </c>
      <c r="J57" s="17">
        <v>1</v>
      </c>
      <c r="K57" s="17">
        <v>1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 t="s">
        <v>88</v>
      </c>
      <c r="W57" s="17">
        <v>2</v>
      </c>
      <c r="X57" s="17">
        <v>2</v>
      </c>
      <c r="Y57" s="17">
        <v>2</v>
      </c>
      <c r="Z57" s="17">
        <v>0</v>
      </c>
      <c r="AA57" s="17">
        <v>2</v>
      </c>
      <c r="AB57" s="17">
        <v>0</v>
      </c>
      <c r="AC57" s="17">
        <v>0</v>
      </c>
      <c r="AD57" s="20">
        <v>2</v>
      </c>
      <c r="AE57" s="20">
        <v>0</v>
      </c>
      <c r="AF57" s="20">
        <v>0</v>
      </c>
      <c r="AG57" s="20">
        <v>0</v>
      </c>
      <c r="AH57" s="20">
        <v>2</v>
      </c>
      <c r="AI57" s="20">
        <v>2</v>
      </c>
      <c r="AJ57" s="20">
        <v>2</v>
      </c>
      <c r="AK57" s="20">
        <v>4</v>
      </c>
      <c r="AL57" s="20">
        <v>2</v>
      </c>
      <c r="AM57" s="20">
        <v>2</v>
      </c>
      <c r="AN57" s="21">
        <f t="shared" si="1"/>
        <v>2</v>
      </c>
      <c r="AO57" s="21">
        <v>6</v>
      </c>
      <c r="AP57" s="21">
        <v>8</v>
      </c>
      <c r="AQ57" s="20">
        <v>95</v>
      </c>
      <c r="AR57" s="20" t="s">
        <v>85</v>
      </c>
      <c r="AS57" s="21">
        <f t="shared" si="2"/>
        <v>95</v>
      </c>
    </row>
    <row r="58" spans="1:45" ht="15" customHeight="1">
      <c r="A58" s="17">
        <v>57</v>
      </c>
      <c r="B58" s="17"/>
      <c r="C58" s="18"/>
      <c r="D58" s="17">
        <v>1</v>
      </c>
      <c r="E58" s="17">
        <v>65</v>
      </c>
      <c r="F58" s="19">
        <f t="shared" si="0"/>
        <v>0</v>
      </c>
      <c r="G58" s="17">
        <v>2</v>
      </c>
      <c r="H58" s="17">
        <v>1</v>
      </c>
      <c r="I58" s="17">
        <v>2</v>
      </c>
      <c r="J58" s="17">
        <v>1</v>
      </c>
      <c r="K58" s="17">
        <v>1</v>
      </c>
      <c r="L58" s="17">
        <v>0</v>
      </c>
      <c r="M58" s="17">
        <v>0</v>
      </c>
      <c r="N58" s="17">
        <v>0</v>
      </c>
      <c r="O58" s="17">
        <v>0</v>
      </c>
      <c r="P58" s="17">
        <v>1</v>
      </c>
      <c r="Q58" s="17">
        <v>1</v>
      </c>
      <c r="R58" s="17">
        <v>1</v>
      </c>
      <c r="S58" s="17">
        <v>0</v>
      </c>
      <c r="T58" s="17">
        <v>0</v>
      </c>
      <c r="U58" s="17">
        <v>0</v>
      </c>
      <c r="V58" s="17"/>
      <c r="W58" s="17">
        <v>4</v>
      </c>
      <c r="X58" s="17">
        <v>2</v>
      </c>
      <c r="Y58" s="17">
        <v>2</v>
      </c>
      <c r="Z58" s="17">
        <v>2</v>
      </c>
      <c r="AA58" s="17">
        <v>4</v>
      </c>
      <c r="AB58" s="17">
        <v>2</v>
      </c>
      <c r="AC58" s="17">
        <v>0</v>
      </c>
      <c r="AD58" s="20">
        <v>2</v>
      </c>
      <c r="AE58" s="20">
        <v>0</v>
      </c>
      <c r="AF58" s="20">
        <v>0</v>
      </c>
      <c r="AG58" s="20">
        <v>0</v>
      </c>
      <c r="AH58" s="20">
        <v>0</v>
      </c>
      <c r="AI58" s="20">
        <v>2</v>
      </c>
      <c r="AJ58" s="20">
        <v>2</v>
      </c>
      <c r="AK58" s="20">
        <v>2</v>
      </c>
      <c r="AL58" s="20">
        <v>2</v>
      </c>
      <c r="AM58" s="20">
        <v>0</v>
      </c>
      <c r="AN58" s="21">
        <f t="shared" si="1"/>
        <v>4</v>
      </c>
      <c r="AO58" s="21">
        <v>4</v>
      </c>
      <c r="AP58" s="21">
        <v>4</v>
      </c>
      <c r="AQ58" s="20">
        <v>83.5</v>
      </c>
      <c r="AR58" s="20" t="s">
        <v>85</v>
      </c>
      <c r="AS58" s="21">
        <f t="shared" si="2"/>
        <v>83.5</v>
      </c>
    </row>
    <row r="59" spans="1:45" ht="15" customHeight="1">
      <c r="A59" s="17">
        <v>58</v>
      </c>
      <c r="B59" s="17"/>
      <c r="C59" s="18"/>
      <c r="D59" s="17">
        <v>1</v>
      </c>
      <c r="E59" s="17">
        <v>60</v>
      </c>
      <c r="F59" s="19">
        <f t="shared" si="0"/>
        <v>0</v>
      </c>
      <c r="G59" s="17">
        <v>1</v>
      </c>
      <c r="H59" s="17">
        <v>1</v>
      </c>
      <c r="I59" s="17">
        <v>1</v>
      </c>
      <c r="J59" s="17">
        <v>1</v>
      </c>
      <c r="K59" s="17">
        <v>1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1</v>
      </c>
      <c r="R59" s="17">
        <v>1</v>
      </c>
      <c r="S59" s="17">
        <v>0</v>
      </c>
      <c r="T59" s="17">
        <v>0</v>
      </c>
      <c r="U59" s="17">
        <v>0</v>
      </c>
      <c r="V59" s="17"/>
      <c r="W59" s="17">
        <v>1</v>
      </c>
      <c r="X59" s="17">
        <v>2</v>
      </c>
      <c r="Y59" s="17">
        <v>0</v>
      </c>
      <c r="Z59" s="17">
        <v>0</v>
      </c>
      <c r="AA59" s="17">
        <v>4</v>
      </c>
      <c r="AB59" s="17">
        <v>2</v>
      </c>
      <c r="AC59" s="17">
        <v>2</v>
      </c>
      <c r="AD59" s="20">
        <v>2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2</v>
      </c>
      <c r="AK59" s="20">
        <v>2</v>
      </c>
      <c r="AL59" s="20">
        <v>2</v>
      </c>
      <c r="AM59" s="20">
        <v>4</v>
      </c>
      <c r="AN59" s="21">
        <f t="shared" si="1"/>
        <v>6</v>
      </c>
      <c r="AO59" s="21">
        <v>2</v>
      </c>
      <c r="AP59" s="21">
        <v>8</v>
      </c>
      <c r="AQ59" s="20">
        <v>93</v>
      </c>
      <c r="AR59" s="20" t="s">
        <v>85</v>
      </c>
      <c r="AS59" s="21">
        <f t="shared" si="2"/>
        <v>93</v>
      </c>
    </row>
    <row r="60" spans="1:45" ht="15" customHeight="1">
      <c r="A60" s="17">
        <v>59</v>
      </c>
      <c r="B60" s="17"/>
      <c r="C60" s="18"/>
      <c r="D60" s="17">
        <v>1</v>
      </c>
      <c r="E60" s="17">
        <v>66</v>
      </c>
      <c r="F60" s="19">
        <f t="shared" si="0"/>
        <v>0</v>
      </c>
      <c r="G60" s="17">
        <v>1</v>
      </c>
      <c r="H60" s="17">
        <v>2</v>
      </c>
      <c r="I60" s="17">
        <v>1</v>
      </c>
      <c r="J60" s="17">
        <v>1</v>
      </c>
      <c r="K60" s="17">
        <v>1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 t="s">
        <v>88</v>
      </c>
      <c r="W60" s="17">
        <v>1</v>
      </c>
      <c r="X60" s="17">
        <v>2</v>
      </c>
      <c r="Y60" s="17">
        <v>2</v>
      </c>
      <c r="Z60" s="17">
        <v>0</v>
      </c>
      <c r="AA60" s="17">
        <v>2</v>
      </c>
      <c r="AB60" s="17">
        <v>2</v>
      </c>
      <c r="AC60" s="17">
        <v>2</v>
      </c>
      <c r="AD60" s="20">
        <v>2</v>
      </c>
      <c r="AE60" s="20">
        <v>2</v>
      </c>
      <c r="AF60" s="20">
        <v>4</v>
      </c>
      <c r="AG60" s="20">
        <v>0</v>
      </c>
      <c r="AH60" s="20">
        <v>2</v>
      </c>
      <c r="AI60" s="20">
        <v>0</v>
      </c>
      <c r="AJ60" s="20">
        <v>0</v>
      </c>
      <c r="AK60" s="20">
        <v>4</v>
      </c>
      <c r="AL60" s="20">
        <v>4</v>
      </c>
      <c r="AM60" s="20">
        <v>2</v>
      </c>
      <c r="AN60" s="21">
        <f t="shared" si="1"/>
        <v>6</v>
      </c>
      <c r="AO60" s="21">
        <v>8</v>
      </c>
      <c r="AP60" s="21">
        <v>10</v>
      </c>
      <c r="AQ60" s="20">
        <v>68</v>
      </c>
      <c r="AR60" s="20" t="s">
        <v>85</v>
      </c>
      <c r="AS60" s="21">
        <f t="shared" si="2"/>
        <v>68</v>
      </c>
    </row>
    <row r="61" spans="1:45" ht="15" customHeight="1">
      <c r="A61" s="17">
        <v>60</v>
      </c>
      <c r="B61" s="17"/>
      <c r="C61" s="18"/>
      <c r="D61" s="17">
        <v>1</v>
      </c>
      <c r="E61" s="17">
        <v>68</v>
      </c>
      <c r="F61" s="19">
        <f t="shared" si="0"/>
        <v>0</v>
      </c>
      <c r="G61" s="17">
        <v>2</v>
      </c>
      <c r="H61" s="17">
        <v>1</v>
      </c>
      <c r="I61" s="17">
        <v>1</v>
      </c>
      <c r="J61" s="17">
        <v>1</v>
      </c>
      <c r="K61" s="17">
        <v>1</v>
      </c>
      <c r="L61" s="17">
        <v>0</v>
      </c>
      <c r="M61" s="17">
        <v>0</v>
      </c>
      <c r="N61" s="17">
        <v>0</v>
      </c>
      <c r="O61" s="17">
        <v>1</v>
      </c>
      <c r="P61" s="17">
        <v>1</v>
      </c>
      <c r="Q61" s="17">
        <v>1</v>
      </c>
      <c r="R61" s="17">
        <v>1</v>
      </c>
      <c r="S61" s="17">
        <v>0</v>
      </c>
      <c r="T61" s="17">
        <v>0</v>
      </c>
      <c r="U61" s="17">
        <v>0</v>
      </c>
      <c r="V61" s="17"/>
      <c r="W61" s="17">
        <v>1</v>
      </c>
      <c r="X61" s="17">
        <v>4</v>
      </c>
      <c r="Y61" s="17">
        <v>2</v>
      </c>
      <c r="Z61" s="17">
        <v>2</v>
      </c>
      <c r="AA61" s="17">
        <v>4</v>
      </c>
      <c r="AB61" s="17">
        <v>4</v>
      </c>
      <c r="AC61" s="17">
        <v>2</v>
      </c>
      <c r="AD61" s="20">
        <v>2</v>
      </c>
      <c r="AE61" s="20">
        <v>2</v>
      </c>
      <c r="AF61" s="20">
        <v>2</v>
      </c>
      <c r="AG61" s="20">
        <v>2</v>
      </c>
      <c r="AH61" s="20">
        <v>2</v>
      </c>
      <c r="AI61" s="20">
        <v>2</v>
      </c>
      <c r="AJ61" s="20">
        <v>0</v>
      </c>
      <c r="AK61" s="20">
        <v>2</v>
      </c>
      <c r="AL61" s="20">
        <v>4</v>
      </c>
      <c r="AM61" s="20">
        <v>2</v>
      </c>
      <c r="AN61" s="21">
        <f t="shared" si="1"/>
        <v>8</v>
      </c>
      <c r="AO61" s="21">
        <v>10</v>
      </c>
      <c r="AP61" s="21">
        <v>8</v>
      </c>
      <c r="AQ61" s="20">
        <v>124</v>
      </c>
      <c r="AR61" s="20" t="s">
        <v>85</v>
      </c>
      <c r="AS61" s="21">
        <f t="shared" si="2"/>
        <v>124</v>
      </c>
    </row>
    <row r="62" spans="1:45" ht="15" customHeight="1">
      <c r="A62" s="17">
        <v>61</v>
      </c>
      <c r="B62" s="17"/>
      <c r="C62" s="18"/>
      <c r="D62" s="17">
        <v>1</v>
      </c>
      <c r="E62" s="17">
        <v>67</v>
      </c>
      <c r="F62" s="19">
        <f t="shared" si="0"/>
        <v>0</v>
      </c>
      <c r="G62" s="17">
        <v>2</v>
      </c>
      <c r="H62" s="17">
        <v>1</v>
      </c>
      <c r="I62" s="17">
        <v>2</v>
      </c>
      <c r="J62" s="17">
        <v>1</v>
      </c>
      <c r="K62" s="17">
        <v>1</v>
      </c>
      <c r="L62" s="17">
        <v>0</v>
      </c>
      <c r="M62" s="17">
        <v>0</v>
      </c>
      <c r="N62" s="17">
        <v>0</v>
      </c>
      <c r="O62" s="17">
        <v>1</v>
      </c>
      <c r="P62" s="17">
        <v>1</v>
      </c>
      <c r="Q62" s="17">
        <v>1</v>
      </c>
      <c r="R62" s="17">
        <v>1</v>
      </c>
      <c r="S62" s="17">
        <v>0</v>
      </c>
      <c r="T62" s="17">
        <v>0</v>
      </c>
      <c r="U62" s="17">
        <v>0</v>
      </c>
      <c r="V62" s="17"/>
      <c r="W62" s="17">
        <v>4</v>
      </c>
      <c r="X62" s="17">
        <v>2</v>
      </c>
      <c r="Y62" s="17">
        <v>2</v>
      </c>
      <c r="Z62" s="17">
        <v>2</v>
      </c>
      <c r="AA62" s="17">
        <v>4</v>
      </c>
      <c r="AB62" s="17">
        <v>2</v>
      </c>
      <c r="AC62" s="17">
        <v>0</v>
      </c>
      <c r="AD62" s="20">
        <v>2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2</v>
      </c>
      <c r="AL62" s="20">
        <v>2</v>
      </c>
      <c r="AM62" s="20">
        <v>0</v>
      </c>
      <c r="AN62" s="21">
        <f t="shared" si="1"/>
        <v>4</v>
      </c>
      <c r="AO62" s="21">
        <v>0</v>
      </c>
      <c r="AP62" s="21">
        <v>4</v>
      </c>
      <c r="AQ62" s="20">
        <v>87</v>
      </c>
      <c r="AR62" s="20" t="s">
        <v>85</v>
      </c>
      <c r="AS62" s="21">
        <f t="shared" si="2"/>
        <v>87</v>
      </c>
    </row>
    <row r="63" spans="1:45" ht="15" customHeight="1">
      <c r="A63" s="17">
        <v>62</v>
      </c>
      <c r="B63" s="17"/>
      <c r="C63" s="18"/>
      <c r="D63" s="17">
        <v>1</v>
      </c>
      <c r="E63" s="17">
        <v>65</v>
      </c>
      <c r="F63" s="19">
        <f t="shared" si="0"/>
        <v>0</v>
      </c>
      <c r="G63" s="17">
        <v>2</v>
      </c>
      <c r="H63" s="17">
        <v>1</v>
      </c>
      <c r="I63" s="17">
        <v>2</v>
      </c>
      <c r="J63" s="17">
        <v>1</v>
      </c>
      <c r="K63" s="17">
        <v>1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1</v>
      </c>
      <c r="R63" s="17">
        <v>0</v>
      </c>
      <c r="S63" s="17">
        <v>0</v>
      </c>
      <c r="T63" s="17">
        <v>0</v>
      </c>
      <c r="U63" s="17">
        <v>0</v>
      </c>
      <c r="V63" s="17" t="s">
        <v>101</v>
      </c>
      <c r="W63" s="17">
        <v>2</v>
      </c>
      <c r="X63" s="17">
        <v>2</v>
      </c>
      <c r="Y63" s="17">
        <v>2</v>
      </c>
      <c r="Z63" s="17">
        <v>2</v>
      </c>
      <c r="AA63" s="17">
        <v>4</v>
      </c>
      <c r="AB63" s="17">
        <v>2</v>
      </c>
      <c r="AC63" s="17">
        <v>2</v>
      </c>
      <c r="AD63" s="20">
        <v>2</v>
      </c>
      <c r="AE63" s="20">
        <v>0</v>
      </c>
      <c r="AF63" s="20">
        <v>0</v>
      </c>
      <c r="AG63" s="20">
        <v>2</v>
      </c>
      <c r="AH63" s="20">
        <v>0</v>
      </c>
      <c r="AI63" s="20">
        <v>0</v>
      </c>
      <c r="AJ63" s="20">
        <v>2</v>
      </c>
      <c r="AK63" s="20">
        <v>2</v>
      </c>
      <c r="AL63" s="20">
        <v>2</v>
      </c>
      <c r="AM63" s="20">
        <v>0</v>
      </c>
      <c r="AN63" s="21">
        <f t="shared" si="1"/>
        <v>6</v>
      </c>
      <c r="AO63" s="21">
        <v>4</v>
      </c>
      <c r="AP63" s="21">
        <v>4</v>
      </c>
      <c r="AQ63" s="20">
        <v>92</v>
      </c>
      <c r="AR63" s="20" t="s">
        <v>85</v>
      </c>
      <c r="AS63" s="21">
        <f t="shared" si="2"/>
        <v>92</v>
      </c>
    </row>
    <row r="64" spans="1:45" ht="15" customHeight="1">
      <c r="A64" s="17">
        <v>63</v>
      </c>
      <c r="B64" s="17"/>
      <c r="C64" s="18"/>
      <c r="D64" s="17">
        <v>1</v>
      </c>
      <c r="E64" s="17">
        <v>65</v>
      </c>
      <c r="F64" s="19">
        <f t="shared" si="0"/>
        <v>0</v>
      </c>
      <c r="G64" s="17">
        <v>2</v>
      </c>
      <c r="H64" s="17">
        <v>1</v>
      </c>
      <c r="I64" s="17">
        <v>2</v>
      </c>
      <c r="J64" s="17">
        <v>1</v>
      </c>
      <c r="K64" s="17">
        <v>1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1</v>
      </c>
      <c r="V64" s="17" t="s">
        <v>92</v>
      </c>
      <c r="W64" s="17">
        <v>2</v>
      </c>
      <c r="X64" s="17">
        <v>2</v>
      </c>
      <c r="Y64" s="17">
        <v>2</v>
      </c>
      <c r="Z64" s="17">
        <v>2</v>
      </c>
      <c r="AA64" s="17">
        <v>4</v>
      </c>
      <c r="AB64" s="17">
        <v>2</v>
      </c>
      <c r="AC64" s="17">
        <v>2</v>
      </c>
      <c r="AD64" s="20">
        <v>2</v>
      </c>
      <c r="AE64" s="20">
        <v>0</v>
      </c>
      <c r="AF64" s="20">
        <v>0</v>
      </c>
      <c r="AG64" s="20">
        <v>2</v>
      </c>
      <c r="AH64" s="20">
        <v>0</v>
      </c>
      <c r="AI64" s="20">
        <v>2</v>
      </c>
      <c r="AJ64" s="20">
        <v>2</v>
      </c>
      <c r="AK64" s="20">
        <v>2</v>
      </c>
      <c r="AL64" s="20">
        <v>2</v>
      </c>
      <c r="AM64" s="20">
        <v>0</v>
      </c>
      <c r="AN64" s="21">
        <f t="shared" si="1"/>
        <v>6</v>
      </c>
      <c r="AO64" s="21">
        <v>6</v>
      </c>
      <c r="AP64" s="21">
        <v>4</v>
      </c>
      <c r="AQ64" s="20">
        <v>70</v>
      </c>
      <c r="AR64" s="20" t="s">
        <v>85</v>
      </c>
      <c r="AS64" s="21">
        <f t="shared" si="2"/>
        <v>70</v>
      </c>
    </row>
    <row r="65" spans="1:45" ht="15" customHeight="1">
      <c r="A65" s="17">
        <v>64</v>
      </c>
      <c r="B65" s="17"/>
      <c r="C65" s="18"/>
      <c r="D65" s="17">
        <v>1</v>
      </c>
      <c r="E65" s="17">
        <v>65</v>
      </c>
      <c r="F65" s="19">
        <f t="shared" si="0"/>
        <v>0</v>
      </c>
      <c r="G65" s="17">
        <v>2</v>
      </c>
      <c r="H65" s="17">
        <v>2</v>
      </c>
      <c r="I65" s="17">
        <v>2</v>
      </c>
      <c r="J65" s="17">
        <v>2</v>
      </c>
      <c r="K65" s="17">
        <v>1</v>
      </c>
      <c r="L65" s="17">
        <v>0</v>
      </c>
      <c r="M65" s="17">
        <v>0</v>
      </c>
      <c r="N65" s="17">
        <v>0</v>
      </c>
      <c r="O65" s="17">
        <v>1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 t="s">
        <v>88</v>
      </c>
      <c r="W65" s="17">
        <v>4</v>
      </c>
      <c r="X65" s="17">
        <v>2</v>
      </c>
      <c r="Y65" s="17">
        <v>2</v>
      </c>
      <c r="Z65" s="17">
        <v>2</v>
      </c>
      <c r="AA65" s="17">
        <v>2</v>
      </c>
      <c r="AB65" s="17">
        <v>2</v>
      </c>
      <c r="AC65" s="17">
        <v>0</v>
      </c>
      <c r="AD65" s="20">
        <v>2</v>
      </c>
      <c r="AE65" s="20">
        <v>0</v>
      </c>
      <c r="AF65" s="20">
        <v>2</v>
      </c>
      <c r="AG65" s="20">
        <v>2</v>
      </c>
      <c r="AH65" s="20">
        <v>0</v>
      </c>
      <c r="AI65" s="20">
        <v>2</v>
      </c>
      <c r="AJ65" s="20">
        <v>2</v>
      </c>
      <c r="AK65" s="20">
        <v>2</v>
      </c>
      <c r="AL65" s="20">
        <v>2</v>
      </c>
      <c r="AM65" s="20">
        <v>0</v>
      </c>
      <c r="AN65" s="21">
        <f t="shared" si="1"/>
        <v>4</v>
      </c>
      <c r="AO65" s="21">
        <v>8</v>
      </c>
      <c r="AP65" s="21">
        <v>4</v>
      </c>
      <c r="AQ65" s="20">
        <v>76</v>
      </c>
      <c r="AR65" s="20" t="s">
        <v>85</v>
      </c>
      <c r="AS65" s="21">
        <f t="shared" si="2"/>
        <v>76</v>
      </c>
    </row>
    <row r="66" spans="1:45" ht="15" customHeight="1">
      <c r="A66" s="17">
        <v>65</v>
      </c>
      <c r="B66" s="17"/>
      <c r="C66" s="18"/>
      <c r="D66" s="17">
        <v>1</v>
      </c>
      <c r="E66" s="17">
        <v>69</v>
      </c>
      <c r="F66" s="19">
        <f t="shared" ref="F66:F129" si="3">IF(E66="","",IF(E66&lt;70,0,1))</f>
        <v>0</v>
      </c>
      <c r="G66" s="17">
        <v>2</v>
      </c>
      <c r="H66" s="17">
        <v>2</v>
      </c>
      <c r="I66" s="17">
        <v>3</v>
      </c>
      <c r="J66" s="17">
        <v>1</v>
      </c>
      <c r="K66" s="17">
        <v>1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1</v>
      </c>
      <c r="R66" s="17">
        <v>0</v>
      </c>
      <c r="S66" s="17">
        <v>0</v>
      </c>
      <c r="T66" s="17">
        <v>0</v>
      </c>
      <c r="U66" s="17">
        <v>0</v>
      </c>
      <c r="V66" s="17"/>
      <c r="W66" s="17">
        <v>4</v>
      </c>
      <c r="X66" s="17">
        <v>2</v>
      </c>
      <c r="Y66" s="17">
        <v>2</v>
      </c>
      <c r="Z66" s="17">
        <v>2</v>
      </c>
      <c r="AA66" s="17">
        <v>4</v>
      </c>
      <c r="AB66" s="17">
        <v>2</v>
      </c>
      <c r="AC66" s="17">
        <v>0</v>
      </c>
      <c r="AD66" s="20">
        <v>2</v>
      </c>
      <c r="AE66" s="20">
        <v>0</v>
      </c>
      <c r="AF66" s="20">
        <v>2</v>
      </c>
      <c r="AG66" s="20">
        <v>0</v>
      </c>
      <c r="AH66" s="20">
        <v>2</v>
      </c>
      <c r="AI66" s="20">
        <v>2</v>
      </c>
      <c r="AJ66" s="20">
        <v>2</v>
      </c>
      <c r="AK66" s="20">
        <v>2</v>
      </c>
      <c r="AL66" s="20">
        <v>2</v>
      </c>
      <c r="AM66" s="20">
        <v>4</v>
      </c>
      <c r="AN66" s="21">
        <f t="shared" ref="AN66:AN129" si="4">IF(COUNTA(AB66:AD66)=0,"",SUM(AB66:AD66))</f>
        <v>4</v>
      </c>
      <c r="AO66" s="21">
        <v>8</v>
      </c>
      <c r="AP66" s="21">
        <v>8</v>
      </c>
      <c r="AQ66" s="20">
        <v>100</v>
      </c>
      <c r="AR66" s="20" t="s">
        <v>85</v>
      </c>
      <c r="AS66" s="21">
        <f t="shared" ref="AS66:AS129" si="5">IF(AQ66="","",IF(AR66="cm",AQ66,IF(AR66="inch",AQ66*2.54,"")))</f>
        <v>100</v>
      </c>
    </row>
    <row r="67" spans="1:45" ht="15" customHeight="1">
      <c r="A67" s="17">
        <v>66</v>
      </c>
      <c r="B67" s="17"/>
      <c r="C67" s="18"/>
      <c r="D67" s="17">
        <v>1</v>
      </c>
      <c r="E67" s="17">
        <v>66</v>
      </c>
      <c r="F67" s="19">
        <f t="shared" si="3"/>
        <v>0</v>
      </c>
      <c r="G67" s="17">
        <v>2</v>
      </c>
      <c r="H67" s="17">
        <v>1</v>
      </c>
      <c r="I67" s="17">
        <v>2</v>
      </c>
      <c r="J67" s="17">
        <v>1</v>
      </c>
      <c r="K67" s="17">
        <v>1</v>
      </c>
      <c r="L67" s="17">
        <v>0</v>
      </c>
      <c r="M67" s="17">
        <v>0</v>
      </c>
      <c r="N67" s="17">
        <v>1</v>
      </c>
      <c r="O67" s="17">
        <v>0</v>
      </c>
      <c r="P67" s="17">
        <v>0</v>
      </c>
      <c r="Q67" s="17">
        <v>1</v>
      </c>
      <c r="R67" s="17">
        <v>1</v>
      </c>
      <c r="S67" s="17">
        <v>0</v>
      </c>
      <c r="T67" s="17">
        <v>0</v>
      </c>
      <c r="U67" s="17">
        <v>1</v>
      </c>
      <c r="V67" s="17" t="s">
        <v>99</v>
      </c>
      <c r="W67" s="17">
        <v>4</v>
      </c>
      <c r="X67" s="17">
        <v>0</v>
      </c>
      <c r="Y67" s="17">
        <v>2</v>
      </c>
      <c r="Z67" s="17">
        <v>2</v>
      </c>
      <c r="AA67" s="17">
        <v>4</v>
      </c>
      <c r="AB67" s="17">
        <v>2</v>
      </c>
      <c r="AC67" s="17">
        <v>2</v>
      </c>
      <c r="AD67" s="20">
        <v>2</v>
      </c>
      <c r="AE67" s="20">
        <v>2</v>
      </c>
      <c r="AF67" s="20">
        <v>4</v>
      </c>
      <c r="AG67" s="20">
        <v>2</v>
      </c>
      <c r="AH67" s="20">
        <v>2</v>
      </c>
      <c r="AI67" s="20">
        <v>0</v>
      </c>
      <c r="AJ67" s="20">
        <v>2</v>
      </c>
      <c r="AK67" s="20">
        <v>2</v>
      </c>
      <c r="AL67" s="20">
        <v>2</v>
      </c>
      <c r="AM67" s="20">
        <v>2</v>
      </c>
      <c r="AN67" s="21">
        <f t="shared" si="4"/>
        <v>6</v>
      </c>
      <c r="AO67" s="21">
        <v>12</v>
      </c>
      <c r="AP67" s="21">
        <v>6</v>
      </c>
      <c r="AQ67" s="20">
        <v>90.5</v>
      </c>
      <c r="AR67" s="20" t="s">
        <v>85</v>
      </c>
      <c r="AS67" s="21">
        <f t="shared" si="5"/>
        <v>90.5</v>
      </c>
    </row>
    <row r="68" spans="1:45" ht="15" customHeight="1">
      <c r="A68" s="17">
        <v>67</v>
      </c>
      <c r="B68" s="17"/>
      <c r="C68" s="18"/>
      <c r="D68" s="17">
        <v>1</v>
      </c>
      <c r="E68" s="17">
        <v>62</v>
      </c>
      <c r="F68" s="19">
        <f t="shared" si="3"/>
        <v>0</v>
      </c>
      <c r="G68" s="17">
        <v>2</v>
      </c>
      <c r="H68" s="17">
        <v>1</v>
      </c>
      <c r="I68" s="17">
        <v>1</v>
      </c>
      <c r="J68" s="17">
        <v>1</v>
      </c>
      <c r="K68" s="17">
        <v>1</v>
      </c>
      <c r="L68" s="17">
        <v>0</v>
      </c>
      <c r="M68" s="17">
        <v>0</v>
      </c>
      <c r="N68" s="17">
        <v>1</v>
      </c>
      <c r="O68" s="17">
        <v>0</v>
      </c>
      <c r="P68" s="17">
        <v>0</v>
      </c>
      <c r="Q68" s="17">
        <v>1</v>
      </c>
      <c r="R68" s="17">
        <v>0</v>
      </c>
      <c r="S68" s="17">
        <v>0</v>
      </c>
      <c r="T68" s="17">
        <v>0</v>
      </c>
      <c r="U68" s="17">
        <v>0</v>
      </c>
      <c r="V68" s="17"/>
      <c r="W68" s="17">
        <v>4</v>
      </c>
      <c r="X68" s="17">
        <v>2</v>
      </c>
      <c r="Y68" s="17">
        <v>2</v>
      </c>
      <c r="Z68" s="17">
        <v>2</v>
      </c>
      <c r="AA68" s="17">
        <v>4</v>
      </c>
      <c r="AB68" s="17">
        <v>2</v>
      </c>
      <c r="AC68" s="17">
        <v>2</v>
      </c>
      <c r="AD68" s="20">
        <v>2</v>
      </c>
      <c r="AE68" s="20">
        <v>0</v>
      </c>
      <c r="AF68" s="20">
        <v>2</v>
      </c>
      <c r="AG68" s="20">
        <v>2</v>
      </c>
      <c r="AH68" s="20">
        <v>2</v>
      </c>
      <c r="AI68" s="20">
        <v>2</v>
      </c>
      <c r="AJ68" s="20">
        <v>2</v>
      </c>
      <c r="AK68" s="20">
        <v>2</v>
      </c>
      <c r="AL68" s="20">
        <v>2</v>
      </c>
      <c r="AM68" s="20">
        <v>4</v>
      </c>
      <c r="AN68" s="21">
        <f t="shared" si="4"/>
        <v>6</v>
      </c>
      <c r="AO68" s="21">
        <v>10</v>
      </c>
      <c r="AP68" s="21">
        <v>8</v>
      </c>
      <c r="AQ68" s="20">
        <v>60</v>
      </c>
      <c r="AR68" s="20" t="s">
        <v>85</v>
      </c>
      <c r="AS68" s="21">
        <f t="shared" si="5"/>
        <v>60</v>
      </c>
    </row>
    <row r="69" spans="1:45" ht="15" customHeight="1">
      <c r="A69" s="17">
        <v>68</v>
      </c>
      <c r="B69" s="17"/>
      <c r="C69" s="18"/>
      <c r="D69" s="17">
        <v>1</v>
      </c>
      <c r="E69" s="17">
        <v>62</v>
      </c>
      <c r="F69" s="19">
        <f t="shared" si="3"/>
        <v>0</v>
      </c>
      <c r="G69" s="17">
        <v>1</v>
      </c>
      <c r="H69" s="17">
        <v>3</v>
      </c>
      <c r="I69" s="17">
        <v>2</v>
      </c>
      <c r="J69" s="17">
        <v>2</v>
      </c>
      <c r="K69" s="17">
        <v>1</v>
      </c>
      <c r="L69" s="17">
        <v>0</v>
      </c>
      <c r="M69" s="17">
        <v>0</v>
      </c>
      <c r="N69" s="17">
        <v>0</v>
      </c>
      <c r="O69" s="17">
        <v>1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 t="s">
        <v>88</v>
      </c>
      <c r="W69" s="17">
        <v>4</v>
      </c>
      <c r="X69" s="17">
        <v>2</v>
      </c>
      <c r="Y69" s="17">
        <v>2</v>
      </c>
      <c r="Z69" s="17">
        <v>2</v>
      </c>
      <c r="AA69" s="17">
        <v>2</v>
      </c>
      <c r="AB69" s="17">
        <v>2</v>
      </c>
      <c r="AC69" s="17">
        <v>2</v>
      </c>
      <c r="AD69" s="20">
        <v>2</v>
      </c>
      <c r="AE69" s="20">
        <v>2</v>
      </c>
      <c r="AF69" s="20">
        <v>2</v>
      </c>
      <c r="AG69" s="20">
        <v>0</v>
      </c>
      <c r="AH69" s="20">
        <v>0</v>
      </c>
      <c r="AI69" s="20">
        <v>2</v>
      </c>
      <c r="AJ69" s="20">
        <v>2</v>
      </c>
      <c r="AK69" s="20">
        <v>4</v>
      </c>
      <c r="AL69" s="20">
        <v>2</v>
      </c>
      <c r="AM69" s="20">
        <v>0</v>
      </c>
      <c r="AN69" s="21">
        <f t="shared" si="4"/>
        <v>6</v>
      </c>
      <c r="AO69" s="21">
        <v>8</v>
      </c>
      <c r="AP69" s="21">
        <v>6</v>
      </c>
      <c r="AQ69" s="20">
        <v>88</v>
      </c>
      <c r="AR69" s="20" t="s">
        <v>85</v>
      </c>
      <c r="AS69" s="21">
        <f t="shared" si="5"/>
        <v>88</v>
      </c>
    </row>
    <row r="70" spans="1:45" ht="15" customHeight="1">
      <c r="A70" s="17">
        <v>69</v>
      </c>
      <c r="B70" s="17"/>
      <c r="C70" s="18"/>
      <c r="D70" s="17">
        <v>1</v>
      </c>
      <c r="E70" s="17">
        <v>67</v>
      </c>
      <c r="F70" s="19">
        <f t="shared" si="3"/>
        <v>0</v>
      </c>
      <c r="G70" s="17">
        <v>2</v>
      </c>
      <c r="H70" s="17">
        <v>1</v>
      </c>
      <c r="I70" s="17">
        <v>2</v>
      </c>
      <c r="J70" s="17">
        <v>1</v>
      </c>
      <c r="K70" s="17">
        <v>1</v>
      </c>
      <c r="L70" s="17">
        <v>0</v>
      </c>
      <c r="M70" s="17">
        <v>0</v>
      </c>
      <c r="N70" s="17">
        <v>1</v>
      </c>
      <c r="O70" s="17">
        <v>0</v>
      </c>
      <c r="P70" s="17">
        <v>0</v>
      </c>
      <c r="Q70" s="17">
        <v>1</v>
      </c>
      <c r="R70" s="17">
        <v>0</v>
      </c>
      <c r="S70" s="17">
        <v>0</v>
      </c>
      <c r="T70" s="17">
        <v>0</v>
      </c>
      <c r="U70" s="17">
        <v>0</v>
      </c>
      <c r="V70" s="17"/>
      <c r="W70" s="17">
        <v>2</v>
      </c>
      <c r="X70" s="17">
        <v>0</v>
      </c>
      <c r="Y70" s="17">
        <v>2</v>
      </c>
      <c r="Z70" s="17">
        <v>2</v>
      </c>
      <c r="AA70" s="17">
        <v>4</v>
      </c>
      <c r="AB70" s="17">
        <v>2</v>
      </c>
      <c r="AC70" s="17">
        <v>2</v>
      </c>
      <c r="AD70" s="20">
        <v>2</v>
      </c>
      <c r="AE70" s="20">
        <v>0</v>
      </c>
      <c r="AF70" s="20">
        <v>2</v>
      </c>
      <c r="AG70" s="20">
        <v>2</v>
      </c>
      <c r="AH70" s="20">
        <v>0</v>
      </c>
      <c r="AI70" s="20">
        <v>2</v>
      </c>
      <c r="AJ70" s="20">
        <v>0</v>
      </c>
      <c r="AK70" s="20">
        <v>2</v>
      </c>
      <c r="AL70" s="20">
        <v>2</v>
      </c>
      <c r="AM70" s="20">
        <v>2</v>
      </c>
      <c r="AN70" s="21">
        <f t="shared" si="4"/>
        <v>6</v>
      </c>
      <c r="AO70" s="21">
        <v>6</v>
      </c>
      <c r="AP70" s="21">
        <v>6</v>
      </c>
      <c r="AQ70" s="20">
        <v>90</v>
      </c>
      <c r="AR70" s="20" t="s">
        <v>85</v>
      </c>
      <c r="AS70" s="21">
        <f t="shared" si="5"/>
        <v>90</v>
      </c>
    </row>
    <row r="71" spans="1:45" ht="15" customHeight="1">
      <c r="A71" s="17">
        <v>70</v>
      </c>
      <c r="B71" s="17"/>
      <c r="C71" s="18"/>
      <c r="D71" s="17">
        <v>1</v>
      </c>
      <c r="E71" s="17">
        <v>66</v>
      </c>
      <c r="F71" s="19">
        <f t="shared" si="3"/>
        <v>0</v>
      </c>
      <c r="G71" s="17">
        <v>2</v>
      </c>
      <c r="H71" s="17">
        <v>2</v>
      </c>
      <c r="I71" s="17">
        <v>3</v>
      </c>
      <c r="J71" s="17">
        <v>1</v>
      </c>
      <c r="K71" s="17">
        <v>1</v>
      </c>
      <c r="L71" s="17">
        <v>0</v>
      </c>
      <c r="M71" s="17">
        <v>0</v>
      </c>
      <c r="N71" s="17">
        <v>0</v>
      </c>
      <c r="O71" s="17">
        <v>0</v>
      </c>
      <c r="P71" s="17">
        <v>1</v>
      </c>
      <c r="Q71" s="17">
        <v>1</v>
      </c>
      <c r="R71" s="17">
        <v>1</v>
      </c>
      <c r="S71" s="17">
        <v>0</v>
      </c>
      <c r="T71" s="17">
        <v>0</v>
      </c>
      <c r="U71" s="17">
        <v>0</v>
      </c>
      <c r="V71" s="17"/>
      <c r="W71" s="17">
        <v>4</v>
      </c>
      <c r="X71" s="17">
        <v>0</v>
      </c>
      <c r="Y71" s="17">
        <v>2</v>
      </c>
      <c r="Z71" s="17">
        <v>2</v>
      </c>
      <c r="AA71" s="17">
        <v>4</v>
      </c>
      <c r="AB71" s="17">
        <v>2</v>
      </c>
      <c r="AC71" s="17">
        <v>2</v>
      </c>
      <c r="AD71" s="20">
        <v>2</v>
      </c>
      <c r="AE71" s="20">
        <v>2</v>
      </c>
      <c r="AF71" s="20">
        <v>2</v>
      </c>
      <c r="AG71" s="20">
        <v>4</v>
      </c>
      <c r="AH71" s="20">
        <v>2</v>
      </c>
      <c r="AI71" s="20">
        <v>2</v>
      </c>
      <c r="AJ71" s="20">
        <v>2</v>
      </c>
      <c r="AK71" s="20">
        <v>4</v>
      </c>
      <c r="AL71" s="20">
        <v>2</v>
      </c>
      <c r="AM71" s="20">
        <v>4</v>
      </c>
      <c r="AN71" s="21">
        <f t="shared" si="4"/>
        <v>6</v>
      </c>
      <c r="AO71" s="21">
        <v>14</v>
      </c>
      <c r="AP71" s="21">
        <v>10</v>
      </c>
      <c r="AQ71" s="20">
        <v>93</v>
      </c>
      <c r="AR71" s="20" t="s">
        <v>85</v>
      </c>
      <c r="AS71" s="21">
        <f t="shared" si="5"/>
        <v>93</v>
      </c>
    </row>
    <row r="72" spans="1:45" ht="15" customHeight="1">
      <c r="A72" s="17">
        <v>71</v>
      </c>
      <c r="B72" s="17"/>
      <c r="C72" s="18"/>
      <c r="D72" s="17">
        <v>1</v>
      </c>
      <c r="E72" s="17">
        <v>67</v>
      </c>
      <c r="F72" s="19">
        <f t="shared" si="3"/>
        <v>0</v>
      </c>
      <c r="G72" s="17">
        <v>2</v>
      </c>
      <c r="H72" s="17">
        <v>1</v>
      </c>
      <c r="I72" s="17">
        <v>2</v>
      </c>
      <c r="J72" s="17">
        <v>1</v>
      </c>
      <c r="K72" s="17">
        <v>1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1</v>
      </c>
      <c r="R72" s="17">
        <v>1</v>
      </c>
      <c r="S72" s="17">
        <v>0</v>
      </c>
      <c r="T72" s="17">
        <v>0</v>
      </c>
      <c r="U72" s="17">
        <v>0</v>
      </c>
      <c r="V72" s="17"/>
      <c r="W72" s="17">
        <v>4</v>
      </c>
      <c r="X72" s="17">
        <v>4</v>
      </c>
      <c r="Y72" s="17">
        <v>2</v>
      </c>
      <c r="Z72" s="17">
        <v>2</v>
      </c>
      <c r="AA72" s="17">
        <v>4</v>
      </c>
      <c r="AB72" s="17">
        <v>2</v>
      </c>
      <c r="AC72" s="17">
        <v>2</v>
      </c>
      <c r="AD72" s="20">
        <v>2</v>
      </c>
      <c r="AE72" s="20">
        <v>2</v>
      </c>
      <c r="AF72" s="20">
        <v>2</v>
      </c>
      <c r="AG72" s="20">
        <v>2</v>
      </c>
      <c r="AH72" s="20">
        <v>2</v>
      </c>
      <c r="AI72" s="20">
        <v>0</v>
      </c>
      <c r="AJ72" s="20">
        <v>2</v>
      </c>
      <c r="AK72" s="20">
        <v>2</v>
      </c>
      <c r="AL72" s="20">
        <v>2</v>
      </c>
      <c r="AM72" s="20">
        <v>0</v>
      </c>
      <c r="AN72" s="21">
        <f t="shared" si="4"/>
        <v>6</v>
      </c>
      <c r="AO72" s="21">
        <v>10</v>
      </c>
      <c r="AP72" s="21">
        <v>4</v>
      </c>
      <c r="AQ72" s="20">
        <v>88.5</v>
      </c>
      <c r="AR72" s="20" t="s">
        <v>85</v>
      </c>
      <c r="AS72" s="21">
        <f t="shared" si="5"/>
        <v>88.5</v>
      </c>
    </row>
    <row r="73" spans="1:45" ht="15" customHeight="1">
      <c r="A73" s="17">
        <v>72</v>
      </c>
      <c r="B73" s="17"/>
      <c r="C73" s="18"/>
      <c r="D73" s="17">
        <v>1</v>
      </c>
      <c r="E73" s="17">
        <v>68</v>
      </c>
      <c r="F73" s="19">
        <f t="shared" si="3"/>
        <v>0</v>
      </c>
      <c r="G73" s="17">
        <v>2</v>
      </c>
      <c r="H73" s="17">
        <v>1</v>
      </c>
      <c r="I73" s="17">
        <v>2</v>
      </c>
      <c r="J73" s="17">
        <v>1</v>
      </c>
      <c r="K73" s="17">
        <v>1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1</v>
      </c>
      <c r="R73" s="17">
        <v>0</v>
      </c>
      <c r="S73" s="17">
        <v>0</v>
      </c>
      <c r="T73" s="17">
        <v>0</v>
      </c>
      <c r="U73" s="17">
        <v>0</v>
      </c>
      <c r="V73" s="17"/>
      <c r="W73" s="17">
        <v>2</v>
      </c>
      <c r="X73" s="17">
        <v>2</v>
      </c>
      <c r="Y73" s="17">
        <v>2</v>
      </c>
      <c r="Z73" s="17">
        <v>0</v>
      </c>
      <c r="AA73" s="17">
        <v>4</v>
      </c>
      <c r="AB73" s="17">
        <v>2</v>
      </c>
      <c r="AC73" s="17">
        <v>2</v>
      </c>
      <c r="AD73" s="20">
        <v>2</v>
      </c>
      <c r="AE73" s="20">
        <v>4</v>
      </c>
      <c r="AF73" s="20">
        <v>2</v>
      </c>
      <c r="AG73" s="20">
        <v>0</v>
      </c>
      <c r="AH73" s="20">
        <v>0</v>
      </c>
      <c r="AI73" s="20">
        <v>2</v>
      </c>
      <c r="AJ73" s="20">
        <v>2</v>
      </c>
      <c r="AK73" s="20">
        <v>4</v>
      </c>
      <c r="AL73" s="20">
        <v>2</v>
      </c>
      <c r="AM73" s="20">
        <v>0</v>
      </c>
      <c r="AN73" s="21">
        <f t="shared" si="4"/>
        <v>6</v>
      </c>
      <c r="AO73" s="21">
        <v>10</v>
      </c>
      <c r="AP73" s="21">
        <v>6</v>
      </c>
      <c r="AQ73" s="20">
        <v>67</v>
      </c>
      <c r="AR73" s="20" t="s">
        <v>85</v>
      </c>
      <c r="AS73" s="21">
        <f t="shared" si="5"/>
        <v>67</v>
      </c>
    </row>
    <row r="74" spans="1:45" ht="15" customHeight="1">
      <c r="A74" s="17">
        <v>73</v>
      </c>
      <c r="B74" s="17"/>
      <c r="C74" s="18"/>
      <c r="D74" s="17">
        <v>1</v>
      </c>
      <c r="E74" s="17">
        <v>65</v>
      </c>
      <c r="F74" s="19">
        <f t="shared" si="3"/>
        <v>0</v>
      </c>
      <c r="G74" s="17">
        <v>2</v>
      </c>
      <c r="H74" s="17">
        <v>2</v>
      </c>
      <c r="I74" s="17">
        <v>1</v>
      </c>
      <c r="J74" s="17">
        <v>1</v>
      </c>
      <c r="K74" s="17">
        <v>1</v>
      </c>
      <c r="L74" s="17">
        <v>0</v>
      </c>
      <c r="M74" s="17">
        <v>1</v>
      </c>
      <c r="N74" s="17">
        <v>0</v>
      </c>
      <c r="O74" s="17">
        <v>0</v>
      </c>
      <c r="P74" s="17">
        <v>0</v>
      </c>
      <c r="Q74" s="17">
        <v>0</v>
      </c>
      <c r="R74" s="17">
        <v>1</v>
      </c>
      <c r="S74" s="17">
        <v>0</v>
      </c>
      <c r="T74" s="17">
        <v>0</v>
      </c>
      <c r="U74" s="17">
        <v>0</v>
      </c>
      <c r="V74" s="17"/>
      <c r="W74" s="17">
        <v>4</v>
      </c>
      <c r="X74" s="17">
        <v>2</v>
      </c>
      <c r="Y74" s="17">
        <v>2</v>
      </c>
      <c r="Z74" s="17">
        <v>2</v>
      </c>
      <c r="AA74" s="17">
        <v>4</v>
      </c>
      <c r="AB74" s="17">
        <v>2</v>
      </c>
      <c r="AC74" s="17">
        <v>2</v>
      </c>
      <c r="AD74" s="20">
        <v>2</v>
      </c>
      <c r="AE74" s="20">
        <v>0</v>
      </c>
      <c r="AF74" s="20">
        <v>0</v>
      </c>
      <c r="AG74" s="20">
        <v>2</v>
      </c>
      <c r="AH74" s="20">
        <v>2</v>
      </c>
      <c r="AI74" s="20">
        <v>2</v>
      </c>
      <c r="AJ74" s="20">
        <v>0</v>
      </c>
      <c r="AK74" s="20">
        <v>2</v>
      </c>
      <c r="AL74" s="20">
        <v>2</v>
      </c>
      <c r="AM74" s="20">
        <v>0</v>
      </c>
      <c r="AN74" s="21">
        <f t="shared" si="4"/>
        <v>6</v>
      </c>
      <c r="AO74" s="21">
        <v>6</v>
      </c>
      <c r="AP74" s="21">
        <v>4</v>
      </c>
      <c r="AQ74" s="20">
        <v>88.5</v>
      </c>
      <c r="AR74" s="20" t="s">
        <v>85</v>
      </c>
      <c r="AS74" s="21">
        <f t="shared" si="5"/>
        <v>88.5</v>
      </c>
    </row>
    <row r="75" spans="1:45" ht="15" customHeight="1">
      <c r="A75" s="17">
        <v>74</v>
      </c>
      <c r="B75" s="17"/>
      <c r="C75" s="18"/>
      <c r="D75" s="17">
        <v>1</v>
      </c>
      <c r="E75" s="17">
        <v>68</v>
      </c>
      <c r="F75" s="19">
        <f t="shared" si="3"/>
        <v>0</v>
      </c>
      <c r="G75" s="17">
        <v>2</v>
      </c>
      <c r="H75" s="17">
        <v>1</v>
      </c>
      <c r="I75" s="17">
        <v>2</v>
      </c>
      <c r="J75" s="17">
        <v>1</v>
      </c>
      <c r="K75" s="17">
        <v>1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 t="s">
        <v>88</v>
      </c>
      <c r="W75" s="17">
        <v>2</v>
      </c>
      <c r="X75" s="17">
        <v>2</v>
      </c>
      <c r="Y75" s="17">
        <v>2</v>
      </c>
      <c r="Z75" s="17">
        <v>2</v>
      </c>
      <c r="AA75" s="17">
        <v>2</v>
      </c>
      <c r="AB75" s="17">
        <v>2</v>
      </c>
      <c r="AC75" s="17">
        <v>2</v>
      </c>
      <c r="AD75" s="20">
        <v>2</v>
      </c>
      <c r="AE75" s="20">
        <v>0</v>
      </c>
      <c r="AF75" s="20">
        <v>2</v>
      </c>
      <c r="AG75" s="20">
        <v>2</v>
      </c>
      <c r="AH75" s="20">
        <v>0</v>
      </c>
      <c r="AI75" s="20">
        <v>2</v>
      </c>
      <c r="AJ75" s="20">
        <v>2</v>
      </c>
      <c r="AK75" s="20">
        <v>2</v>
      </c>
      <c r="AL75" s="20">
        <v>2</v>
      </c>
      <c r="AM75" s="20">
        <v>0</v>
      </c>
      <c r="AN75" s="21">
        <f t="shared" si="4"/>
        <v>6</v>
      </c>
      <c r="AO75" s="21">
        <v>8</v>
      </c>
      <c r="AP75" s="21">
        <v>4</v>
      </c>
      <c r="AQ75" s="20">
        <v>100</v>
      </c>
      <c r="AR75" s="20" t="s">
        <v>85</v>
      </c>
      <c r="AS75" s="21">
        <f t="shared" si="5"/>
        <v>100</v>
      </c>
    </row>
    <row r="76" spans="1:45" ht="15" customHeight="1">
      <c r="A76" s="17">
        <v>75</v>
      </c>
      <c r="B76" s="17"/>
      <c r="C76" s="18"/>
      <c r="D76" s="17">
        <v>1</v>
      </c>
      <c r="E76" s="17">
        <v>64</v>
      </c>
      <c r="F76" s="19">
        <f t="shared" si="3"/>
        <v>0</v>
      </c>
      <c r="G76" s="17">
        <v>2</v>
      </c>
      <c r="H76" s="17">
        <v>3</v>
      </c>
      <c r="I76" s="17">
        <v>4</v>
      </c>
      <c r="J76" s="17">
        <v>1</v>
      </c>
      <c r="K76" s="17">
        <v>1</v>
      </c>
      <c r="L76" s="17">
        <v>0</v>
      </c>
      <c r="M76" s="17">
        <v>0</v>
      </c>
      <c r="N76" s="17">
        <v>0</v>
      </c>
      <c r="O76" s="17">
        <v>0</v>
      </c>
      <c r="P76" s="17">
        <v>1</v>
      </c>
      <c r="Q76" s="17">
        <v>1</v>
      </c>
      <c r="R76" s="17">
        <v>1</v>
      </c>
      <c r="S76" s="17">
        <v>0</v>
      </c>
      <c r="T76" s="17">
        <v>0</v>
      </c>
      <c r="U76" s="17">
        <v>0</v>
      </c>
      <c r="V76" s="17"/>
      <c r="W76" s="17">
        <v>4</v>
      </c>
      <c r="X76" s="17">
        <v>0</v>
      </c>
      <c r="Y76" s="17">
        <v>2</v>
      </c>
      <c r="Z76" s="17">
        <v>0</v>
      </c>
      <c r="AA76" s="17">
        <v>4</v>
      </c>
      <c r="AB76" s="17">
        <v>2</v>
      </c>
      <c r="AC76" s="17">
        <v>2</v>
      </c>
      <c r="AD76" s="20">
        <v>2</v>
      </c>
      <c r="AE76" s="20">
        <v>0</v>
      </c>
      <c r="AF76" s="20">
        <v>0</v>
      </c>
      <c r="AG76" s="20">
        <v>0</v>
      </c>
      <c r="AH76" s="20">
        <v>0</v>
      </c>
      <c r="AI76" s="20">
        <v>2</v>
      </c>
      <c r="AJ76" s="20">
        <v>2</v>
      </c>
      <c r="AK76" s="20">
        <v>2</v>
      </c>
      <c r="AL76" s="20">
        <v>2</v>
      </c>
      <c r="AM76" s="20">
        <v>0</v>
      </c>
      <c r="AN76" s="21">
        <f t="shared" si="4"/>
        <v>6</v>
      </c>
      <c r="AO76" s="21">
        <v>4</v>
      </c>
      <c r="AP76" s="21">
        <v>4</v>
      </c>
      <c r="AQ76" s="20">
        <v>76</v>
      </c>
      <c r="AR76" s="20" t="s">
        <v>85</v>
      </c>
      <c r="AS76" s="21">
        <f t="shared" si="5"/>
        <v>76</v>
      </c>
    </row>
    <row r="77" spans="1:45" ht="15" customHeight="1">
      <c r="A77" s="17">
        <v>76</v>
      </c>
      <c r="B77" s="17"/>
      <c r="C77" s="18"/>
      <c r="D77" s="17">
        <v>1</v>
      </c>
      <c r="E77" s="17">
        <v>65</v>
      </c>
      <c r="F77" s="19">
        <f t="shared" si="3"/>
        <v>0</v>
      </c>
      <c r="G77" s="17">
        <v>2</v>
      </c>
      <c r="H77" s="17">
        <v>2</v>
      </c>
      <c r="I77" s="17">
        <v>1</v>
      </c>
      <c r="J77" s="17">
        <v>1</v>
      </c>
      <c r="K77" s="17">
        <v>1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1</v>
      </c>
      <c r="R77" s="17">
        <v>1</v>
      </c>
      <c r="S77" s="17">
        <v>0</v>
      </c>
      <c r="T77" s="17">
        <v>0</v>
      </c>
      <c r="U77" s="17">
        <v>0</v>
      </c>
      <c r="V77" s="17"/>
      <c r="W77" s="17">
        <v>1</v>
      </c>
      <c r="X77" s="17">
        <v>0</v>
      </c>
      <c r="Y77" s="17">
        <v>2</v>
      </c>
      <c r="Z77" s="17">
        <v>2</v>
      </c>
      <c r="AA77" s="17">
        <v>4</v>
      </c>
      <c r="AB77" s="17">
        <v>2</v>
      </c>
      <c r="AC77" s="17">
        <v>2</v>
      </c>
      <c r="AD77" s="20">
        <v>2</v>
      </c>
      <c r="AE77" s="20">
        <v>0</v>
      </c>
      <c r="AF77" s="20">
        <v>0</v>
      </c>
      <c r="AG77" s="20">
        <v>2</v>
      </c>
      <c r="AH77" s="20">
        <v>0</v>
      </c>
      <c r="AI77" s="20">
        <v>2</v>
      </c>
      <c r="AJ77" s="20">
        <v>2</v>
      </c>
      <c r="AK77" s="20">
        <v>2</v>
      </c>
      <c r="AL77" s="20">
        <v>2</v>
      </c>
      <c r="AM77" s="20">
        <v>0</v>
      </c>
      <c r="AN77" s="21">
        <f t="shared" si="4"/>
        <v>6</v>
      </c>
      <c r="AO77" s="21">
        <v>6</v>
      </c>
      <c r="AP77" s="21">
        <v>4</v>
      </c>
      <c r="AQ77" s="20">
        <v>88</v>
      </c>
      <c r="AR77" s="20" t="s">
        <v>85</v>
      </c>
      <c r="AS77" s="21">
        <f t="shared" si="5"/>
        <v>88</v>
      </c>
    </row>
    <row r="78" spans="1:45" ht="15" customHeight="1">
      <c r="A78" s="17">
        <v>77</v>
      </c>
      <c r="B78" s="17"/>
      <c r="C78" s="18"/>
      <c r="D78" s="17">
        <v>1</v>
      </c>
      <c r="E78" s="17">
        <v>63</v>
      </c>
      <c r="F78" s="19">
        <f t="shared" si="3"/>
        <v>0</v>
      </c>
      <c r="G78" s="17">
        <v>2</v>
      </c>
      <c r="H78" s="17">
        <v>3</v>
      </c>
      <c r="I78" s="17">
        <v>2</v>
      </c>
      <c r="J78" s="17">
        <v>2</v>
      </c>
      <c r="K78" s="17">
        <v>1</v>
      </c>
      <c r="L78" s="17">
        <v>0</v>
      </c>
      <c r="M78" s="17">
        <v>0</v>
      </c>
      <c r="N78" s="17">
        <v>1</v>
      </c>
      <c r="O78" s="17">
        <v>1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 t="s">
        <v>88</v>
      </c>
      <c r="W78" s="17">
        <v>4</v>
      </c>
      <c r="X78" s="17">
        <v>2</v>
      </c>
      <c r="Y78" s="17">
        <v>2</v>
      </c>
      <c r="Z78" s="17">
        <v>0</v>
      </c>
      <c r="AA78" s="17">
        <v>2</v>
      </c>
      <c r="AB78" s="17">
        <v>2</v>
      </c>
      <c r="AC78" s="17">
        <v>0</v>
      </c>
      <c r="AD78" s="20">
        <v>2</v>
      </c>
      <c r="AE78" s="20">
        <v>2</v>
      </c>
      <c r="AF78" s="20">
        <v>2</v>
      </c>
      <c r="AG78" s="20">
        <v>4</v>
      </c>
      <c r="AH78" s="20">
        <v>2</v>
      </c>
      <c r="AI78" s="20">
        <v>2</v>
      </c>
      <c r="AJ78" s="20">
        <v>2</v>
      </c>
      <c r="AK78" s="20">
        <v>2</v>
      </c>
      <c r="AL78" s="20">
        <v>2</v>
      </c>
      <c r="AM78" s="20">
        <v>0</v>
      </c>
      <c r="AN78" s="21">
        <f t="shared" si="4"/>
        <v>4</v>
      </c>
      <c r="AO78" s="21">
        <v>14</v>
      </c>
      <c r="AP78" s="21">
        <v>4</v>
      </c>
      <c r="AQ78" s="20">
        <v>91</v>
      </c>
      <c r="AR78" s="20" t="s">
        <v>85</v>
      </c>
      <c r="AS78" s="21">
        <f t="shared" si="5"/>
        <v>91</v>
      </c>
    </row>
    <row r="79" spans="1:45" ht="15" customHeight="1">
      <c r="A79" s="17">
        <v>78</v>
      </c>
      <c r="B79" s="17"/>
      <c r="C79" s="18"/>
      <c r="D79" s="17">
        <v>1</v>
      </c>
      <c r="E79" s="17">
        <v>62</v>
      </c>
      <c r="F79" s="19">
        <f t="shared" si="3"/>
        <v>0</v>
      </c>
      <c r="G79" s="17">
        <v>2</v>
      </c>
      <c r="H79" s="17">
        <v>2</v>
      </c>
      <c r="I79" s="17">
        <v>2</v>
      </c>
      <c r="J79" s="17">
        <v>1</v>
      </c>
      <c r="K79" s="17">
        <v>1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1</v>
      </c>
      <c r="S79" s="17">
        <v>0</v>
      </c>
      <c r="T79" s="17">
        <v>0</v>
      </c>
      <c r="U79" s="17">
        <v>0</v>
      </c>
      <c r="V79" s="17"/>
      <c r="W79" s="17">
        <v>4</v>
      </c>
      <c r="X79" s="17">
        <v>0</v>
      </c>
      <c r="Y79" s="17">
        <v>2</v>
      </c>
      <c r="Z79" s="17">
        <v>2</v>
      </c>
      <c r="AA79" s="17">
        <v>4</v>
      </c>
      <c r="AB79" s="17">
        <v>2</v>
      </c>
      <c r="AC79" s="17">
        <v>2</v>
      </c>
      <c r="AD79" s="20">
        <v>2</v>
      </c>
      <c r="AE79" s="20">
        <v>0</v>
      </c>
      <c r="AF79" s="20">
        <v>2</v>
      </c>
      <c r="AG79" s="20">
        <v>0</v>
      </c>
      <c r="AH79" s="20">
        <v>0</v>
      </c>
      <c r="AI79" s="20">
        <v>2</v>
      </c>
      <c r="AJ79" s="20">
        <v>2</v>
      </c>
      <c r="AK79" s="20">
        <v>2</v>
      </c>
      <c r="AL79" s="20">
        <v>2</v>
      </c>
      <c r="AM79" s="20">
        <v>0</v>
      </c>
      <c r="AN79" s="21">
        <f t="shared" si="4"/>
        <v>6</v>
      </c>
      <c r="AO79" s="21">
        <v>6</v>
      </c>
      <c r="AP79" s="21">
        <v>4</v>
      </c>
      <c r="AQ79" s="20">
        <v>92</v>
      </c>
      <c r="AR79" s="20" t="s">
        <v>85</v>
      </c>
      <c r="AS79" s="21">
        <f t="shared" si="5"/>
        <v>92</v>
      </c>
    </row>
    <row r="80" spans="1:45" ht="15" customHeight="1">
      <c r="A80" s="17">
        <v>79</v>
      </c>
      <c r="B80" s="17"/>
      <c r="C80" s="18"/>
      <c r="D80" s="17">
        <v>1</v>
      </c>
      <c r="E80" s="17">
        <v>64</v>
      </c>
      <c r="F80" s="19">
        <f t="shared" si="3"/>
        <v>0</v>
      </c>
      <c r="G80" s="17">
        <v>2</v>
      </c>
      <c r="H80" s="17">
        <v>1</v>
      </c>
      <c r="I80" s="17">
        <v>1</v>
      </c>
      <c r="J80" s="17">
        <v>1</v>
      </c>
      <c r="K80" s="17">
        <v>1</v>
      </c>
      <c r="L80" s="17">
        <v>0</v>
      </c>
      <c r="M80" s="17">
        <v>0</v>
      </c>
      <c r="N80" s="17">
        <v>0</v>
      </c>
      <c r="O80" s="17">
        <v>0</v>
      </c>
      <c r="P80" s="17">
        <v>1</v>
      </c>
      <c r="Q80" s="17">
        <v>1</v>
      </c>
      <c r="R80" s="17">
        <v>1</v>
      </c>
      <c r="S80" s="17">
        <v>0</v>
      </c>
      <c r="T80" s="17">
        <v>0</v>
      </c>
      <c r="U80" s="17">
        <v>0</v>
      </c>
      <c r="V80" s="17"/>
      <c r="W80" s="17">
        <v>4</v>
      </c>
      <c r="X80" s="17">
        <v>4</v>
      </c>
      <c r="Y80" s="17">
        <v>2</v>
      </c>
      <c r="Z80" s="17">
        <v>2</v>
      </c>
      <c r="AA80" s="17">
        <v>4</v>
      </c>
      <c r="AB80" s="17">
        <v>2</v>
      </c>
      <c r="AC80" s="17">
        <v>2</v>
      </c>
      <c r="AD80" s="20">
        <v>2</v>
      </c>
      <c r="AE80" s="20">
        <v>0</v>
      </c>
      <c r="AF80" s="20">
        <v>2</v>
      </c>
      <c r="AG80" s="20">
        <v>2</v>
      </c>
      <c r="AH80" s="20">
        <v>0</v>
      </c>
      <c r="AI80" s="20">
        <v>2</v>
      </c>
      <c r="AJ80" s="20">
        <v>2</v>
      </c>
      <c r="AK80" s="20">
        <v>4</v>
      </c>
      <c r="AL80" s="20">
        <v>4</v>
      </c>
      <c r="AM80" s="20">
        <v>0</v>
      </c>
      <c r="AN80" s="21">
        <f t="shared" si="4"/>
        <v>6</v>
      </c>
      <c r="AO80" s="21">
        <v>8</v>
      </c>
      <c r="AP80" s="21">
        <v>8</v>
      </c>
      <c r="AQ80" s="20">
        <v>95</v>
      </c>
      <c r="AR80" s="20" t="s">
        <v>85</v>
      </c>
      <c r="AS80" s="21">
        <f t="shared" si="5"/>
        <v>95</v>
      </c>
    </row>
    <row r="81" spans="1:45" ht="15" customHeight="1">
      <c r="A81" s="17">
        <v>80</v>
      </c>
      <c r="B81" s="17"/>
      <c r="C81" s="18"/>
      <c r="D81" s="17">
        <v>1</v>
      </c>
      <c r="E81" s="17">
        <v>62</v>
      </c>
      <c r="F81" s="19">
        <f t="shared" si="3"/>
        <v>0</v>
      </c>
      <c r="G81" s="17">
        <v>1</v>
      </c>
      <c r="H81" s="17">
        <v>2</v>
      </c>
      <c r="I81" s="17">
        <v>1</v>
      </c>
      <c r="J81" s="17">
        <v>1</v>
      </c>
      <c r="K81" s="17">
        <v>1</v>
      </c>
      <c r="L81" s="17">
        <v>0</v>
      </c>
      <c r="M81" s="17">
        <v>0</v>
      </c>
      <c r="N81" s="17">
        <v>0</v>
      </c>
      <c r="O81" s="17">
        <v>0</v>
      </c>
      <c r="P81" s="17">
        <v>1</v>
      </c>
      <c r="Q81" s="17">
        <v>1</v>
      </c>
      <c r="R81" s="17">
        <v>0</v>
      </c>
      <c r="S81" s="17">
        <v>0</v>
      </c>
      <c r="T81" s="17">
        <v>0</v>
      </c>
      <c r="U81" s="17">
        <v>1</v>
      </c>
      <c r="V81" s="17" t="s">
        <v>84</v>
      </c>
      <c r="W81" s="17">
        <v>4</v>
      </c>
      <c r="X81" s="17">
        <v>4</v>
      </c>
      <c r="Y81" s="17">
        <v>2</v>
      </c>
      <c r="Z81" s="17">
        <v>2</v>
      </c>
      <c r="AA81" s="17">
        <v>4</v>
      </c>
      <c r="AB81" s="17">
        <v>2</v>
      </c>
      <c r="AC81" s="17">
        <v>0</v>
      </c>
      <c r="AD81" s="20">
        <v>2</v>
      </c>
      <c r="AE81" s="20">
        <v>0</v>
      </c>
      <c r="AF81" s="20">
        <v>4</v>
      </c>
      <c r="AG81" s="20">
        <v>4</v>
      </c>
      <c r="AH81" s="20">
        <v>2</v>
      </c>
      <c r="AI81" s="20">
        <v>2</v>
      </c>
      <c r="AJ81" s="20">
        <v>2</v>
      </c>
      <c r="AK81" s="20">
        <v>2</v>
      </c>
      <c r="AL81" s="20">
        <v>2</v>
      </c>
      <c r="AM81" s="20">
        <v>4</v>
      </c>
      <c r="AN81" s="21">
        <f t="shared" si="4"/>
        <v>4</v>
      </c>
      <c r="AO81" s="21">
        <v>14</v>
      </c>
      <c r="AP81" s="21">
        <v>8</v>
      </c>
      <c r="AQ81" s="20">
        <v>118</v>
      </c>
      <c r="AR81" s="20" t="s">
        <v>85</v>
      </c>
      <c r="AS81" s="21">
        <f t="shared" si="5"/>
        <v>118</v>
      </c>
    </row>
    <row r="82" spans="1:45" ht="15" customHeight="1">
      <c r="A82" s="17">
        <v>81</v>
      </c>
      <c r="B82" s="17"/>
      <c r="C82" s="18"/>
      <c r="D82" s="17">
        <v>1</v>
      </c>
      <c r="E82" s="17">
        <v>63</v>
      </c>
      <c r="F82" s="19">
        <f t="shared" si="3"/>
        <v>0</v>
      </c>
      <c r="G82" s="17">
        <v>2</v>
      </c>
      <c r="H82" s="17">
        <v>3</v>
      </c>
      <c r="I82" s="17">
        <v>1</v>
      </c>
      <c r="J82" s="17">
        <v>2</v>
      </c>
      <c r="K82" s="17">
        <v>1</v>
      </c>
      <c r="L82" s="17">
        <v>0</v>
      </c>
      <c r="M82" s="17">
        <v>0</v>
      </c>
      <c r="N82" s="17">
        <v>0</v>
      </c>
      <c r="O82" s="17">
        <v>1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 t="s">
        <v>88</v>
      </c>
      <c r="W82" s="17">
        <v>4</v>
      </c>
      <c r="X82" s="17">
        <v>4</v>
      </c>
      <c r="Y82" s="17">
        <v>2</v>
      </c>
      <c r="Z82" s="17">
        <v>2</v>
      </c>
      <c r="AA82" s="17">
        <v>2</v>
      </c>
      <c r="AB82" s="17">
        <v>2</v>
      </c>
      <c r="AC82" s="17">
        <v>2</v>
      </c>
      <c r="AD82" s="20">
        <v>2</v>
      </c>
      <c r="AE82" s="20">
        <v>0</v>
      </c>
      <c r="AF82" s="20">
        <v>2</v>
      </c>
      <c r="AG82" s="20">
        <v>2</v>
      </c>
      <c r="AH82" s="20">
        <v>2</v>
      </c>
      <c r="AI82" s="20">
        <v>2</v>
      </c>
      <c r="AJ82" s="20">
        <v>2</v>
      </c>
      <c r="AK82" s="20">
        <v>2</v>
      </c>
      <c r="AL82" s="20">
        <v>2</v>
      </c>
      <c r="AM82" s="20">
        <v>0</v>
      </c>
      <c r="AN82" s="21">
        <f t="shared" si="4"/>
        <v>6</v>
      </c>
      <c r="AO82" s="21">
        <v>10</v>
      </c>
      <c r="AP82" s="21">
        <v>4</v>
      </c>
      <c r="AQ82" s="20">
        <v>79</v>
      </c>
      <c r="AR82" s="20" t="s">
        <v>85</v>
      </c>
      <c r="AS82" s="21">
        <f t="shared" si="5"/>
        <v>79</v>
      </c>
    </row>
    <row r="83" spans="1:45" ht="15" customHeight="1">
      <c r="A83" s="17">
        <v>82</v>
      </c>
      <c r="B83" s="17"/>
      <c r="C83" s="18"/>
      <c r="D83" s="17">
        <v>1</v>
      </c>
      <c r="E83" s="17">
        <v>65</v>
      </c>
      <c r="F83" s="19">
        <f t="shared" si="3"/>
        <v>0</v>
      </c>
      <c r="G83" s="17">
        <v>2</v>
      </c>
      <c r="H83" s="17">
        <v>3</v>
      </c>
      <c r="I83" s="17">
        <v>2</v>
      </c>
      <c r="J83" s="17">
        <v>2</v>
      </c>
      <c r="K83" s="17">
        <v>1</v>
      </c>
      <c r="L83" s="17">
        <v>0</v>
      </c>
      <c r="M83" s="17">
        <v>1</v>
      </c>
      <c r="N83" s="17">
        <v>1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 t="s">
        <v>88</v>
      </c>
      <c r="W83" s="17">
        <v>4</v>
      </c>
      <c r="X83" s="17">
        <v>2</v>
      </c>
      <c r="Y83" s="17">
        <v>2</v>
      </c>
      <c r="Z83" s="17">
        <v>2</v>
      </c>
      <c r="AA83" s="17">
        <v>2</v>
      </c>
      <c r="AB83" s="17">
        <v>2</v>
      </c>
      <c r="AC83" s="17">
        <v>2</v>
      </c>
      <c r="AD83" s="20">
        <v>2</v>
      </c>
      <c r="AE83" s="20">
        <v>0</v>
      </c>
      <c r="AF83" s="20">
        <v>2</v>
      </c>
      <c r="AG83" s="20">
        <v>2</v>
      </c>
      <c r="AH83" s="20">
        <v>4</v>
      </c>
      <c r="AI83" s="20">
        <v>2</v>
      </c>
      <c r="AJ83" s="20">
        <v>2</v>
      </c>
      <c r="AK83" s="20">
        <v>2</v>
      </c>
      <c r="AL83" s="20">
        <v>2</v>
      </c>
      <c r="AM83" s="20">
        <v>0</v>
      </c>
      <c r="AN83" s="21">
        <f t="shared" si="4"/>
        <v>6</v>
      </c>
      <c r="AO83" s="21">
        <v>12</v>
      </c>
      <c r="AP83" s="21">
        <v>4</v>
      </c>
      <c r="AQ83" s="20">
        <v>63.5</v>
      </c>
      <c r="AR83" s="20" t="s">
        <v>85</v>
      </c>
      <c r="AS83" s="21">
        <f t="shared" si="5"/>
        <v>63.5</v>
      </c>
    </row>
    <row r="84" spans="1:45" ht="15" customHeight="1">
      <c r="A84" s="17">
        <v>83</v>
      </c>
      <c r="B84" s="17"/>
      <c r="C84" s="18"/>
      <c r="D84" s="17">
        <v>1</v>
      </c>
      <c r="E84" s="17">
        <v>67</v>
      </c>
      <c r="F84" s="19">
        <f t="shared" si="3"/>
        <v>0</v>
      </c>
      <c r="G84" s="17">
        <v>1</v>
      </c>
      <c r="H84" s="17">
        <v>1</v>
      </c>
      <c r="I84" s="17">
        <v>2</v>
      </c>
      <c r="J84" s="17">
        <v>1</v>
      </c>
      <c r="K84" s="17">
        <v>1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1</v>
      </c>
      <c r="R84" s="17">
        <v>0</v>
      </c>
      <c r="S84" s="17">
        <v>0</v>
      </c>
      <c r="T84" s="17">
        <v>0</v>
      </c>
      <c r="U84" s="17">
        <v>0</v>
      </c>
      <c r="V84" s="17"/>
      <c r="W84" s="17">
        <v>4</v>
      </c>
      <c r="X84" s="17">
        <v>4</v>
      </c>
      <c r="Y84" s="17">
        <v>2</v>
      </c>
      <c r="Z84" s="17">
        <v>2</v>
      </c>
      <c r="AA84" s="17">
        <v>4</v>
      </c>
      <c r="AB84" s="17">
        <v>2</v>
      </c>
      <c r="AC84" s="17">
        <v>0</v>
      </c>
      <c r="AD84" s="20">
        <v>2</v>
      </c>
      <c r="AE84" s="20">
        <v>0</v>
      </c>
      <c r="AF84" s="20">
        <v>2</v>
      </c>
      <c r="AG84" s="20">
        <v>2</v>
      </c>
      <c r="AH84" s="20">
        <v>0</v>
      </c>
      <c r="AI84" s="20">
        <v>2</v>
      </c>
      <c r="AJ84" s="20">
        <v>2</v>
      </c>
      <c r="AK84" s="20">
        <v>2</v>
      </c>
      <c r="AL84" s="20">
        <v>4</v>
      </c>
      <c r="AM84" s="20">
        <v>0</v>
      </c>
      <c r="AN84" s="21">
        <f t="shared" si="4"/>
        <v>4</v>
      </c>
      <c r="AO84" s="21">
        <v>8</v>
      </c>
      <c r="AP84" s="21">
        <v>6</v>
      </c>
      <c r="AQ84" s="20">
        <v>103</v>
      </c>
      <c r="AR84" s="20" t="s">
        <v>85</v>
      </c>
      <c r="AS84" s="21">
        <f t="shared" si="5"/>
        <v>103</v>
      </c>
    </row>
    <row r="85" spans="1:45" ht="15" customHeight="1">
      <c r="A85" s="17">
        <v>84</v>
      </c>
      <c r="B85" s="17"/>
      <c r="C85" s="18"/>
      <c r="D85" s="17">
        <v>1</v>
      </c>
      <c r="E85" s="17">
        <v>65</v>
      </c>
      <c r="F85" s="19">
        <f t="shared" si="3"/>
        <v>0</v>
      </c>
      <c r="G85" s="17">
        <v>2</v>
      </c>
      <c r="H85" s="17">
        <v>1</v>
      </c>
      <c r="I85" s="17">
        <v>3</v>
      </c>
      <c r="J85" s="17">
        <v>2</v>
      </c>
      <c r="K85" s="17">
        <v>1</v>
      </c>
      <c r="L85" s="17">
        <v>0</v>
      </c>
      <c r="M85" s="17">
        <v>0</v>
      </c>
      <c r="N85" s="17">
        <v>1</v>
      </c>
      <c r="O85" s="17">
        <v>1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 t="s">
        <v>88</v>
      </c>
      <c r="W85" s="17">
        <v>4</v>
      </c>
      <c r="X85" s="17">
        <v>2</v>
      </c>
      <c r="Y85" s="17">
        <v>2</v>
      </c>
      <c r="Z85" s="17">
        <v>0</v>
      </c>
      <c r="AA85" s="17">
        <v>2</v>
      </c>
      <c r="AB85" s="17">
        <v>2</v>
      </c>
      <c r="AC85" s="17">
        <v>0</v>
      </c>
      <c r="AD85" s="20">
        <v>2</v>
      </c>
      <c r="AE85" s="20">
        <v>0</v>
      </c>
      <c r="AF85" s="20">
        <v>0</v>
      </c>
      <c r="AG85" s="20">
        <v>2</v>
      </c>
      <c r="AH85" s="20">
        <v>0</v>
      </c>
      <c r="AI85" s="20">
        <v>0</v>
      </c>
      <c r="AJ85" s="20">
        <v>2</v>
      </c>
      <c r="AK85" s="20">
        <v>2</v>
      </c>
      <c r="AL85" s="20">
        <v>2</v>
      </c>
      <c r="AM85" s="20">
        <v>0</v>
      </c>
      <c r="AN85" s="21">
        <f t="shared" si="4"/>
        <v>4</v>
      </c>
      <c r="AO85" s="21">
        <v>4</v>
      </c>
      <c r="AP85" s="21">
        <v>4</v>
      </c>
      <c r="AQ85" s="20">
        <v>71</v>
      </c>
      <c r="AR85" s="20" t="s">
        <v>85</v>
      </c>
      <c r="AS85" s="21">
        <f t="shared" si="5"/>
        <v>71</v>
      </c>
    </row>
    <row r="86" spans="1:45" ht="15" customHeight="1">
      <c r="A86" s="17">
        <v>85</v>
      </c>
      <c r="B86" s="17"/>
      <c r="C86" s="18"/>
      <c r="D86" s="17">
        <v>1</v>
      </c>
      <c r="E86" s="17">
        <v>69</v>
      </c>
      <c r="F86" s="19">
        <f t="shared" si="3"/>
        <v>0</v>
      </c>
      <c r="G86" s="17">
        <v>2</v>
      </c>
      <c r="H86" s="17">
        <v>1</v>
      </c>
      <c r="I86" s="17">
        <v>3</v>
      </c>
      <c r="J86" s="17">
        <v>2</v>
      </c>
      <c r="K86" s="17">
        <v>1</v>
      </c>
      <c r="L86" s="17">
        <v>0</v>
      </c>
      <c r="M86" s="17">
        <v>0</v>
      </c>
      <c r="N86" s="17">
        <v>1</v>
      </c>
      <c r="O86" s="17">
        <v>0</v>
      </c>
      <c r="P86" s="17">
        <v>0</v>
      </c>
      <c r="Q86" s="17">
        <v>0</v>
      </c>
      <c r="R86" s="17">
        <v>1</v>
      </c>
      <c r="S86" s="17">
        <v>0</v>
      </c>
      <c r="T86" s="17">
        <v>0</v>
      </c>
      <c r="U86" s="17">
        <v>0</v>
      </c>
      <c r="V86" s="17"/>
      <c r="W86" s="17">
        <v>1</v>
      </c>
      <c r="X86" s="17">
        <v>2</v>
      </c>
      <c r="Y86" s="17">
        <v>2</v>
      </c>
      <c r="Z86" s="17">
        <v>2</v>
      </c>
      <c r="AA86" s="17">
        <v>4</v>
      </c>
      <c r="AB86" s="17">
        <v>2</v>
      </c>
      <c r="AC86" s="17">
        <v>2</v>
      </c>
      <c r="AD86" s="20">
        <v>2</v>
      </c>
      <c r="AE86" s="20">
        <v>2</v>
      </c>
      <c r="AF86" s="20">
        <v>2</v>
      </c>
      <c r="AG86" s="20">
        <v>2</v>
      </c>
      <c r="AH86" s="20">
        <v>2</v>
      </c>
      <c r="AI86" s="20">
        <v>2</v>
      </c>
      <c r="AJ86" s="20">
        <v>2</v>
      </c>
      <c r="AK86" s="20">
        <v>2</v>
      </c>
      <c r="AL86" s="20">
        <v>2</v>
      </c>
      <c r="AM86" s="20">
        <v>2</v>
      </c>
      <c r="AN86" s="21">
        <f t="shared" si="4"/>
        <v>6</v>
      </c>
      <c r="AO86" s="21">
        <v>12</v>
      </c>
      <c r="AP86" s="21">
        <v>6</v>
      </c>
      <c r="AQ86" s="20">
        <v>86</v>
      </c>
      <c r="AR86" s="20" t="s">
        <v>85</v>
      </c>
      <c r="AS86" s="21">
        <f t="shared" si="5"/>
        <v>86</v>
      </c>
    </row>
    <row r="87" spans="1:45" ht="15" customHeight="1">
      <c r="A87" s="17">
        <v>86</v>
      </c>
      <c r="B87" s="17"/>
      <c r="C87" s="18"/>
      <c r="D87" s="17">
        <v>1</v>
      </c>
      <c r="E87" s="17">
        <v>62</v>
      </c>
      <c r="F87" s="19">
        <f t="shared" si="3"/>
        <v>0</v>
      </c>
      <c r="G87" s="17">
        <v>2</v>
      </c>
      <c r="H87" s="17">
        <v>3</v>
      </c>
      <c r="I87" s="17">
        <v>2</v>
      </c>
      <c r="J87" s="17">
        <v>3</v>
      </c>
      <c r="K87" s="17">
        <v>1</v>
      </c>
      <c r="L87" s="17">
        <v>0</v>
      </c>
      <c r="M87" s="17">
        <v>0</v>
      </c>
      <c r="N87" s="17">
        <v>1</v>
      </c>
      <c r="O87" s="17">
        <v>1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 t="s">
        <v>88</v>
      </c>
      <c r="W87" s="17">
        <v>2</v>
      </c>
      <c r="X87" s="17">
        <v>2</v>
      </c>
      <c r="Y87" s="17">
        <v>2</v>
      </c>
      <c r="Z87" s="17">
        <v>2</v>
      </c>
      <c r="AA87" s="17">
        <v>2</v>
      </c>
      <c r="AB87" s="17">
        <v>2</v>
      </c>
      <c r="AC87" s="17">
        <v>2</v>
      </c>
      <c r="AD87" s="20">
        <v>2</v>
      </c>
      <c r="AE87" s="20">
        <v>0</v>
      </c>
      <c r="AF87" s="20">
        <v>4</v>
      </c>
      <c r="AG87" s="20">
        <v>2</v>
      </c>
      <c r="AH87" s="20">
        <v>2</v>
      </c>
      <c r="AI87" s="20">
        <v>2</v>
      </c>
      <c r="AJ87" s="20">
        <v>2</v>
      </c>
      <c r="AK87" s="20">
        <v>2</v>
      </c>
      <c r="AL87" s="20">
        <v>2</v>
      </c>
      <c r="AM87" s="20">
        <v>0</v>
      </c>
      <c r="AN87" s="21">
        <f t="shared" si="4"/>
        <v>6</v>
      </c>
      <c r="AO87" s="21">
        <v>12</v>
      </c>
      <c r="AP87" s="21">
        <v>4</v>
      </c>
      <c r="AQ87" s="20">
        <v>82</v>
      </c>
      <c r="AR87" s="20" t="s">
        <v>85</v>
      </c>
      <c r="AS87" s="21">
        <f t="shared" si="5"/>
        <v>82</v>
      </c>
    </row>
    <row r="88" spans="1:45" ht="15" customHeight="1">
      <c r="A88" s="17">
        <v>87</v>
      </c>
      <c r="B88" s="17"/>
      <c r="C88" s="18"/>
      <c r="D88" s="17">
        <v>1</v>
      </c>
      <c r="E88" s="17">
        <v>68</v>
      </c>
      <c r="F88" s="19">
        <f t="shared" si="3"/>
        <v>0</v>
      </c>
      <c r="G88" s="17">
        <v>1</v>
      </c>
      <c r="H88" s="17">
        <v>1</v>
      </c>
      <c r="I88" s="17">
        <v>2</v>
      </c>
      <c r="J88" s="17">
        <v>1</v>
      </c>
      <c r="K88" s="17">
        <v>1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1</v>
      </c>
      <c r="R88" s="17">
        <v>0</v>
      </c>
      <c r="S88" s="17">
        <v>0</v>
      </c>
      <c r="T88" s="17">
        <v>0</v>
      </c>
      <c r="U88" s="17">
        <v>1</v>
      </c>
      <c r="V88" s="17" t="s">
        <v>84</v>
      </c>
      <c r="W88" s="17">
        <v>4</v>
      </c>
      <c r="X88" s="17">
        <v>2</v>
      </c>
      <c r="Y88" s="17">
        <v>2</v>
      </c>
      <c r="Z88" s="17">
        <v>2</v>
      </c>
      <c r="AA88" s="17">
        <v>4</v>
      </c>
      <c r="AB88" s="17">
        <v>2</v>
      </c>
      <c r="AC88" s="17">
        <v>2</v>
      </c>
      <c r="AD88" s="20">
        <v>2</v>
      </c>
      <c r="AE88" s="20">
        <v>2</v>
      </c>
      <c r="AF88" s="20">
        <v>2</v>
      </c>
      <c r="AG88" s="20">
        <v>2</v>
      </c>
      <c r="AH88" s="20">
        <v>2</v>
      </c>
      <c r="AI88" s="20">
        <v>2</v>
      </c>
      <c r="AJ88" s="20">
        <v>2</v>
      </c>
      <c r="AK88" s="20">
        <v>2</v>
      </c>
      <c r="AL88" s="20">
        <v>4</v>
      </c>
      <c r="AM88" s="20">
        <v>0</v>
      </c>
      <c r="AN88" s="21">
        <f t="shared" si="4"/>
        <v>6</v>
      </c>
      <c r="AO88" s="21">
        <v>12</v>
      </c>
      <c r="AP88" s="21">
        <v>6</v>
      </c>
      <c r="AQ88" s="20">
        <v>90</v>
      </c>
      <c r="AR88" s="20" t="s">
        <v>85</v>
      </c>
      <c r="AS88" s="21">
        <f t="shared" si="5"/>
        <v>90</v>
      </c>
    </row>
    <row r="89" spans="1:45" ht="15" customHeight="1">
      <c r="A89" s="17">
        <v>88</v>
      </c>
      <c r="B89" s="17"/>
      <c r="C89" s="18"/>
      <c r="D89" s="17">
        <v>1</v>
      </c>
      <c r="E89" s="17">
        <v>63</v>
      </c>
      <c r="F89" s="19">
        <f t="shared" si="3"/>
        <v>0</v>
      </c>
      <c r="G89" s="17">
        <v>2</v>
      </c>
      <c r="H89" s="17">
        <v>1</v>
      </c>
      <c r="I89" s="17">
        <v>2</v>
      </c>
      <c r="J89" s="17">
        <v>1</v>
      </c>
      <c r="K89" s="17">
        <v>1</v>
      </c>
      <c r="L89" s="17">
        <v>0</v>
      </c>
      <c r="M89" s="17">
        <v>0</v>
      </c>
      <c r="N89" s="17">
        <v>1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 t="s">
        <v>88</v>
      </c>
      <c r="W89" s="17">
        <v>2</v>
      </c>
      <c r="X89" s="17">
        <v>2</v>
      </c>
      <c r="Y89" s="17">
        <v>2</v>
      </c>
      <c r="Z89" s="17">
        <v>2</v>
      </c>
      <c r="AA89" s="17">
        <v>2</v>
      </c>
      <c r="AB89" s="17">
        <v>2</v>
      </c>
      <c r="AC89" s="17">
        <v>2</v>
      </c>
      <c r="AD89" s="20">
        <v>2</v>
      </c>
      <c r="AE89" s="20">
        <v>4</v>
      </c>
      <c r="AF89" s="20">
        <v>2</v>
      </c>
      <c r="AG89" s="20">
        <v>0</v>
      </c>
      <c r="AH89" s="20">
        <v>0</v>
      </c>
      <c r="AI89" s="20">
        <v>2</v>
      </c>
      <c r="AJ89" s="20">
        <v>2</v>
      </c>
      <c r="AK89" s="20">
        <v>2</v>
      </c>
      <c r="AL89" s="20">
        <v>2</v>
      </c>
      <c r="AM89" s="20">
        <v>2</v>
      </c>
      <c r="AN89" s="21">
        <f t="shared" si="4"/>
        <v>6</v>
      </c>
      <c r="AO89" s="21">
        <v>10</v>
      </c>
      <c r="AP89" s="21">
        <v>6</v>
      </c>
      <c r="AQ89" s="20">
        <v>83</v>
      </c>
      <c r="AR89" s="20" t="s">
        <v>85</v>
      </c>
      <c r="AS89" s="21">
        <f t="shared" si="5"/>
        <v>83</v>
      </c>
    </row>
    <row r="90" spans="1:45" ht="15" customHeight="1">
      <c r="A90" s="17">
        <v>89</v>
      </c>
      <c r="B90" s="17"/>
      <c r="C90" s="18"/>
      <c r="D90" s="17">
        <v>1</v>
      </c>
      <c r="E90" s="17">
        <v>67</v>
      </c>
      <c r="F90" s="19">
        <f t="shared" si="3"/>
        <v>0</v>
      </c>
      <c r="G90" s="17">
        <v>1</v>
      </c>
      <c r="H90" s="17">
        <v>1</v>
      </c>
      <c r="I90" s="17">
        <v>2</v>
      </c>
      <c r="J90" s="17">
        <v>1</v>
      </c>
      <c r="K90" s="17">
        <v>1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 t="s">
        <v>88</v>
      </c>
      <c r="W90" s="17">
        <v>2</v>
      </c>
      <c r="X90" s="17">
        <v>2</v>
      </c>
      <c r="Y90" s="17">
        <v>2</v>
      </c>
      <c r="Z90" s="17">
        <v>2</v>
      </c>
      <c r="AA90" s="17">
        <v>2</v>
      </c>
      <c r="AB90" s="17">
        <v>2</v>
      </c>
      <c r="AC90" s="17">
        <v>2</v>
      </c>
      <c r="AD90" s="20">
        <v>2</v>
      </c>
      <c r="AE90" s="20">
        <v>4</v>
      </c>
      <c r="AF90" s="20">
        <v>2</v>
      </c>
      <c r="AG90" s="20">
        <v>0</v>
      </c>
      <c r="AH90" s="20">
        <v>2</v>
      </c>
      <c r="AI90" s="20">
        <v>2</v>
      </c>
      <c r="AJ90" s="20">
        <v>0</v>
      </c>
      <c r="AK90" s="20">
        <v>2</v>
      </c>
      <c r="AL90" s="20">
        <v>2</v>
      </c>
      <c r="AM90" s="20">
        <v>0</v>
      </c>
      <c r="AN90" s="21">
        <f t="shared" si="4"/>
        <v>6</v>
      </c>
      <c r="AO90" s="21">
        <v>10</v>
      </c>
      <c r="AP90" s="21">
        <v>4</v>
      </c>
      <c r="AQ90" s="20">
        <v>89</v>
      </c>
      <c r="AR90" s="20" t="s">
        <v>85</v>
      </c>
      <c r="AS90" s="21">
        <f t="shared" si="5"/>
        <v>89</v>
      </c>
    </row>
    <row r="91" spans="1:45" ht="15" customHeight="1">
      <c r="A91" s="17">
        <v>90</v>
      </c>
      <c r="B91" s="17"/>
      <c r="C91" s="18"/>
      <c r="D91" s="17">
        <v>1</v>
      </c>
      <c r="E91" s="17">
        <v>62</v>
      </c>
      <c r="F91" s="19">
        <f t="shared" si="3"/>
        <v>0</v>
      </c>
      <c r="G91" s="17">
        <v>1</v>
      </c>
      <c r="H91" s="17">
        <v>3</v>
      </c>
      <c r="I91" s="17">
        <v>2</v>
      </c>
      <c r="J91" s="17">
        <v>1</v>
      </c>
      <c r="K91" s="17">
        <v>1</v>
      </c>
      <c r="L91" s="17">
        <v>0</v>
      </c>
      <c r="M91" s="17">
        <v>0</v>
      </c>
      <c r="N91" s="17">
        <v>0</v>
      </c>
      <c r="O91" s="17">
        <v>1</v>
      </c>
      <c r="P91" s="17">
        <v>0</v>
      </c>
      <c r="Q91" s="17">
        <v>1</v>
      </c>
      <c r="R91" s="17">
        <v>1</v>
      </c>
      <c r="S91" s="17">
        <v>0</v>
      </c>
      <c r="T91" s="17">
        <v>0</v>
      </c>
      <c r="U91" s="17">
        <v>1</v>
      </c>
      <c r="V91" s="17" t="s">
        <v>99</v>
      </c>
      <c r="W91" s="17">
        <v>4</v>
      </c>
      <c r="X91" s="17">
        <v>0</v>
      </c>
      <c r="Y91" s="17">
        <v>0</v>
      </c>
      <c r="Z91" s="17">
        <v>2</v>
      </c>
      <c r="AA91" s="17">
        <v>4</v>
      </c>
      <c r="AB91" s="17">
        <v>2</v>
      </c>
      <c r="AC91" s="17">
        <v>0</v>
      </c>
      <c r="AD91" s="20">
        <v>2</v>
      </c>
      <c r="AE91" s="20">
        <v>0</v>
      </c>
      <c r="AF91" s="20">
        <v>2</v>
      </c>
      <c r="AG91" s="20">
        <v>0</v>
      </c>
      <c r="AH91" s="20">
        <v>0</v>
      </c>
      <c r="AI91" s="20">
        <v>2</v>
      </c>
      <c r="AJ91" s="20">
        <v>2</v>
      </c>
      <c r="AK91" s="20">
        <v>2</v>
      </c>
      <c r="AL91" s="20">
        <v>2</v>
      </c>
      <c r="AM91" s="20">
        <v>2</v>
      </c>
      <c r="AN91" s="21">
        <f t="shared" si="4"/>
        <v>4</v>
      </c>
      <c r="AO91" s="21">
        <v>6</v>
      </c>
      <c r="AP91" s="21">
        <v>6</v>
      </c>
      <c r="AQ91" s="20">
        <v>102</v>
      </c>
      <c r="AR91" s="20" t="s">
        <v>85</v>
      </c>
      <c r="AS91" s="21">
        <f t="shared" si="5"/>
        <v>102</v>
      </c>
    </row>
    <row r="92" spans="1:45" ht="15" customHeight="1">
      <c r="A92" s="17">
        <v>91</v>
      </c>
      <c r="B92" s="17"/>
      <c r="C92" s="18"/>
      <c r="D92" s="17">
        <v>1</v>
      </c>
      <c r="E92" s="17">
        <v>63</v>
      </c>
      <c r="F92" s="19">
        <f t="shared" si="3"/>
        <v>0</v>
      </c>
      <c r="G92" s="17">
        <v>2</v>
      </c>
      <c r="H92" s="17">
        <v>2</v>
      </c>
      <c r="I92" s="17">
        <v>2</v>
      </c>
      <c r="J92" s="17">
        <v>1</v>
      </c>
      <c r="K92" s="17">
        <v>1</v>
      </c>
      <c r="L92" s="17">
        <v>0</v>
      </c>
      <c r="M92" s="17">
        <v>0</v>
      </c>
      <c r="N92" s="17">
        <v>0</v>
      </c>
      <c r="O92" s="17">
        <v>0</v>
      </c>
      <c r="P92" s="17">
        <v>1</v>
      </c>
      <c r="Q92" s="17">
        <v>1</v>
      </c>
      <c r="R92" s="17">
        <v>0</v>
      </c>
      <c r="S92" s="17">
        <v>0</v>
      </c>
      <c r="T92" s="17">
        <v>0</v>
      </c>
      <c r="U92" s="17">
        <v>0</v>
      </c>
      <c r="V92" s="17"/>
      <c r="W92" s="17">
        <v>4</v>
      </c>
      <c r="X92" s="17">
        <v>0</v>
      </c>
      <c r="Y92" s="17">
        <v>2</v>
      </c>
      <c r="Z92" s="17">
        <v>2</v>
      </c>
      <c r="AA92" s="17">
        <v>4</v>
      </c>
      <c r="AB92" s="17">
        <v>2</v>
      </c>
      <c r="AC92" s="17">
        <v>2</v>
      </c>
      <c r="AD92" s="20">
        <v>2</v>
      </c>
      <c r="AE92" s="20">
        <v>0</v>
      </c>
      <c r="AF92" s="20">
        <v>4</v>
      </c>
      <c r="AG92" s="20">
        <v>2</v>
      </c>
      <c r="AH92" s="20">
        <v>2</v>
      </c>
      <c r="AI92" s="20">
        <v>2</v>
      </c>
      <c r="AJ92" s="20">
        <v>2</v>
      </c>
      <c r="AK92" s="20">
        <v>2</v>
      </c>
      <c r="AL92" s="20">
        <v>2</v>
      </c>
      <c r="AM92" s="20">
        <v>0</v>
      </c>
      <c r="AN92" s="21">
        <f t="shared" si="4"/>
        <v>6</v>
      </c>
      <c r="AO92" s="21">
        <v>12</v>
      </c>
      <c r="AP92" s="21">
        <v>4</v>
      </c>
      <c r="AQ92" s="20">
        <v>99</v>
      </c>
      <c r="AR92" s="20" t="s">
        <v>85</v>
      </c>
      <c r="AS92" s="21">
        <f t="shared" si="5"/>
        <v>99</v>
      </c>
    </row>
    <row r="93" spans="1:45" ht="15" customHeight="1">
      <c r="A93" s="17">
        <v>92</v>
      </c>
      <c r="B93" s="17"/>
      <c r="C93" s="18"/>
      <c r="D93" s="17">
        <v>1</v>
      </c>
      <c r="E93" s="17">
        <v>60</v>
      </c>
      <c r="F93" s="19">
        <f t="shared" si="3"/>
        <v>0</v>
      </c>
      <c r="G93" s="17">
        <v>1</v>
      </c>
      <c r="H93" s="17">
        <v>3</v>
      </c>
      <c r="I93" s="17">
        <v>2</v>
      </c>
      <c r="J93" s="17">
        <v>1</v>
      </c>
      <c r="K93" s="17">
        <v>1</v>
      </c>
      <c r="L93" s="17">
        <v>0</v>
      </c>
      <c r="M93" s="17">
        <v>0</v>
      </c>
      <c r="N93" s="17">
        <v>0</v>
      </c>
      <c r="O93" s="17">
        <v>0</v>
      </c>
      <c r="P93" s="17">
        <v>1</v>
      </c>
      <c r="Q93" s="17">
        <v>1</v>
      </c>
      <c r="R93" s="17">
        <v>0</v>
      </c>
      <c r="S93" s="17">
        <v>0</v>
      </c>
      <c r="T93" s="17">
        <v>0</v>
      </c>
      <c r="U93" s="17">
        <v>0</v>
      </c>
      <c r="V93" s="17"/>
      <c r="W93" s="17">
        <v>2</v>
      </c>
      <c r="X93" s="17">
        <v>2</v>
      </c>
      <c r="Y93" s="17">
        <v>2</v>
      </c>
      <c r="Z93" s="17">
        <v>2</v>
      </c>
      <c r="AA93" s="17">
        <v>4</v>
      </c>
      <c r="AB93" s="17">
        <v>2</v>
      </c>
      <c r="AC93" s="17">
        <v>0</v>
      </c>
      <c r="AD93" s="20">
        <v>2</v>
      </c>
      <c r="AE93" s="20">
        <v>0</v>
      </c>
      <c r="AF93" s="20">
        <v>2</v>
      </c>
      <c r="AG93" s="20">
        <v>0</v>
      </c>
      <c r="AH93" s="20">
        <v>2</v>
      </c>
      <c r="AI93" s="20">
        <v>2</v>
      </c>
      <c r="AJ93" s="20">
        <v>0</v>
      </c>
      <c r="AK93" s="20">
        <v>4</v>
      </c>
      <c r="AL93" s="20">
        <v>2</v>
      </c>
      <c r="AM93" s="20">
        <v>0</v>
      </c>
      <c r="AN93" s="21">
        <f t="shared" si="4"/>
        <v>4</v>
      </c>
      <c r="AO93" s="21">
        <v>6</v>
      </c>
      <c r="AP93" s="21">
        <v>6</v>
      </c>
      <c r="AQ93" s="20">
        <v>103</v>
      </c>
      <c r="AR93" s="20" t="s">
        <v>85</v>
      </c>
      <c r="AS93" s="21">
        <f t="shared" si="5"/>
        <v>103</v>
      </c>
    </row>
    <row r="94" spans="1:45" ht="15" customHeight="1">
      <c r="A94" s="17">
        <v>93</v>
      </c>
      <c r="B94" s="17"/>
      <c r="C94" s="18"/>
      <c r="D94" s="17">
        <v>1</v>
      </c>
      <c r="E94" s="17">
        <v>67</v>
      </c>
      <c r="F94" s="19">
        <f t="shared" si="3"/>
        <v>0</v>
      </c>
      <c r="G94" s="17">
        <v>1</v>
      </c>
      <c r="H94" s="17">
        <v>1</v>
      </c>
      <c r="I94" s="17">
        <v>2</v>
      </c>
      <c r="J94" s="17">
        <v>1</v>
      </c>
      <c r="K94" s="17">
        <v>1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1</v>
      </c>
      <c r="R94" s="17">
        <v>1</v>
      </c>
      <c r="S94" s="17">
        <v>0</v>
      </c>
      <c r="T94" s="17">
        <v>0</v>
      </c>
      <c r="U94" s="17">
        <v>1</v>
      </c>
      <c r="V94" s="17" t="s">
        <v>102</v>
      </c>
      <c r="W94" s="17">
        <v>2</v>
      </c>
      <c r="X94" s="17">
        <v>2</v>
      </c>
      <c r="Y94" s="17">
        <v>2</v>
      </c>
      <c r="Z94" s="17">
        <v>2</v>
      </c>
      <c r="AA94" s="17">
        <v>4</v>
      </c>
      <c r="AB94" s="17">
        <v>2</v>
      </c>
      <c r="AC94" s="17">
        <v>2</v>
      </c>
      <c r="AD94" s="20">
        <v>2</v>
      </c>
      <c r="AE94" s="20">
        <v>0</v>
      </c>
      <c r="AF94" s="20">
        <v>2</v>
      </c>
      <c r="AG94" s="20">
        <v>0</v>
      </c>
      <c r="AH94" s="20">
        <v>2</v>
      </c>
      <c r="AI94" s="20">
        <v>2</v>
      </c>
      <c r="AJ94" s="20">
        <v>0</v>
      </c>
      <c r="AK94" s="20">
        <v>2</v>
      </c>
      <c r="AL94" s="20">
        <v>4</v>
      </c>
      <c r="AM94" s="20">
        <v>4</v>
      </c>
      <c r="AN94" s="21">
        <f t="shared" si="4"/>
        <v>6</v>
      </c>
      <c r="AO94" s="21">
        <v>6</v>
      </c>
      <c r="AP94" s="21">
        <v>10</v>
      </c>
      <c r="AQ94" s="20">
        <v>98</v>
      </c>
      <c r="AR94" s="20" t="s">
        <v>85</v>
      </c>
      <c r="AS94" s="21">
        <f t="shared" si="5"/>
        <v>98</v>
      </c>
    </row>
    <row r="95" spans="1:45" ht="15" customHeight="1">
      <c r="A95" s="17">
        <v>94</v>
      </c>
      <c r="B95" s="17"/>
      <c r="C95" s="18"/>
      <c r="D95" s="17">
        <v>1</v>
      </c>
      <c r="E95" s="17">
        <v>74</v>
      </c>
      <c r="F95" s="19">
        <f t="shared" si="3"/>
        <v>1</v>
      </c>
      <c r="G95" s="17">
        <v>2</v>
      </c>
      <c r="H95" s="17">
        <v>2</v>
      </c>
      <c r="I95" s="17">
        <v>1</v>
      </c>
      <c r="J95" s="17">
        <v>1</v>
      </c>
      <c r="K95" s="17">
        <v>1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1</v>
      </c>
      <c r="V95" s="17" t="s">
        <v>103</v>
      </c>
      <c r="W95" s="17">
        <v>1</v>
      </c>
      <c r="X95" s="17">
        <v>2</v>
      </c>
      <c r="Y95" s="17">
        <v>2</v>
      </c>
      <c r="Z95" s="17">
        <v>2</v>
      </c>
      <c r="AA95" s="17">
        <v>4</v>
      </c>
      <c r="AB95" s="17">
        <v>2</v>
      </c>
      <c r="AC95" s="17">
        <v>2</v>
      </c>
      <c r="AD95" s="20">
        <v>2</v>
      </c>
      <c r="AE95" s="20">
        <v>0</v>
      </c>
      <c r="AF95" s="20">
        <v>2</v>
      </c>
      <c r="AG95" s="20">
        <v>2</v>
      </c>
      <c r="AH95" s="20">
        <v>2</v>
      </c>
      <c r="AI95" s="20">
        <v>2</v>
      </c>
      <c r="AJ95" s="20">
        <v>2</v>
      </c>
      <c r="AK95" s="20">
        <v>2</v>
      </c>
      <c r="AL95" s="20">
        <v>2</v>
      </c>
      <c r="AM95" s="20">
        <v>0</v>
      </c>
      <c r="AN95" s="21">
        <f t="shared" si="4"/>
        <v>6</v>
      </c>
      <c r="AO95" s="21">
        <v>10</v>
      </c>
      <c r="AP95" s="21">
        <v>4</v>
      </c>
      <c r="AQ95" s="20">
        <v>70.5</v>
      </c>
      <c r="AR95" s="20" t="s">
        <v>85</v>
      </c>
      <c r="AS95" s="21">
        <f t="shared" si="5"/>
        <v>70.5</v>
      </c>
    </row>
    <row r="96" spans="1:45" ht="15" customHeight="1">
      <c r="A96" s="17">
        <v>95</v>
      </c>
      <c r="B96" s="17"/>
      <c r="C96" s="18"/>
      <c r="D96" s="17">
        <v>1</v>
      </c>
      <c r="E96" s="17">
        <v>73</v>
      </c>
      <c r="F96" s="19">
        <f t="shared" si="3"/>
        <v>1</v>
      </c>
      <c r="G96" s="17">
        <v>2</v>
      </c>
      <c r="H96" s="17">
        <v>2</v>
      </c>
      <c r="I96" s="17">
        <v>3</v>
      </c>
      <c r="J96" s="17">
        <v>1</v>
      </c>
      <c r="K96" s="17">
        <v>1</v>
      </c>
      <c r="L96" s="17">
        <v>0</v>
      </c>
      <c r="M96" s="17">
        <v>0</v>
      </c>
      <c r="N96" s="17">
        <v>0</v>
      </c>
      <c r="O96" s="17">
        <v>0</v>
      </c>
      <c r="P96" s="17">
        <v>1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/>
      <c r="W96" s="17">
        <v>4</v>
      </c>
      <c r="X96" s="17">
        <v>2</v>
      </c>
      <c r="Y96" s="17">
        <v>2</v>
      </c>
      <c r="Z96" s="17">
        <v>2</v>
      </c>
      <c r="AA96" s="17">
        <v>4</v>
      </c>
      <c r="AB96" s="17">
        <v>2</v>
      </c>
      <c r="AC96" s="17">
        <v>2</v>
      </c>
      <c r="AD96" s="20">
        <v>2</v>
      </c>
      <c r="AE96" s="20">
        <v>0</v>
      </c>
      <c r="AF96" s="20">
        <v>0</v>
      </c>
      <c r="AG96" s="20">
        <v>2</v>
      </c>
      <c r="AH96" s="20">
        <v>0</v>
      </c>
      <c r="AI96" s="20">
        <v>2</v>
      </c>
      <c r="AJ96" s="20">
        <v>2</v>
      </c>
      <c r="AK96" s="20">
        <v>2</v>
      </c>
      <c r="AL96" s="20">
        <v>2</v>
      </c>
      <c r="AM96" s="20">
        <v>0</v>
      </c>
      <c r="AN96" s="21">
        <f t="shared" si="4"/>
        <v>6</v>
      </c>
      <c r="AO96" s="21">
        <v>6</v>
      </c>
      <c r="AP96" s="21">
        <v>4</v>
      </c>
      <c r="AQ96" s="20">
        <v>70.5</v>
      </c>
      <c r="AR96" s="20" t="s">
        <v>85</v>
      </c>
      <c r="AS96" s="21">
        <f t="shared" si="5"/>
        <v>70.5</v>
      </c>
    </row>
    <row r="97" spans="1:45" ht="15" customHeight="1">
      <c r="A97" s="17">
        <v>96</v>
      </c>
      <c r="B97" s="17"/>
      <c r="C97" s="18"/>
      <c r="D97" s="17">
        <v>1</v>
      </c>
      <c r="E97" s="17">
        <v>72</v>
      </c>
      <c r="F97" s="19">
        <f t="shared" si="3"/>
        <v>1</v>
      </c>
      <c r="G97" s="17">
        <v>2</v>
      </c>
      <c r="H97" s="17">
        <v>2</v>
      </c>
      <c r="I97" s="17">
        <v>3</v>
      </c>
      <c r="J97" s="17">
        <v>1</v>
      </c>
      <c r="K97" s="17">
        <v>1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1</v>
      </c>
      <c r="S97" s="17">
        <v>0</v>
      </c>
      <c r="T97" s="17">
        <v>0</v>
      </c>
      <c r="U97" s="17">
        <v>0</v>
      </c>
      <c r="V97" s="17"/>
      <c r="W97" s="17">
        <v>1</v>
      </c>
      <c r="X97" s="17">
        <v>2</v>
      </c>
      <c r="Y97" s="17">
        <v>4</v>
      </c>
      <c r="Z97" s="17">
        <v>2</v>
      </c>
      <c r="AA97" s="17">
        <v>4</v>
      </c>
      <c r="AB97" s="17">
        <v>2</v>
      </c>
      <c r="AC97" s="17">
        <v>2</v>
      </c>
      <c r="AD97" s="20">
        <v>2</v>
      </c>
      <c r="AE97" s="20">
        <v>0</v>
      </c>
      <c r="AF97" s="20">
        <v>0</v>
      </c>
      <c r="AG97" s="20">
        <v>0</v>
      </c>
      <c r="AH97" s="20">
        <v>0</v>
      </c>
      <c r="AI97" s="20">
        <v>2</v>
      </c>
      <c r="AJ97" s="20">
        <v>0</v>
      </c>
      <c r="AK97" s="20">
        <v>2</v>
      </c>
      <c r="AL97" s="20">
        <v>2</v>
      </c>
      <c r="AM97" s="20">
        <v>0</v>
      </c>
      <c r="AN97" s="21">
        <f t="shared" si="4"/>
        <v>6</v>
      </c>
      <c r="AO97" s="21">
        <v>2</v>
      </c>
      <c r="AP97" s="21">
        <v>4</v>
      </c>
      <c r="AQ97" s="20">
        <v>68</v>
      </c>
      <c r="AR97" s="20" t="s">
        <v>85</v>
      </c>
      <c r="AS97" s="21">
        <f t="shared" si="5"/>
        <v>68</v>
      </c>
    </row>
    <row r="98" spans="1:45" ht="15" customHeight="1">
      <c r="A98" s="17">
        <v>97</v>
      </c>
      <c r="B98" s="17"/>
      <c r="C98" s="18"/>
      <c r="D98" s="17">
        <v>1</v>
      </c>
      <c r="E98" s="17">
        <v>71</v>
      </c>
      <c r="F98" s="19">
        <f t="shared" si="3"/>
        <v>1</v>
      </c>
      <c r="G98" s="17">
        <v>2</v>
      </c>
      <c r="H98" s="17">
        <v>2</v>
      </c>
      <c r="I98" s="17">
        <v>1</v>
      </c>
      <c r="J98" s="17">
        <v>2</v>
      </c>
      <c r="K98" s="17">
        <v>0</v>
      </c>
      <c r="L98" s="17">
        <v>1</v>
      </c>
      <c r="M98" s="17">
        <v>0</v>
      </c>
      <c r="N98" s="17">
        <v>0</v>
      </c>
      <c r="O98" s="17">
        <v>0</v>
      </c>
      <c r="P98" s="17">
        <v>0</v>
      </c>
      <c r="Q98" s="17">
        <v>1</v>
      </c>
      <c r="R98" s="17">
        <v>0</v>
      </c>
      <c r="S98" s="17">
        <v>0</v>
      </c>
      <c r="T98" s="17">
        <v>0</v>
      </c>
      <c r="U98" s="17">
        <v>0</v>
      </c>
      <c r="V98" s="17"/>
      <c r="W98" s="17">
        <v>4</v>
      </c>
      <c r="X98" s="17">
        <v>2</v>
      </c>
      <c r="Y98" s="17">
        <v>2</v>
      </c>
      <c r="Z98" s="17">
        <v>2</v>
      </c>
      <c r="AA98" s="17">
        <v>4</v>
      </c>
      <c r="AB98" s="17">
        <v>2</v>
      </c>
      <c r="AC98" s="17">
        <v>2</v>
      </c>
      <c r="AD98" s="20">
        <v>2</v>
      </c>
      <c r="AE98" s="20">
        <v>0</v>
      </c>
      <c r="AF98" s="20">
        <v>0</v>
      </c>
      <c r="AG98" s="20">
        <v>0</v>
      </c>
      <c r="AH98" s="20">
        <v>0</v>
      </c>
      <c r="AI98" s="20">
        <v>2</v>
      </c>
      <c r="AJ98" s="20">
        <v>0</v>
      </c>
      <c r="AK98" s="20">
        <v>2</v>
      </c>
      <c r="AL98" s="20">
        <v>2</v>
      </c>
      <c r="AM98" s="20">
        <v>0</v>
      </c>
      <c r="AN98" s="21">
        <f t="shared" si="4"/>
        <v>6</v>
      </c>
      <c r="AO98" s="21">
        <v>2</v>
      </c>
      <c r="AP98" s="21">
        <v>4</v>
      </c>
      <c r="AQ98" s="20">
        <v>86</v>
      </c>
      <c r="AR98" s="20" t="s">
        <v>85</v>
      </c>
      <c r="AS98" s="21">
        <f t="shared" si="5"/>
        <v>86</v>
      </c>
    </row>
    <row r="99" spans="1:45" ht="15" customHeight="1">
      <c r="A99" s="17">
        <v>98</v>
      </c>
      <c r="B99" s="17"/>
      <c r="C99" s="18"/>
      <c r="D99" s="17">
        <v>1</v>
      </c>
      <c r="E99" s="17">
        <v>73</v>
      </c>
      <c r="F99" s="19">
        <f t="shared" si="3"/>
        <v>1</v>
      </c>
      <c r="G99" s="17">
        <v>2</v>
      </c>
      <c r="H99" s="17">
        <v>2</v>
      </c>
      <c r="I99" s="17">
        <v>3</v>
      </c>
      <c r="J99" s="17">
        <v>1</v>
      </c>
      <c r="K99" s="17">
        <v>1</v>
      </c>
      <c r="L99" s="17">
        <v>0</v>
      </c>
      <c r="M99" s="17">
        <v>0</v>
      </c>
      <c r="N99" s="17">
        <v>1</v>
      </c>
      <c r="O99" s="17">
        <v>0</v>
      </c>
      <c r="P99" s="17">
        <v>1</v>
      </c>
      <c r="Q99" s="17">
        <v>1</v>
      </c>
      <c r="R99" s="17">
        <v>1</v>
      </c>
      <c r="S99" s="17">
        <v>0</v>
      </c>
      <c r="T99" s="17">
        <v>0</v>
      </c>
      <c r="U99" s="17">
        <v>0</v>
      </c>
      <c r="V99" s="17" t="s">
        <v>104</v>
      </c>
      <c r="W99" s="17">
        <v>4</v>
      </c>
      <c r="X99" s="17">
        <v>4</v>
      </c>
      <c r="Y99" s="17">
        <v>2</v>
      </c>
      <c r="Z99" s="17">
        <v>2</v>
      </c>
      <c r="AA99" s="17">
        <v>4</v>
      </c>
      <c r="AB99" s="17">
        <v>2</v>
      </c>
      <c r="AC99" s="17">
        <v>2</v>
      </c>
      <c r="AD99" s="20">
        <v>2</v>
      </c>
      <c r="AE99" s="20">
        <v>0</v>
      </c>
      <c r="AF99" s="20">
        <v>0</v>
      </c>
      <c r="AG99" s="20">
        <v>2</v>
      </c>
      <c r="AH99" s="20">
        <v>0</v>
      </c>
      <c r="AI99" s="20">
        <v>0</v>
      </c>
      <c r="AJ99" s="20">
        <v>2</v>
      </c>
      <c r="AK99" s="20">
        <v>2</v>
      </c>
      <c r="AL99" s="20">
        <v>2</v>
      </c>
      <c r="AM99" s="20">
        <v>0</v>
      </c>
      <c r="AN99" s="21">
        <f t="shared" si="4"/>
        <v>6</v>
      </c>
      <c r="AO99" s="21">
        <v>4</v>
      </c>
      <c r="AP99" s="21">
        <v>4</v>
      </c>
      <c r="AQ99" s="20">
        <v>90</v>
      </c>
      <c r="AR99" s="20" t="s">
        <v>85</v>
      </c>
      <c r="AS99" s="21">
        <f t="shared" si="5"/>
        <v>90</v>
      </c>
    </row>
    <row r="100" spans="1:45" ht="15" customHeight="1">
      <c r="A100" s="17">
        <v>99</v>
      </c>
      <c r="B100" s="17"/>
      <c r="C100" s="18"/>
      <c r="D100" s="17">
        <v>1</v>
      </c>
      <c r="E100" s="17">
        <v>70</v>
      </c>
      <c r="F100" s="19">
        <f t="shared" si="3"/>
        <v>1</v>
      </c>
      <c r="G100" s="17">
        <v>2</v>
      </c>
      <c r="H100" s="17">
        <v>1</v>
      </c>
      <c r="I100" s="17">
        <v>3</v>
      </c>
      <c r="J100" s="17">
        <v>1</v>
      </c>
      <c r="K100" s="17">
        <v>1</v>
      </c>
      <c r="L100" s="17">
        <v>0</v>
      </c>
      <c r="M100" s="17">
        <v>0</v>
      </c>
      <c r="N100" s="17">
        <v>1</v>
      </c>
      <c r="O100" s="17">
        <v>0</v>
      </c>
      <c r="P100" s="17">
        <v>0</v>
      </c>
      <c r="Q100" s="17">
        <v>1</v>
      </c>
      <c r="R100" s="17">
        <v>0</v>
      </c>
      <c r="S100" s="17">
        <v>0</v>
      </c>
      <c r="T100" s="17">
        <v>0</v>
      </c>
      <c r="U100" s="17">
        <v>0</v>
      </c>
      <c r="V100" s="17"/>
      <c r="W100" s="17">
        <v>1</v>
      </c>
      <c r="X100" s="17">
        <v>2</v>
      </c>
      <c r="Y100" s="17">
        <v>2</v>
      </c>
      <c r="Z100" s="17">
        <v>2</v>
      </c>
      <c r="AA100" s="17">
        <v>4</v>
      </c>
      <c r="AB100" s="17">
        <v>2</v>
      </c>
      <c r="AC100" s="17">
        <v>0</v>
      </c>
      <c r="AD100" s="20">
        <v>2</v>
      </c>
      <c r="AE100" s="20">
        <v>0</v>
      </c>
      <c r="AF100" s="20">
        <v>0</v>
      </c>
      <c r="AG100" s="20">
        <v>0</v>
      </c>
      <c r="AH100" s="20">
        <v>0</v>
      </c>
      <c r="AI100" s="20">
        <v>2</v>
      </c>
      <c r="AJ100" s="20">
        <v>2</v>
      </c>
      <c r="AK100" s="20">
        <v>2</v>
      </c>
      <c r="AL100" s="20">
        <v>4</v>
      </c>
      <c r="AM100" s="20">
        <v>4</v>
      </c>
      <c r="AN100" s="21">
        <f t="shared" si="4"/>
        <v>4</v>
      </c>
      <c r="AO100" s="21">
        <v>4</v>
      </c>
      <c r="AP100" s="21">
        <v>10</v>
      </c>
      <c r="AQ100" s="20">
        <v>81</v>
      </c>
      <c r="AR100" s="20" t="s">
        <v>85</v>
      </c>
      <c r="AS100" s="21">
        <f t="shared" si="5"/>
        <v>81</v>
      </c>
    </row>
    <row r="101" spans="1:45" ht="15" customHeight="1">
      <c r="A101" s="17">
        <v>100</v>
      </c>
      <c r="B101" s="17"/>
      <c r="C101" s="18"/>
      <c r="D101" s="17">
        <v>1</v>
      </c>
      <c r="E101" s="17">
        <v>70</v>
      </c>
      <c r="F101" s="19">
        <f t="shared" si="3"/>
        <v>1</v>
      </c>
      <c r="G101" s="17">
        <v>2</v>
      </c>
      <c r="H101" s="17">
        <v>1</v>
      </c>
      <c r="I101" s="17">
        <v>2</v>
      </c>
      <c r="J101" s="17">
        <v>1</v>
      </c>
      <c r="K101" s="17">
        <v>1</v>
      </c>
      <c r="L101" s="17">
        <v>0</v>
      </c>
      <c r="M101" s="17">
        <v>0</v>
      </c>
      <c r="N101" s="17">
        <v>1</v>
      </c>
      <c r="O101" s="17">
        <v>0</v>
      </c>
      <c r="P101" s="17">
        <v>1</v>
      </c>
      <c r="Q101" s="17">
        <v>0</v>
      </c>
      <c r="R101" s="17">
        <v>1</v>
      </c>
      <c r="S101" s="17">
        <v>0</v>
      </c>
      <c r="T101" s="17">
        <v>0</v>
      </c>
      <c r="U101" s="17">
        <v>1</v>
      </c>
      <c r="V101" s="17" t="s">
        <v>97</v>
      </c>
      <c r="W101" s="17">
        <v>2</v>
      </c>
      <c r="X101" s="17">
        <v>0</v>
      </c>
      <c r="Y101" s="17">
        <v>0</v>
      </c>
      <c r="Z101" s="17">
        <v>2</v>
      </c>
      <c r="AA101" s="17">
        <v>4</v>
      </c>
      <c r="AB101" s="17">
        <v>2</v>
      </c>
      <c r="AC101" s="17">
        <v>0</v>
      </c>
      <c r="AD101" s="20">
        <v>2</v>
      </c>
      <c r="AE101" s="20">
        <v>0</v>
      </c>
      <c r="AF101" s="20">
        <v>0</v>
      </c>
      <c r="AG101" s="20">
        <v>2</v>
      </c>
      <c r="AH101" s="20">
        <v>4</v>
      </c>
      <c r="AI101" s="20">
        <v>2</v>
      </c>
      <c r="AJ101" s="20">
        <v>2</v>
      </c>
      <c r="AK101" s="20">
        <v>2</v>
      </c>
      <c r="AL101" s="20">
        <v>2</v>
      </c>
      <c r="AM101" s="20">
        <v>0</v>
      </c>
      <c r="AN101" s="21">
        <f t="shared" si="4"/>
        <v>4</v>
      </c>
      <c r="AO101" s="21">
        <v>10</v>
      </c>
      <c r="AP101" s="21">
        <v>4</v>
      </c>
      <c r="AQ101" s="20">
        <v>89.5</v>
      </c>
      <c r="AR101" s="20" t="s">
        <v>85</v>
      </c>
      <c r="AS101" s="21">
        <f t="shared" si="5"/>
        <v>89.5</v>
      </c>
    </row>
    <row r="102" spans="1:45" ht="15" customHeight="1">
      <c r="A102" s="17">
        <v>101</v>
      </c>
      <c r="B102" s="17"/>
      <c r="C102" s="18"/>
      <c r="D102" s="17">
        <v>1</v>
      </c>
      <c r="E102" s="17">
        <v>72</v>
      </c>
      <c r="F102" s="19">
        <f t="shared" si="3"/>
        <v>1</v>
      </c>
      <c r="G102" s="17">
        <v>2</v>
      </c>
      <c r="H102" s="17">
        <v>3</v>
      </c>
      <c r="I102" s="17">
        <v>1</v>
      </c>
      <c r="J102" s="17">
        <v>1</v>
      </c>
      <c r="K102" s="17">
        <v>1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1</v>
      </c>
      <c r="S102" s="17">
        <v>0</v>
      </c>
      <c r="T102" s="17">
        <v>0</v>
      </c>
      <c r="U102" s="17">
        <v>0</v>
      </c>
      <c r="V102" s="17"/>
      <c r="W102" s="17">
        <v>4</v>
      </c>
      <c r="X102" s="17">
        <v>0</v>
      </c>
      <c r="Y102" s="17">
        <v>2</v>
      </c>
      <c r="Z102" s="17">
        <v>2</v>
      </c>
      <c r="AA102" s="17">
        <v>4</v>
      </c>
      <c r="AB102" s="17">
        <v>2</v>
      </c>
      <c r="AC102" s="17">
        <v>0</v>
      </c>
      <c r="AD102" s="20">
        <v>2</v>
      </c>
      <c r="AE102" s="20">
        <v>0</v>
      </c>
      <c r="AF102" s="20">
        <v>0</v>
      </c>
      <c r="AG102" s="20">
        <v>2</v>
      </c>
      <c r="AH102" s="20">
        <v>2</v>
      </c>
      <c r="AI102" s="20">
        <v>0</v>
      </c>
      <c r="AJ102" s="20">
        <v>2</v>
      </c>
      <c r="AK102" s="20">
        <v>2</v>
      </c>
      <c r="AL102" s="20">
        <v>4</v>
      </c>
      <c r="AM102" s="20">
        <v>0</v>
      </c>
      <c r="AN102" s="21">
        <f t="shared" si="4"/>
        <v>4</v>
      </c>
      <c r="AO102" s="21">
        <v>6</v>
      </c>
      <c r="AP102" s="21">
        <v>6</v>
      </c>
      <c r="AQ102" s="20">
        <v>69</v>
      </c>
      <c r="AR102" s="20" t="s">
        <v>85</v>
      </c>
      <c r="AS102" s="21">
        <f t="shared" si="5"/>
        <v>69</v>
      </c>
    </row>
    <row r="103" spans="1:45" ht="15" customHeight="1">
      <c r="A103" s="17">
        <v>102</v>
      </c>
      <c r="B103" s="17"/>
      <c r="C103" s="18"/>
      <c r="D103" s="17">
        <v>1</v>
      </c>
      <c r="E103" s="17">
        <v>85</v>
      </c>
      <c r="F103" s="19">
        <f t="shared" si="3"/>
        <v>1</v>
      </c>
      <c r="G103" s="17">
        <v>2</v>
      </c>
      <c r="H103" s="17">
        <v>1</v>
      </c>
      <c r="I103" s="17">
        <v>3</v>
      </c>
      <c r="J103" s="17">
        <v>2</v>
      </c>
      <c r="K103" s="17">
        <v>1</v>
      </c>
      <c r="L103" s="17">
        <v>0</v>
      </c>
      <c r="M103" s="17">
        <v>0</v>
      </c>
      <c r="N103" s="17">
        <v>1</v>
      </c>
      <c r="O103" s="17">
        <v>0</v>
      </c>
      <c r="P103" s="17">
        <v>1</v>
      </c>
      <c r="Q103" s="17">
        <v>1</v>
      </c>
      <c r="R103" s="17">
        <v>0</v>
      </c>
      <c r="S103" s="17">
        <v>0</v>
      </c>
      <c r="T103" s="17">
        <v>0</v>
      </c>
      <c r="U103" s="17">
        <v>0</v>
      </c>
      <c r="V103" s="17"/>
      <c r="W103" s="17">
        <v>4</v>
      </c>
      <c r="X103" s="17">
        <v>2</v>
      </c>
      <c r="Y103" s="17">
        <v>2</v>
      </c>
      <c r="Z103" s="17">
        <v>2</v>
      </c>
      <c r="AA103" s="17">
        <v>4</v>
      </c>
      <c r="AB103" s="17">
        <v>2</v>
      </c>
      <c r="AC103" s="17">
        <v>0</v>
      </c>
      <c r="AD103" s="20">
        <v>2</v>
      </c>
      <c r="AE103" s="20">
        <v>0</v>
      </c>
      <c r="AF103" s="20">
        <v>0</v>
      </c>
      <c r="AG103" s="20">
        <v>4</v>
      </c>
      <c r="AH103" s="20">
        <v>2</v>
      </c>
      <c r="AI103" s="20">
        <v>2</v>
      </c>
      <c r="AJ103" s="20">
        <v>2</v>
      </c>
      <c r="AK103" s="20">
        <v>2</v>
      </c>
      <c r="AL103" s="20">
        <v>2</v>
      </c>
      <c r="AM103" s="20">
        <v>0</v>
      </c>
      <c r="AN103" s="21">
        <f t="shared" si="4"/>
        <v>4</v>
      </c>
      <c r="AO103" s="21">
        <v>10</v>
      </c>
      <c r="AP103" s="21">
        <v>4</v>
      </c>
      <c r="AQ103" s="20">
        <v>88</v>
      </c>
      <c r="AR103" s="20" t="s">
        <v>85</v>
      </c>
      <c r="AS103" s="21">
        <f t="shared" si="5"/>
        <v>88</v>
      </c>
    </row>
    <row r="104" spans="1:45" ht="15" customHeight="1">
      <c r="A104" s="17">
        <v>103</v>
      </c>
      <c r="B104" s="17"/>
      <c r="C104" s="18"/>
      <c r="D104" s="17">
        <v>1</v>
      </c>
      <c r="E104" s="17">
        <v>72</v>
      </c>
      <c r="F104" s="19">
        <f t="shared" si="3"/>
        <v>1</v>
      </c>
      <c r="G104" s="17">
        <v>2</v>
      </c>
      <c r="H104" s="17">
        <v>1</v>
      </c>
      <c r="I104" s="17">
        <v>2</v>
      </c>
      <c r="J104" s="17">
        <v>1</v>
      </c>
      <c r="K104" s="17">
        <v>1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 t="s">
        <v>88</v>
      </c>
      <c r="W104" s="17">
        <v>4</v>
      </c>
      <c r="X104" s="17">
        <v>2</v>
      </c>
      <c r="Y104" s="17">
        <v>2</v>
      </c>
      <c r="Z104" s="17">
        <v>2</v>
      </c>
      <c r="AA104" s="17">
        <v>2</v>
      </c>
      <c r="AB104" s="17">
        <v>2</v>
      </c>
      <c r="AC104" s="17">
        <v>0</v>
      </c>
      <c r="AD104" s="20">
        <v>2</v>
      </c>
      <c r="AE104" s="20">
        <v>0</v>
      </c>
      <c r="AF104" s="20">
        <v>2</v>
      </c>
      <c r="AG104" s="20">
        <v>0</v>
      </c>
      <c r="AH104" s="20">
        <v>2</v>
      </c>
      <c r="AI104" s="20">
        <v>2</v>
      </c>
      <c r="AJ104" s="20">
        <v>0</v>
      </c>
      <c r="AK104" s="20">
        <v>2</v>
      </c>
      <c r="AL104" s="20">
        <v>2</v>
      </c>
      <c r="AM104" s="20">
        <v>0</v>
      </c>
      <c r="AN104" s="21">
        <f t="shared" si="4"/>
        <v>4</v>
      </c>
      <c r="AO104" s="21">
        <v>6</v>
      </c>
      <c r="AP104" s="21">
        <v>4</v>
      </c>
      <c r="AQ104" s="20">
        <v>74.5</v>
      </c>
      <c r="AR104" s="20" t="s">
        <v>85</v>
      </c>
      <c r="AS104" s="21">
        <f t="shared" si="5"/>
        <v>74.5</v>
      </c>
    </row>
    <row r="105" spans="1:45" ht="15" customHeight="1">
      <c r="A105" s="17">
        <v>104</v>
      </c>
      <c r="B105" s="17"/>
      <c r="C105" s="18"/>
      <c r="D105" s="17">
        <v>1</v>
      </c>
      <c r="E105" s="17">
        <v>75</v>
      </c>
      <c r="F105" s="19">
        <f t="shared" si="3"/>
        <v>1</v>
      </c>
      <c r="G105" s="17">
        <v>1</v>
      </c>
      <c r="H105" s="17">
        <v>1</v>
      </c>
      <c r="I105" s="17">
        <v>2</v>
      </c>
      <c r="J105" s="17">
        <v>1</v>
      </c>
      <c r="K105" s="17">
        <v>1</v>
      </c>
      <c r="L105" s="17">
        <v>0</v>
      </c>
      <c r="M105" s="17">
        <v>0</v>
      </c>
      <c r="N105" s="17">
        <v>1</v>
      </c>
      <c r="O105" s="17">
        <v>0</v>
      </c>
      <c r="P105" s="17">
        <v>0</v>
      </c>
      <c r="Q105" s="17">
        <v>0</v>
      </c>
      <c r="R105" s="17">
        <v>1</v>
      </c>
      <c r="S105" s="17">
        <v>0</v>
      </c>
      <c r="T105" s="17">
        <v>0</v>
      </c>
      <c r="U105" s="17">
        <v>0</v>
      </c>
      <c r="V105" s="17"/>
      <c r="W105" s="17">
        <v>4</v>
      </c>
      <c r="X105" s="17">
        <v>2</v>
      </c>
      <c r="Y105" s="17">
        <v>4</v>
      </c>
      <c r="Z105" s="17">
        <v>2</v>
      </c>
      <c r="AA105" s="17">
        <v>4</v>
      </c>
      <c r="AB105" s="17">
        <v>2</v>
      </c>
      <c r="AC105" s="17">
        <v>0</v>
      </c>
      <c r="AD105" s="20">
        <v>2</v>
      </c>
      <c r="AE105" s="20">
        <v>0</v>
      </c>
      <c r="AF105" s="20">
        <v>2</v>
      </c>
      <c r="AG105" s="20">
        <v>2</v>
      </c>
      <c r="AH105" s="20">
        <v>2</v>
      </c>
      <c r="AI105" s="20">
        <v>2</v>
      </c>
      <c r="AJ105" s="20">
        <v>2</v>
      </c>
      <c r="AK105" s="20">
        <v>2</v>
      </c>
      <c r="AL105" s="20">
        <v>2</v>
      </c>
      <c r="AM105" s="20">
        <v>0</v>
      </c>
      <c r="AN105" s="21">
        <f t="shared" si="4"/>
        <v>4</v>
      </c>
      <c r="AO105" s="21">
        <v>10</v>
      </c>
      <c r="AP105" s="21">
        <v>4</v>
      </c>
      <c r="AQ105" s="20">
        <v>91</v>
      </c>
      <c r="AR105" s="20" t="s">
        <v>85</v>
      </c>
      <c r="AS105" s="21">
        <f t="shared" si="5"/>
        <v>91</v>
      </c>
    </row>
    <row r="106" spans="1:45" ht="15" customHeight="1">
      <c r="A106" s="17">
        <v>105</v>
      </c>
      <c r="B106" s="17"/>
      <c r="C106" s="18"/>
      <c r="D106" s="17">
        <v>1</v>
      </c>
      <c r="E106" s="17">
        <v>86</v>
      </c>
      <c r="F106" s="19">
        <f t="shared" si="3"/>
        <v>1</v>
      </c>
      <c r="G106" s="17">
        <v>2</v>
      </c>
      <c r="H106" s="17">
        <v>1</v>
      </c>
      <c r="I106" s="17">
        <v>3</v>
      </c>
      <c r="J106" s="17">
        <v>1</v>
      </c>
      <c r="K106" s="17">
        <v>1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1</v>
      </c>
      <c r="V106" s="17" t="s">
        <v>88</v>
      </c>
      <c r="W106" s="17">
        <v>4</v>
      </c>
      <c r="X106" s="17">
        <v>2</v>
      </c>
      <c r="Y106" s="17">
        <v>2</v>
      </c>
      <c r="Z106" s="17">
        <v>2</v>
      </c>
      <c r="AA106" s="17">
        <v>2</v>
      </c>
      <c r="AB106" s="17">
        <v>2</v>
      </c>
      <c r="AC106" s="17">
        <v>4</v>
      </c>
      <c r="AD106" s="20">
        <v>0</v>
      </c>
      <c r="AE106" s="20">
        <v>0</v>
      </c>
      <c r="AF106" s="20">
        <v>2</v>
      </c>
      <c r="AG106" s="20">
        <v>2</v>
      </c>
      <c r="AH106" s="20">
        <v>0</v>
      </c>
      <c r="AI106" s="20">
        <v>0</v>
      </c>
      <c r="AJ106" s="20">
        <v>0</v>
      </c>
      <c r="AK106" s="20">
        <v>2</v>
      </c>
      <c r="AL106" s="20">
        <v>2</v>
      </c>
      <c r="AM106" s="20">
        <v>0</v>
      </c>
      <c r="AN106" s="21">
        <f t="shared" si="4"/>
        <v>6</v>
      </c>
      <c r="AO106" s="21">
        <v>4</v>
      </c>
      <c r="AP106" s="21">
        <v>4</v>
      </c>
      <c r="AQ106" s="20">
        <v>75</v>
      </c>
      <c r="AR106" s="20" t="s">
        <v>85</v>
      </c>
      <c r="AS106" s="21">
        <f t="shared" si="5"/>
        <v>75</v>
      </c>
    </row>
    <row r="107" spans="1:45" ht="15" customHeight="1">
      <c r="A107" s="17">
        <v>106</v>
      </c>
      <c r="B107" s="17"/>
      <c r="C107" s="18"/>
      <c r="D107" s="17">
        <v>1</v>
      </c>
      <c r="E107" s="17">
        <v>78</v>
      </c>
      <c r="F107" s="19">
        <f t="shared" si="3"/>
        <v>1</v>
      </c>
      <c r="G107" s="17">
        <v>2</v>
      </c>
      <c r="H107" s="17">
        <v>2</v>
      </c>
      <c r="I107" s="17">
        <v>3</v>
      </c>
      <c r="J107" s="17">
        <v>2</v>
      </c>
      <c r="K107" s="17">
        <v>1</v>
      </c>
      <c r="L107" s="17">
        <v>0</v>
      </c>
      <c r="M107" s="17">
        <v>0</v>
      </c>
      <c r="N107" s="17">
        <v>1</v>
      </c>
      <c r="O107" s="17">
        <v>0</v>
      </c>
      <c r="P107" s="17">
        <v>0</v>
      </c>
      <c r="Q107" s="17">
        <v>1</v>
      </c>
      <c r="R107" s="17">
        <v>0</v>
      </c>
      <c r="S107" s="17">
        <v>0</v>
      </c>
      <c r="T107" s="17">
        <v>0</v>
      </c>
      <c r="U107" s="17">
        <v>0</v>
      </c>
      <c r="V107" s="17"/>
      <c r="W107" s="17">
        <v>1</v>
      </c>
      <c r="X107" s="17">
        <v>2</v>
      </c>
      <c r="Y107" s="17">
        <v>2</v>
      </c>
      <c r="Z107" s="17">
        <v>2</v>
      </c>
      <c r="AA107" s="17">
        <v>4</v>
      </c>
      <c r="AB107" s="17">
        <v>2</v>
      </c>
      <c r="AC107" s="17">
        <v>0</v>
      </c>
      <c r="AD107" s="20">
        <v>2</v>
      </c>
      <c r="AE107" s="20">
        <v>2</v>
      </c>
      <c r="AF107" s="20">
        <v>4</v>
      </c>
      <c r="AG107" s="20">
        <v>2</v>
      </c>
      <c r="AH107" s="20">
        <v>4</v>
      </c>
      <c r="AI107" s="20">
        <v>2</v>
      </c>
      <c r="AJ107" s="20">
        <v>2</v>
      </c>
      <c r="AK107" s="20">
        <v>2</v>
      </c>
      <c r="AL107" s="20">
        <v>2</v>
      </c>
      <c r="AM107" s="20">
        <v>0</v>
      </c>
      <c r="AN107" s="21">
        <f t="shared" si="4"/>
        <v>4</v>
      </c>
      <c r="AO107" s="21">
        <v>16</v>
      </c>
      <c r="AP107" s="21">
        <v>4</v>
      </c>
      <c r="AQ107" s="20">
        <v>85</v>
      </c>
      <c r="AR107" s="20" t="s">
        <v>85</v>
      </c>
      <c r="AS107" s="21">
        <f t="shared" si="5"/>
        <v>85</v>
      </c>
    </row>
    <row r="108" spans="1:45" ht="15" customHeight="1">
      <c r="A108" s="17">
        <v>107</v>
      </c>
      <c r="B108" s="17"/>
      <c r="C108" s="18"/>
      <c r="D108" s="17">
        <v>1</v>
      </c>
      <c r="E108" s="17">
        <v>72</v>
      </c>
      <c r="F108" s="19">
        <f t="shared" si="3"/>
        <v>1</v>
      </c>
      <c r="G108" s="17">
        <v>2</v>
      </c>
      <c r="H108" s="17">
        <v>2</v>
      </c>
      <c r="I108" s="17">
        <v>2</v>
      </c>
      <c r="J108" s="17">
        <v>1</v>
      </c>
      <c r="K108" s="17">
        <v>1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1</v>
      </c>
      <c r="S108" s="17">
        <v>0</v>
      </c>
      <c r="T108" s="17">
        <v>0</v>
      </c>
      <c r="U108" s="17">
        <v>1</v>
      </c>
      <c r="V108" s="17" t="s">
        <v>105</v>
      </c>
      <c r="W108" s="17">
        <v>2</v>
      </c>
      <c r="X108" s="17">
        <v>2</v>
      </c>
      <c r="Y108" s="17">
        <v>0</v>
      </c>
      <c r="Z108" s="17">
        <v>0</v>
      </c>
      <c r="AA108" s="17">
        <v>4</v>
      </c>
      <c r="AB108" s="17">
        <v>2</v>
      </c>
      <c r="AC108" s="17">
        <v>0</v>
      </c>
      <c r="AD108" s="20">
        <v>2</v>
      </c>
      <c r="AE108" s="20">
        <v>0</v>
      </c>
      <c r="AF108" s="20">
        <v>0</v>
      </c>
      <c r="AG108" s="20">
        <v>2</v>
      </c>
      <c r="AH108" s="20">
        <v>0</v>
      </c>
      <c r="AI108" s="20">
        <v>0</v>
      </c>
      <c r="AJ108" s="20">
        <v>0</v>
      </c>
      <c r="AK108" s="20">
        <v>2</v>
      </c>
      <c r="AL108" s="20">
        <v>2</v>
      </c>
      <c r="AM108" s="20">
        <v>0</v>
      </c>
      <c r="AN108" s="21">
        <f t="shared" si="4"/>
        <v>4</v>
      </c>
      <c r="AO108" s="21">
        <v>2</v>
      </c>
      <c r="AP108" s="21">
        <v>4</v>
      </c>
      <c r="AQ108" s="20">
        <v>72</v>
      </c>
      <c r="AR108" s="20" t="s">
        <v>85</v>
      </c>
      <c r="AS108" s="21">
        <f t="shared" si="5"/>
        <v>72</v>
      </c>
    </row>
    <row r="109" spans="1:45" ht="15" customHeight="1">
      <c r="A109" s="17">
        <v>108</v>
      </c>
      <c r="B109" s="17"/>
      <c r="C109" s="18"/>
      <c r="D109" s="17">
        <v>1</v>
      </c>
      <c r="E109" s="17">
        <v>79</v>
      </c>
      <c r="F109" s="19">
        <f t="shared" si="3"/>
        <v>1</v>
      </c>
      <c r="G109" s="17">
        <v>2</v>
      </c>
      <c r="H109" s="17">
        <v>2</v>
      </c>
      <c r="I109" s="17">
        <v>3</v>
      </c>
      <c r="J109" s="17">
        <v>1</v>
      </c>
      <c r="K109" s="17">
        <v>1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1</v>
      </c>
      <c r="S109" s="17">
        <v>0</v>
      </c>
      <c r="T109" s="17">
        <v>0</v>
      </c>
      <c r="U109" s="17">
        <v>0</v>
      </c>
      <c r="V109" s="17"/>
      <c r="W109" s="17">
        <v>4</v>
      </c>
      <c r="X109" s="17">
        <v>2</v>
      </c>
      <c r="Y109" s="17">
        <v>2</v>
      </c>
      <c r="Z109" s="17">
        <v>2</v>
      </c>
      <c r="AA109" s="17">
        <v>4</v>
      </c>
      <c r="AB109" s="17">
        <v>2</v>
      </c>
      <c r="AC109" s="17">
        <v>0</v>
      </c>
      <c r="AD109" s="20">
        <v>2</v>
      </c>
      <c r="AE109" s="20">
        <v>0</v>
      </c>
      <c r="AF109" s="20">
        <v>0</v>
      </c>
      <c r="AG109" s="20">
        <v>2</v>
      </c>
      <c r="AH109" s="20">
        <v>0</v>
      </c>
      <c r="AI109" s="20">
        <v>0</v>
      </c>
      <c r="AJ109" s="20">
        <v>2</v>
      </c>
      <c r="AK109" s="20">
        <v>2</v>
      </c>
      <c r="AL109" s="20">
        <v>2</v>
      </c>
      <c r="AM109" s="20">
        <v>0</v>
      </c>
      <c r="AN109" s="21">
        <f t="shared" si="4"/>
        <v>4</v>
      </c>
      <c r="AO109" s="21">
        <v>4</v>
      </c>
      <c r="AP109" s="21">
        <v>4</v>
      </c>
      <c r="AQ109" s="20">
        <v>88</v>
      </c>
      <c r="AR109" s="20" t="s">
        <v>85</v>
      </c>
      <c r="AS109" s="21">
        <f t="shared" si="5"/>
        <v>88</v>
      </c>
    </row>
    <row r="110" spans="1:45" ht="15" customHeight="1">
      <c r="A110" s="17">
        <v>109</v>
      </c>
      <c r="B110" s="17"/>
      <c r="C110" s="18"/>
      <c r="D110" s="17">
        <v>1</v>
      </c>
      <c r="E110" s="17">
        <v>71</v>
      </c>
      <c r="F110" s="19">
        <f t="shared" si="3"/>
        <v>1</v>
      </c>
      <c r="G110" s="17">
        <v>2</v>
      </c>
      <c r="H110" s="17">
        <v>2</v>
      </c>
      <c r="I110" s="17">
        <v>2</v>
      </c>
      <c r="J110" s="17">
        <v>1</v>
      </c>
      <c r="K110" s="17">
        <v>1</v>
      </c>
      <c r="L110" s="17">
        <v>0</v>
      </c>
      <c r="M110" s="17">
        <v>0</v>
      </c>
      <c r="N110" s="17">
        <v>1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 t="s">
        <v>88</v>
      </c>
      <c r="W110" s="17">
        <v>2</v>
      </c>
      <c r="X110" s="17">
        <v>2</v>
      </c>
      <c r="Y110" s="17">
        <v>2</v>
      </c>
      <c r="Z110" s="17">
        <v>2</v>
      </c>
      <c r="AA110" s="17">
        <v>2</v>
      </c>
      <c r="AB110" s="17">
        <v>2</v>
      </c>
      <c r="AC110" s="17">
        <v>2</v>
      </c>
      <c r="AD110" s="20">
        <v>0</v>
      </c>
      <c r="AE110" s="20">
        <v>0</v>
      </c>
      <c r="AF110" s="20">
        <v>0</v>
      </c>
      <c r="AG110" s="20">
        <v>2</v>
      </c>
      <c r="AH110" s="20">
        <v>0</v>
      </c>
      <c r="AI110" s="20">
        <v>0</v>
      </c>
      <c r="AJ110" s="20">
        <v>2</v>
      </c>
      <c r="AK110" s="20">
        <v>2</v>
      </c>
      <c r="AL110" s="20">
        <v>2</v>
      </c>
      <c r="AM110" s="20">
        <v>0</v>
      </c>
      <c r="AN110" s="21">
        <f t="shared" si="4"/>
        <v>4</v>
      </c>
      <c r="AO110" s="21">
        <v>4</v>
      </c>
      <c r="AP110" s="21">
        <v>4</v>
      </c>
      <c r="AQ110" s="20">
        <v>79</v>
      </c>
      <c r="AR110" s="20" t="s">
        <v>85</v>
      </c>
      <c r="AS110" s="21">
        <f t="shared" si="5"/>
        <v>79</v>
      </c>
    </row>
    <row r="111" spans="1:45" ht="15" customHeight="1">
      <c r="A111" s="17">
        <v>110</v>
      </c>
      <c r="B111" s="17"/>
      <c r="C111" s="18"/>
      <c r="D111" s="17">
        <v>1</v>
      </c>
      <c r="E111" s="17">
        <v>78</v>
      </c>
      <c r="F111" s="19">
        <f t="shared" si="3"/>
        <v>1</v>
      </c>
      <c r="G111" s="17">
        <v>2</v>
      </c>
      <c r="H111" s="17">
        <v>1</v>
      </c>
      <c r="I111" s="17">
        <v>3</v>
      </c>
      <c r="J111" s="17">
        <v>1</v>
      </c>
      <c r="K111" s="17">
        <v>1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1</v>
      </c>
      <c r="S111" s="17">
        <v>0</v>
      </c>
      <c r="T111" s="17">
        <v>0</v>
      </c>
      <c r="U111" s="17">
        <v>0</v>
      </c>
      <c r="V111" s="17" t="s">
        <v>104</v>
      </c>
      <c r="W111" s="17">
        <v>4</v>
      </c>
      <c r="X111" s="17">
        <v>2</v>
      </c>
      <c r="Y111" s="17">
        <v>2</v>
      </c>
      <c r="Z111" s="17">
        <v>2</v>
      </c>
      <c r="AA111" s="17">
        <v>4</v>
      </c>
      <c r="AB111" s="17">
        <v>2</v>
      </c>
      <c r="AC111" s="17">
        <v>2</v>
      </c>
      <c r="AD111" s="20">
        <v>2</v>
      </c>
      <c r="AE111" s="20">
        <v>0</v>
      </c>
      <c r="AF111" s="20">
        <v>0</v>
      </c>
      <c r="AG111" s="20">
        <v>2</v>
      </c>
      <c r="AH111" s="20">
        <v>0</v>
      </c>
      <c r="AI111" s="20">
        <v>0</v>
      </c>
      <c r="AJ111" s="20">
        <v>0</v>
      </c>
      <c r="AK111" s="20">
        <v>2</v>
      </c>
      <c r="AL111" s="20">
        <v>2</v>
      </c>
      <c r="AM111" s="20">
        <v>0</v>
      </c>
      <c r="AN111" s="21">
        <f t="shared" si="4"/>
        <v>6</v>
      </c>
      <c r="AO111" s="21">
        <v>2</v>
      </c>
      <c r="AP111" s="21">
        <v>4</v>
      </c>
      <c r="AQ111" s="20">
        <v>83</v>
      </c>
      <c r="AR111" s="20" t="s">
        <v>85</v>
      </c>
      <c r="AS111" s="21">
        <f t="shared" si="5"/>
        <v>83</v>
      </c>
    </row>
    <row r="112" spans="1:45" ht="15" customHeight="1">
      <c r="A112" s="17">
        <v>111</v>
      </c>
      <c r="B112" s="17"/>
      <c r="C112" s="18"/>
      <c r="D112" s="17">
        <v>1</v>
      </c>
      <c r="E112" s="17">
        <v>72</v>
      </c>
      <c r="F112" s="19">
        <f t="shared" si="3"/>
        <v>1</v>
      </c>
      <c r="G112" s="17">
        <v>2</v>
      </c>
      <c r="H112" s="17">
        <v>1</v>
      </c>
      <c r="I112" s="17">
        <v>2</v>
      </c>
      <c r="J112" s="17">
        <v>1</v>
      </c>
      <c r="K112" s="17">
        <v>1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1</v>
      </c>
      <c r="R112" s="17">
        <v>1</v>
      </c>
      <c r="S112" s="17">
        <v>0</v>
      </c>
      <c r="T112" s="17">
        <v>0</v>
      </c>
      <c r="U112" s="17">
        <v>0</v>
      </c>
      <c r="V112" s="17" t="s">
        <v>106</v>
      </c>
      <c r="W112" s="17">
        <v>1</v>
      </c>
      <c r="X112" s="17">
        <v>0</v>
      </c>
      <c r="Y112" s="17">
        <v>2</v>
      </c>
      <c r="Z112" s="17">
        <v>0</v>
      </c>
      <c r="AA112" s="17">
        <v>4</v>
      </c>
      <c r="AB112" s="17">
        <v>2</v>
      </c>
      <c r="AC112" s="17">
        <v>2</v>
      </c>
      <c r="AD112" s="20">
        <v>2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2</v>
      </c>
      <c r="AL112" s="20">
        <v>2</v>
      </c>
      <c r="AM112" s="20">
        <v>0</v>
      </c>
      <c r="AN112" s="21">
        <f t="shared" si="4"/>
        <v>6</v>
      </c>
      <c r="AO112" s="21">
        <v>0</v>
      </c>
      <c r="AP112" s="21">
        <v>4</v>
      </c>
      <c r="AQ112" s="20">
        <v>73</v>
      </c>
      <c r="AR112" s="20" t="s">
        <v>85</v>
      </c>
      <c r="AS112" s="21">
        <f t="shared" si="5"/>
        <v>73</v>
      </c>
    </row>
    <row r="113" spans="1:45" ht="15" customHeight="1">
      <c r="A113" s="17">
        <v>112</v>
      </c>
      <c r="B113" s="17"/>
      <c r="C113" s="18"/>
      <c r="D113" s="17">
        <v>1</v>
      </c>
      <c r="E113" s="17">
        <v>79</v>
      </c>
      <c r="F113" s="19">
        <f t="shared" si="3"/>
        <v>1</v>
      </c>
      <c r="G113" s="17">
        <v>2</v>
      </c>
      <c r="H113" s="17">
        <v>1</v>
      </c>
      <c r="I113" s="17">
        <v>3</v>
      </c>
      <c r="J113" s="17">
        <v>1</v>
      </c>
      <c r="K113" s="17">
        <v>1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1</v>
      </c>
      <c r="R113" s="17">
        <v>1</v>
      </c>
      <c r="S113" s="17">
        <v>0</v>
      </c>
      <c r="T113" s="17">
        <v>0</v>
      </c>
      <c r="U113" s="17">
        <v>0</v>
      </c>
      <c r="V113" s="17"/>
      <c r="W113" s="17">
        <v>4</v>
      </c>
      <c r="X113" s="17">
        <v>2</v>
      </c>
      <c r="Y113" s="17">
        <v>2</v>
      </c>
      <c r="Z113" s="17">
        <v>0</v>
      </c>
      <c r="AA113" s="17">
        <v>4</v>
      </c>
      <c r="AB113" s="17">
        <v>4</v>
      </c>
      <c r="AC113" s="17">
        <v>2</v>
      </c>
      <c r="AD113" s="20">
        <v>2</v>
      </c>
      <c r="AE113" s="20">
        <v>0</v>
      </c>
      <c r="AF113" s="20">
        <v>0</v>
      </c>
      <c r="AG113" s="20">
        <v>2</v>
      </c>
      <c r="AH113" s="20">
        <v>2</v>
      </c>
      <c r="AI113" s="20">
        <v>2</v>
      </c>
      <c r="AJ113" s="20">
        <v>2</v>
      </c>
      <c r="AK113" s="20">
        <v>2</v>
      </c>
      <c r="AL113" s="20">
        <v>2</v>
      </c>
      <c r="AM113" s="20">
        <v>0</v>
      </c>
      <c r="AN113" s="21">
        <f t="shared" si="4"/>
        <v>8</v>
      </c>
      <c r="AO113" s="21">
        <v>8</v>
      </c>
      <c r="AP113" s="21">
        <v>4</v>
      </c>
      <c r="AQ113" s="20">
        <v>90</v>
      </c>
      <c r="AR113" s="20" t="s">
        <v>85</v>
      </c>
      <c r="AS113" s="21">
        <f t="shared" si="5"/>
        <v>90</v>
      </c>
    </row>
    <row r="114" spans="1:45" ht="15" customHeight="1">
      <c r="A114" s="17">
        <v>113</v>
      </c>
      <c r="B114" s="17"/>
      <c r="C114" s="18"/>
      <c r="D114" s="17">
        <v>1</v>
      </c>
      <c r="E114" s="17">
        <v>82</v>
      </c>
      <c r="F114" s="19">
        <f t="shared" si="3"/>
        <v>1</v>
      </c>
      <c r="G114" s="17">
        <v>2</v>
      </c>
      <c r="H114" s="17">
        <v>3</v>
      </c>
      <c r="I114" s="17">
        <v>2</v>
      </c>
      <c r="J114" s="17">
        <v>3</v>
      </c>
      <c r="K114" s="17">
        <v>0</v>
      </c>
      <c r="L114" s="17">
        <v>1</v>
      </c>
      <c r="M114" s="17">
        <v>0</v>
      </c>
      <c r="N114" s="17">
        <v>0</v>
      </c>
      <c r="O114" s="17">
        <v>0</v>
      </c>
      <c r="P114" s="17">
        <v>0</v>
      </c>
      <c r="Q114" s="17">
        <v>1</v>
      </c>
      <c r="R114" s="17">
        <v>0</v>
      </c>
      <c r="S114" s="17">
        <v>0</v>
      </c>
      <c r="T114" s="17">
        <v>0</v>
      </c>
      <c r="U114" s="17">
        <v>0</v>
      </c>
      <c r="V114" s="17"/>
      <c r="W114" s="17">
        <v>4</v>
      </c>
      <c r="X114" s="17">
        <v>0</v>
      </c>
      <c r="Y114" s="17">
        <v>2</v>
      </c>
      <c r="Z114" s="17">
        <v>2</v>
      </c>
      <c r="AA114" s="17">
        <v>4</v>
      </c>
      <c r="AB114" s="17">
        <v>2</v>
      </c>
      <c r="AC114" s="17">
        <v>2</v>
      </c>
      <c r="AD114" s="20">
        <v>2</v>
      </c>
      <c r="AE114" s="20">
        <v>0</v>
      </c>
      <c r="AF114" s="20">
        <v>0</v>
      </c>
      <c r="AG114" s="20">
        <v>0</v>
      </c>
      <c r="AH114" s="20">
        <v>2</v>
      </c>
      <c r="AI114" s="20">
        <v>2</v>
      </c>
      <c r="AJ114" s="20">
        <v>0</v>
      </c>
      <c r="AK114" s="20">
        <v>4</v>
      </c>
      <c r="AL114" s="20">
        <v>4</v>
      </c>
      <c r="AM114" s="20">
        <v>4</v>
      </c>
      <c r="AN114" s="21">
        <f t="shared" si="4"/>
        <v>6</v>
      </c>
      <c r="AO114" s="21">
        <v>4</v>
      </c>
      <c r="AP114" s="21">
        <v>12</v>
      </c>
      <c r="AQ114" s="20">
        <v>68.5</v>
      </c>
      <c r="AR114" s="20" t="s">
        <v>85</v>
      </c>
      <c r="AS114" s="21">
        <f t="shared" si="5"/>
        <v>68.5</v>
      </c>
    </row>
    <row r="115" spans="1:45" ht="15" customHeight="1">
      <c r="A115" s="17">
        <v>114</v>
      </c>
      <c r="B115" s="17"/>
      <c r="C115" s="18"/>
      <c r="D115" s="17">
        <v>1</v>
      </c>
      <c r="E115" s="17">
        <v>74</v>
      </c>
      <c r="F115" s="19">
        <f t="shared" si="3"/>
        <v>1</v>
      </c>
      <c r="G115" s="17">
        <v>2</v>
      </c>
      <c r="H115" s="17">
        <v>1</v>
      </c>
      <c r="I115" s="17">
        <v>3</v>
      </c>
      <c r="J115" s="17">
        <v>1</v>
      </c>
      <c r="K115" s="17">
        <v>1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1</v>
      </c>
      <c r="R115" s="17">
        <v>1</v>
      </c>
      <c r="S115" s="17">
        <v>0</v>
      </c>
      <c r="T115" s="17">
        <v>0</v>
      </c>
      <c r="U115" s="17">
        <v>0</v>
      </c>
      <c r="V115" s="17"/>
      <c r="W115" s="17">
        <v>4</v>
      </c>
      <c r="X115" s="17">
        <v>0</v>
      </c>
      <c r="Y115" s="17">
        <v>2</v>
      </c>
      <c r="Z115" s="17">
        <v>0</v>
      </c>
      <c r="AA115" s="17">
        <v>4</v>
      </c>
      <c r="AB115" s="17">
        <v>2</v>
      </c>
      <c r="AC115" s="17">
        <v>0</v>
      </c>
      <c r="AD115" s="20">
        <v>0</v>
      </c>
      <c r="AE115" s="20">
        <v>0</v>
      </c>
      <c r="AF115" s="20">
        <v>0</v>
      </c>
      <c r="AG115" s="20">
        <v>2</v>
      </c>
      <c r="AH115" s="20">
        <v>0</v>
      </c>
      <c r="AI115" s="20">
        <v>0</v>
      </c>
      <c r="AJ115" s="20">
        <v>2</v>
      </c>
      <c r="AK115" s="20">
        <v>2</v>
      </c>
      <c r="AL115" s="20">
        <v>2</v>
      </c>
      <c r="AM115" s="20">
        <v>0</v>
      </c>
      <c r="AN115" s="21">
        <f t="shared" si="4"/>
        <v>2</v>
      </c>
      <c r="AO115" s="21">
        <v>4</v>
      </c>
      <c r="AP115" s="21">
        <v>4</v>
      </c>
      <c r="AQ115" s="20">
        <v>68</v>
      </c>
      <c r="AR115" s="20" t="s">
        <v>85</v>
      </c>
      <c r="AS115" s="21">
        <f t="shared" si="5"/>
        <v>68</v>
      </c>
    </row>
    <row r="116" spans="1:45" ht="15" customHeight="1">
      <c r="A116" s="17">
        <v>115</v>
      </c>
      <c r="B116" s="17"/>
      <c r="C116" s="18"/>
      <c r="D116" s="17">
        <v>1</v>
      </c>
      <c r="E116" s="17">
        <v>73</v>
      </c>
      <c r="F116" s="19">
        <f t="shared" si="3"/>
        <v>1</v>
      </c>
      <c r="G116" s="17">
        <v>1</v>
      </c>
      <c r="H116" s="17">
        <v>1</v>
      </c>
      <c r="I116" s="17">
        <v>2</v>
      </c>
      <c r="J116" s="17">
        <v>1</v>
      </c>
      <c r="K116" s="17">
        <v>1</v>
      </c>
      <c r="L116" s="17">
        <v>0</v>
      </c>
      <c r="M116" s="17">
        <v>0</v>
      </c>
      <c r="N116" s="17">
        <v>1</v>
      </c>
      <c r="O116" s="17">
        <v>0</v>
      </c>
      <c r="P116" s="17">
        <v>0</v>
      </c>
      <c r="Q116" s="17">
        <v>1</v>
      </c>
      <c r="R116" s="17">
        <v>1</v>
      </c>
      <c r="S116" s="17">
        <v>0</v>
      </c>
      <c r="T116" s="17">
        <v>0</v>
      </c>
      <c r="U116" s="17">
        <v>1</v>
      </c>
      <c r="V116" s="17" t="s">
        <v>107</v>
      </c>
      <c r="W116" s="17">
        <v>2</v>
      </c>
      <c r="X116" s="17">
        <v>2</v>
      </c>
      <c r="Y116" s="17">
        <v>2</v>
      </c>
      <c r="Z116" s="17">
        <v>2</v>
      </c>
      <c r="AA116" s="17">
        <v>4</v>
      </c>
      <c r="AB116" s="17">
        <v>2</v>
      </c>
      <c r="AC116" s="17">
        <v>2</v>
      </c>
      <c r="AD116" s="20">
        <v>2</v>
      </c>
      <c r="AE116" s="20">
        <v>0</v>
      </c>
      <c r="AF116" s="20">
        <v>0</v>
      </c>
      <c r="AG116" s="20">
        <v>0</v>
      </c>
      <c r="AH116" s="20">
        <v>0</v>
      </c>
      <c r="AI116" s="20">
        <v>2</v>
      </c>
      <c r="AJ116" s="20">
        <v>2</v>
      </c>
      <c r="AK116" s="20">
        <v>2</v>
      </c>
      <c r="AL116" s="20">
        <v>2</v>
      </c>
      <c r="AM116" s="20">
        <v>0</v>
      </c>
      <c r="AN116" s="21">
        <f t="shared" si="4"/>
        <v>6</v>
      </c>
      <c r="AO116" s="21">
        <v>4</v>
      </c>
      <c r="AP116" s="21">
        <v>4</v>
      </c>
      <c r="AQ116" s="20">
        <v>84.5</v>
      </c>
      <c r="AR116" s="20" t="s">
        <v>85</v>
      </c>
      <c r="AS116" s="21">
        <f t="shared" si="5"/>
        <v>84.5</v>
      </c>
    </row>
    <row r="117" spans="1:45" ht="15" customHeight="1">
      <c r="A117" s="17">
        <v>116</v>
      </c>
      <c r="B117" s="17"/>
      <c r="C117" s="18"/>
      <c r="D117" s="17">
        <v>1</v>
      </c>
      <c r="E117" s="17">
        <v>78</v>
      </c>
      <c r="F117" s="19">
        <f t="shared" si="3"/>
        <v>1</v>
      </c>
      <c r="G117" s="17">
        <v>1</v>
      </c>
      <c r="H117" s="17">
        <v>2</v>
      </c>
      <c r="I117" s="17">
        <v>2</v>
      </c>
      <c r="J117" s="17">
        <v>1</v>
      </c>
      <c r="K117" s="17">
        <v>1</v>
      </c>
      <c r="L117" s="17">
        <v>0</v>
      </c>
      <c r="M117" s="17">
        <v>1</v>
      </c>
      <c r="N117" s="17">
        <v>0</v>
      </c>
      <c r="O117" s="17">
        <v>0</v>
      </c>
      <c r="P117" s="17">
        <v>1</v>
      </c>
      <c r="Q117" s="17">
        <v>1</v>
      </c>
      <c r="R117" s="17">
        <v>1</v>
      </c>
      <c r="S117" s="17">
        <v>0</v>
      </c>
      <c r="T117" s="17">
        <v>0</v>
      </c>
      <c r="U117" s="17">
        <v>0</v>
      </c>
      <c r="V117" s="17"/>
      <c r="W117" s="17">
        <v>4</v>
      </c>
      <c r="X117" s="17">
        <v>2</v>
      </c>
      <c r="Y117" s="17">
        <v>2</v>
      </c>
      <c r="Z117" s="17">
        <v>0</v>
      </c>
      <c r="AA117" s="17">
        <v>4</v>
      </c>
      <c r="AB117" s="17">
        <v>2</v>
      </c>
      <c r="AC117" s="17">
        <v>0</v>
      </c>
      <c r="AD117" s="20">
        <v>2</v>
      </c>
      <c r="AE117" s="20">
        <v>0</v>
      </c>
      <c r="AF117" s="20">
        <v>0</v>
      </c>
      <c r="AG117" s="20">
        <v>2</v>
      </c>
      <c r="AH117" s="20">
        <v>0</v>
      </c>
      <c r="AI117" s="20">
        <v>0</v>
      </c>
      <c r="AJ117" s="20">
        <v>0</v>
      </c>
      <c r="AK117" s="20">
        <v>4</v>
      </c>
      <c r="AL117" s="20">
        <v>4</v>
      </c>
      <c r="AM117" s="20">
        <v>0</v>
      </c>
      <c r="AN117" s="21">
        <f t="shared" si="4"/>
        <v>4</v>
      </c>
      <c r="AO117" s="21">
        <v>2</v>
      </c>
      <c r="AP117" s="21">
        <v>8</v>
      </c>
      <c r="AQ117" s="20">
        <v>86</v>
      </c>
      <c r="AR117" s="20" t="s">
        <v>85</v>
      </c>
      <c r="AS117" s="21">
        <f t="shared" si="5"/>
        <v>86</v>
      </c>
    </row>
    <row r="118" spans="1:45" ht="15" customHeight="1">
      <c r="A118" s="17">
        <v>117</v>
      </c>
      <c r="B118" s="17"/>
      <c r="C118" s="18"/>
      <c r="D118" s="17">
        <v>1</v>
      </c>
      <c r="E118" s="17">
        <v>71</v>
      </c>
      <c r="F118" s="19">
        <f t="shared" si="3"/>
        <v>1</v>
      </c>
      <c r="G118" s="17">
        <v>2</v>
      </c>
      <c r="H118" s="17">
        <v>1</v>
      </c>
      <c r="I118" s="17">
        <v>2</v>
      </c>
      <c r="J118" s="17">
        <v>1</v>
      </c>
      <c r="K118" s="17">
        <v>1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1</v>
      </c>
      <c r="R118" s="17">
        <v>1</v>
      </c>
      <c r="S118" s="17">
        <v>0</v>
      </c>
      <c r="T118" s="17">
        <v>0</v>
      </c>
      <c r="U118" s="17">
        <v>0</v>
      </c>
      <c r="V118" s="17"/>
      <c r="W118" s="17">
        <v>2</v>
      </c>
      <c r="X118" s="17">
        <v>4</v>
      </c>
      <c r="Y118" s="17">
        <v>2</v>
      </c>
      <c r="Z118" s="17">
        <v>2</v>
      </c>
      <c r="AA118" s="17">
        <v>4</v>
      </c>
      <c r="AB118" s="17">
        <v>2</v>
      </c>
      <c r="AC118" s="17">
        <v>0</v>
      </c>
      <c r="AD118" s="20">
        <v>2</v>
      </c>
      <c r="AE118" s="20">
        <v>0</v>
      </c>
      <c r="AF118" s="20">
        <v>0</v>
      </c>
      <c r="AG118" s="20">
        <v>2</v>
      </c>
      <c r="AH118" s="20">
        <v>2</v>
      </c>
      <c r="AI118" s="20">
        <v>2</v>
      </c>
      <c r="AJ118" s="20">
        <v>2</v>
      </c>
      <c r="AK118" s="20">
        <v>4</v>
      </c>
      <c r="AL118" s="20">
        <v>2</v>
      </c>
      <c r="AM118" s="20">
        <v>2</v>
      </c>
      <c r="AN118" s="21">
        <f t="shared" si="4"/>
        <v>4</v>
      </c>
      <c r="AO118" s="21">
        <v>8</v>
      </c>
      <c r="AP118" s="21">
        <v>8</v>
      </c>
      <c r="AQ118" s="20">
        <v>75</v>
      </c>
      <c r="AR118" s="20" t="s">
        <v>85</v>
      </c>
      <c r="AS118" s="21">
        <f t="shared" si="5"/>
        <v>75</v>
      </c>
    </row>
    <row r="119" spans="1:45" ht="15" customHeight="1">
      <c r="A119" s="17">
        <v>118</v>
      </c>
      <c r="B119" s="17"/>
      <c r="C119" s="18"/>
      <c r="D119" s="17">
        <v>1</v>
      </c>
      <c r="E119" s="17">
        <v>75</v>
      </c>
      <c r="F119" s="19">
        <f t="shared" si="3"/>
        <v>1</v>
      </c>
      <c r="G119" s="17">
        <v>2</v>
      </c>
      <c r="H119" s="17">
        <v>3</v>
      </c>
      <c r="I119" s="17">
        <v>4</v>
      </c>
      <c r="J119" s="17">
        <v>1</v>
      </c>
      <c r="K119" s="17">
        <v>1</v>
      </c>
      <c r="L119" s="17">
        <v>0</v>
      </c>
      <c r="M119" s="17">
        <v>0</v>
      </c>
      <c r="N119" s="17">
        <v>1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1</v>
      </c>
      <c r="V119" s="17" t="s">
        <v>84</v>
      </c>
      <c r="W119" s="17">
        <v>4</v>
      </c>
      <c r="X119" s="17">
        <v>2</v>
      </c>
      <c r="Y119" s="17">
        <v>2</v>
      </c>
      <c r="Z119" s="17">
        <v>0</v>
      </c>
      <c r="AA119" s="17">
        <v>4</v>
      </c>
      <c r="AB119" s="17">
        <v>2</v>
      </c>
      <c r="AC119" s="17">
        <v>0</v>
      </c>
      <c r="AD119" s="20">
        <v>2</v>
      </c>
      <c r="AE119" s="20">
        <v>0</v>
      </c>
      <c r="AF119" s="20">
        <v>0</v>
      </c>
      <c r="AG119" s="20">
        <v>0</v>
      </c>
      <c r="AH119" s="20">
        <v>0</v>
      </c>
      <c r="AI119" s="20">
        <v>2</v>
      </c>
      <c r="AJ119" s="20">
        <v>2</v>
      </c>
      <c r="AK119" s="20">
        <v>2</v>
      </c>
      <c r="AL119" s="20">
        <v>2</v>
      </c>
      <c r="AM119" s="20">
        <v>0</v>
      </c>
      <c r="AN119" s="21">
        <f t="shared" si="4"/>
        <v>4</v>
      </c>
      <c r="AO119" s="21">
        <v>4</v>
      </c>
      <c r="AP119" s="21">
        <v>4</v>
      </c>
      <c r="AQ119" s="20">
        <v>93</v>
      </c>
      <c r="AR119" s="20" t="s">
        <v>85</v>
      </c>
      <c r="AS119" s="21">
        <f t="shared" si="5"/>
        <v>93</v>
      </c>
    </row>
    <row r="120" spans="1:45" ht="15" customHeight="1">
      <c r="A120" s="17">
        <v>119</v>
      </c>
      <c r="B120" s="17"/>
      <c r="C120" s="18"/>
      <c r="D120" s="17">
        <v>1</v>
      </c>
      <c r="E120" s="17">
        <v>80</v>
      </c>
      <c r="F120" s="19">
        <f t="shared" si="3"/>
        <v>1</v>
      </c>
      <c r="G120" s="17">
        <v>2</v>
      </c>
      <c r="H120" s="17">
        <v>1</v>
      </c>
      <c r="I120" s="17">
        <v>2</v>
      </c>
      <c r="J120" s="17">
        <v>4</v>
      </c>
      <c r="K120" s="17">
        <v>1</v>
      </c>
      <c r="L120" s="17">
        <v>0</v>
      </c>
      <c r="M120" s="17">
        <v>0</v>
      </c>
      <c r="N120" s="17">
        <v>1</v>
      </c>
      <c r="O120" s="17">
        <v>0</v>
      </c>
      <c r="P120" s="17">
        <v>0</v>
      </c>
      <c r="Q120" s="17">
        <v>1</v>
      </c>
      <c r="R120" s="17">
        <v>0</v>
      </c>
      <c r="S120" s="17">
        <v>0</v>
      </c>
      <c r="T120" s="17">
        <v>0</v>
      </c>
      <c r="U120" s="17">
        <v>0</v>
      </c>
      <c r="V120" s="17"/>
      <c r="W120" s="17">
        <v>2</v>
      </c>
      <c r="X120" s="17">
        <v>2</v>
      </c>
      <c r="Y120" s="17">
        <v>2</v>
      </c>
      <c r="Z120" s="17">
        <v>0</v>
      </c>
      <c r="AA120" s="17">
        <v>4</v>
      </c>
      <c r="AB120" s="17">
        <v>2</v>
      </c>
      <c r="AC120" s="17">
        <v>2</v>
      </c>
      <c r="AD120" s="20">
        <v>2</v>
      </c>
      <c r="AE120" s="20">
        <v>0</v>
      </c>
      <c r="AF120" s="20">
        <v>0</v>
      </c>
      <c r="AG120" s="20">
        <v>2</v>
      </c>
      <c r="AH120" s="20">
        <v>0</v>
      </c>
      <c r="AI120" s="20">
        <v>2</v>
      </c>
      <c r="AJ120" s="20">
        <v>2</v>
      </c>
      <c r="AK120" s="20">
        <v>2</v>
      </c>
      <c r="AL120" s="20">
        <v>2</v>
      </c>
      <c r="AM120" s="20">
        <v>0</v>
      </c>
      <c r="AN120" s="21">
        <f t="shared" si="4"/>
        <v>6</v>
      </c>
      <c r="AO120" s="21">
        <v>6</v>
      </c>
      <c r="AP120" s="21">
        <v>4</v>
      </c>
      <c r="AQ120" s="20">
        <v>77</v>
      </c>
      <c r="AR120" s="20" t="s">
        <v>85</v>
      </c>
      <c r="AS120" s="21">
        <f t="shared" si="5"/>
        <v>77</v>
      </c>
    </row>
    <row r="121" spans="1:45" ht="15" customHeight="1">
      <c r="A121" s="17">
        <v>120</v>
      </c>
      <c r="B121" s="17"/>
      <c r="C121" s="18"/>
      <c r="D121" s="17">
        <v>1</v>
      </c>
      <c r="E121" s="17">
        <v>81</v>
      </c>
      <c r="F121" s="19">
        <f t="shared" si="3"/>
        <v>1</v>
      </c>
      <c r="G121" s="17">
        <v>2</v>
      </c>
      <c r="H121" s="17">
        <v>1</v>
      </c>
      <c r="I121" s="17">
        <v>2</v>
      </c>
      <c r="J121" s="17">
        <v>1</v>
      </c>
      <c r="K121" s="17">
        <v>1</v>
      </c>
      <c r="L121" s="17">
        <v>0</v>
      </c>
      <c r="M121" s="17">
        <v>0</v>
      </c>
      <c r="N121" s="17">
        <v>0</v>
      </c>
      <c r="O121" s="17">
        <v>0</v>
      </c>
      <c r="P121" s="17">
        <v>1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/>
      <c r="W121" s="17">
        <v>2</v>
      </c>
      <c r="X121" s="17">
        <v>0</v>
      </c>
      <c r="Y121" s="17">
        <v>2</v>
      </c>
      <c r="Z121" s="17">
        <v>2</v>
      </c>
      <c r="AA121" s="17">
        <v>2</v>
      </c>
      <c r="AB121" s="17">
        <v>2</v>
      </c>
      <c r="AC121" s="17">
        <v>2</v>
      </c>
      <c r="AD121" s="20">
        <v>2</v>
      </c>
      <c r="AE121" s="20">
        <v>0</v>
      </c>
      <c r="AF121" s="20">
        <v>2</v>
      </c>
      <c r="AG121" s="20">
        <v>0</v>
      </c>
      <c r="AH121" s="20">
        <v>0</v>
      </c>
      <c r="AI121" s="20">
        <v>0</v>
      </c>
      <c r="AJ121" s="20">
        <v>0</v>
      </c>
      <c r="AK121" s="20">
        <v>2</v>
      </c>
      <c r="AL121" s="20">
        <v>2</v>
      </c>
      <c r="AM121" s="20">
        <v>0</v>
      </c>
      <c r="AN121" s="21">
        <f t="shared" si="4"/>
        <v>6</v>
      </c>
      <c r="AO121" s="21">
        <v>2</v>
      </c>
      <c r="AP121" s="21">
        <v>4</v>
      </c>
      <c r="AQ121" s="20">
        <v>78.5</v>
      </c>
      <c r="AR121" s="20" t="s">
        <v>85</v>
      </c>
      <c r="AS121" s="21">
        <f t="shared" si="5"/>
        <v>78.5</v>
      </c>
    </row>
    <row r="122" spans="1:45" ht="15" customHeight="1">
      <c r="A122" s="17">
        <v>121</v>
      </c>
      <c r="B122" s="17"/>
      <c r="C122" s="18"/>
      <c r="D122" s="17">
        <v>1</v>
      </c>
      <c r="E122" s="17">
        <v>74</v>
      </c>
      <c r="F122" s="19">
        <f t="shared" si="3"/>
        <v>1</v>
      </c>
      <c r="G122" s="17">
        <v>2</v>
      </c>
      <c r="H122" s="17">
        <v>1</v>
      </c>
      <c r="I122" s="17">
        <v>3</v>
      </c>
      <c r="J122" s="17">
        <v>1</v>
      </c>
      <c r="K122" s="17">
        <v>1</v>
      </c>
      <c r="L122" s="17">
        <v>0</v>
      </c>
      <c r="M122" s="17">
        <v>0</v>
      </c>
      <c r="N122" s="17">
        <v>0</v>
      </c>
      <c r="O122" s="17">
        <v>1</v>
      </c>
      <c r="P122" s="17">
        <v>0</v>
      </c>
      <c r="Q122" s="17">
        <v>1</v>
      </c>
      <c r="R122" s="17">
        <v>1</v>
      </c>
      <c r="S122" s="17">
        <v>0</v>
      </c>
      <c r="T122" s="17">
        <v>0</v>
      </c>
      <c r="U122" s="17">
        <v>0</v>
      </c>
      <c r="V122" s="17"/>
      <c r="W122" s="17">
        <v>4</v>
      </c>
      <c r="X122" s="17">
        <v>4</v>
      </c>
      <c r="Y122" s="17">
        <v>2</v>
      </c>
      <c r="Z122" s="17">
        <v>2</v>
      </c>
      <c r="AA122" s="17">
        <v>4</v>
      </c>
      <c r="AB122" s="17">
        <v>2</v>
      </c>
      <c r="AC122" s="17">
        <v>2</v>
      </c>
      <c r="AD122" s="20">
        <v>2</v>
      </c>
      <c r="AE122" s="20">
        <v>2</v>
      </c>
      <c r="AF122" s="20">
        <v>2</v>
      </c>
      <c r="AG122" s="20">
        <v>2</v>
      </c>
      <c r="AH122" s="20">
        <v>2</v>
      </c>
      <c r="AI122" s="20">
        <v>2</v>
      </c>
      <c r="AJ122" s="20">
        <v>2</v>
      </c>
      <c r="AK122" s="20">
        <v>2</v>
      </c>
      <c r="AL122" s="20">
        <v>2</v>
      </c>
      <c r="AM122" s="20">
        <v>0</v>
      </c>
      <c r="AN122" s="21">
        <f t="shared" si="4"/>
        <v>6</v>
      </c>
      <c r="AO122" s="21">
        <v>12</v>
      </c>
      <c r="AP122" s="21">
        <v>4</v>
      </c>
      <c r="AQ122" s="20">
        <v>79</v>
      </c>
      <c r="AR122" s="20" t="s">
        <v>85</v>
      </c>
      <c r="AS122" s="21">
        <f t="shared" si="5"/>
        <v>79</v>
      </c>
    </row>
    <row r="123" spans="1:45" ht="15" customHeight="1">
      <c r="A123" s="17">
        <v>122</v>
      </c>
      <c r="B123" s="17"/>
      <c r="C123" s="18"/>
      <c r="D123" s="17">
        <v>1</v>
      </c>
      <c r="E123" s="17">
        <v>72</v>
      </c>
      <c r="F123" s="19">
        <f t="shared" si="3"/>
        <v>1</v>
      </c>
      <c r="G123" s="17">
        <v>2</v>
      </c>
      <c r="H123" s="17">
        <v>1</v>
      </c>
      <c r="I123" s="17">
        <v>1</v>
      </c>
      <c r="J123" s="17">
        <v>1</v>
      </c>
      <c r="K123" s="17">
        <v>1</v>
      </c>
      <c r="L123" s="17">
        <v>0</v>
      </c>
      <c r="M123" s="17">
        <v>0</v>
      </c>
      <c r="N123" s="17">
        <v>0</v>
      </c>
      <c r="O123" s="17">
        <v>0</v>
      </c>
      <c r="P123" s="17">
        <v>1</v>
      </c>
      <c r="Q123" s="17">
        <v>1</v>
      </c>
      <c r="R123" s="17">
        <v>1</v>
      </c>
      <c r="S123" s="17">
        <v>0</v>
      </c>
      <c r="T123" s="17">
        <v>0</v>
      </c>
      <c r="U123" s="17">
        <v>0</v>
      </c>
      <c r="V123" s="17"/>
      <c r="W123" s="17">
        <v>1</v>
      </c>
      <c r="X123" s="17">
        <v>4</v>
      </c>
      <c r="Y123" s="17">
        <v>0</v>
      </c>
      <c r="Z123" s="17">
        <v>0</v>
      </c>
      <c r="AA123" s="17">
        <v>4</v>
      </c>
      <c r="AB123" s="17">
        <v>2</v>
      </c>
      <c r="AC123" s="17">
        <v>0</v>
      </c>
      <c r="AD123" s="20">
        <v>0</v>
      </c>
      <c r="AE123" s="20">
        <v>0</v>
      </c>
      <c r="AF123" s="20">
        <v>0</v>
      </c>
      <c r="AG123" s="20">
        <v>0</v>
      </c>
      <c r="AH123" s="20">
        <v>2</v>
      </c>
      <c r="AI123" s="20">
        <v>2</v>
      </c>
      <c r="AJ123" s="20">
        <v>2</v>
      </c>
      <c r="AK123" s="20">
        <v>2</v>
      </c>
      <c r="AL123" s="20">
        <v>2</v>
      </c>
      <c r="AM123" s="20">
        <v>0</v>
      </c>
      <c r="AN123" s="21">
        <f t="shared" si="4"/>
        <v>2</v>
      </c>
      <c r="AO123" s="21">
        <v>6</v>
      </c>
      <c r="AP123" s="21">
        <v>4</v>
      </c>
      <c r="AQ123" s="20">
        <v>82.5</v>
      </c>
      <c r="AR123" s="20" t="s">
        <v>85</v>
      </c>
      <c r="AS123" s="21">
        <f t="shared" si="5"/>
        <v>82.5</v>
      </c>
    </row>
    <row r="124" spans="1:45" ht="15" customHeight="1">
      <c r="A124" s="17">
        <v>123</v>
      </c>
      <c r="B124" s="17"/>
      <c r="C124" s="18"/>
      <c r="D124" s="17">
        <v>1</v>
      </c>
      <c r="E124" s="17">
        <v>70</v>
      </c>
      <c r="F124" s="19">
        <f t="shared" si="3"/>
        <v>1</v>
      </c>
      <c r="G124" s="17">
        <v>2</v>
      </c>
      <c r="H124" s="17">
        <v>1</v>
      </c>
      <c r="I124" s="17">
        <v>2</v>
      </c>
      <c r="J124" s="17">
        <v>1</v>
      </c>
      <c r="K124" s="17">
        <v>1</v>
      </c>
      <c r="L124" s="17">
        <v>0</v>
      </c>
      <c r="M124" s="17">
        <v>1</v>
      </c>
      <c r="N124" s="17">
        <v>0</v>
      </c>
      <c r="O124" s="17">
        <v>0</v>
      </c>
      <c r="P124" s="17">
        <v>0</v>
      </c>
      <c r="Q124" s="17">
        <v>1</v>
      </c>
      <c r="R124" s="17">
        <v>1</v>
      </c>
      <c r="S124" s="17">
        <v>0</v>
      </c>
      <c r="T124" s="17">
        <v>0</v>
      </c>
      <c r="U124" s="17">
        <v>0</v>
      </c>
      <c r="V124" s="17"/>
      <c r="W124" s="17">
        <v>4</v>
      </c>
      <c r="X124" s="17">
        <v>4</v>
      </c>
      <c r="Y124" s="17">
        <v>2</v>
      </c>
      <c r="Z124" s="17">
        <v>2</v>
      </c>
      <c r="AA124" s="17">
        <v>4</v>
      </c>
      <c r="AB124" s="17">
        <v>2</v>
      </c>
      <c r="AC124" s="17">
        <v>2</v>
      </c>
      <c r="AD124" s="20">
        <v>2</v>
      </c>
      <c r="AE124" s="20">
        <v>0</v>
      </c>
      <c r="AF124" s="20">
        <v>0</v>
      </c>
      <c r="AG124" s="20">
        <v>2</v>
      </c>
      <c r="AH124" s="20">
        <v>0</v>
      </c>
      <c r="AI124" s="20">
        <v>2</v>
      </c>
      <c r="AJ124" s="20">
        <v>0</v>
      </c>
      <c r="AK124" s="20">
        <v>2</v>
      </c>
      <c r="AL124" s="20">
        <v>2</v>
      </c>
      <c r="AM124" s="20">
        <v>0</v>
      </c>
      <c r="AN124" s="21">
        <f t="shared" si="4"/>
        <v>6</v>
      </c>
      <c r="AO124" s="21">
        <v>4</v>
      </c>
      <c r="AP124" s="21">
        <v>4</v>
      </c>
      <c r="AQ124" s="20">
        <v>83</v>
      </c>
      <c r="AR124" s="20" t="s">
        <v>85</v>
      </c>
      <c r="AS124" s="21">
        <f t="shared" si="5"/>
        <v>83</v>
      </c>
    </row>
    <row r="125" spans="1:45" ht="15" customHeight="1">
      <c r="A125" s="17">
        <v>124</v>
      </c>
      <c r="B125" s="17"/>
      <c r="C125" s="18"/>
      <c r="D125" s="17">
        <v>1</v>
      </c>
      <c r="E125" s="17">
        <v>80</v>
      </c>
      <c r="F125" s="19">
        <f t="shared" si="3"/>
        <v>1</v>
      </c>
      <c r="G125" s="17">
        <v>2</v>
      </c>
      <c r="H125" s="17">
        <v>1</v>
      </c>
      <c r="I125" s="17">
        <v>2</v>
      </c>
      <c r="J125" s="17">
        <v>1</v>
      </c>
      <c r="K125" s="17">
        <v>1</v>
      </c>
      <c r="L125" s="17">
        <v>0</v>
      </c>
      <c r="M125" s="17">
        <v>1</v>
      </c>
      <c r="N125" s="17">
        <v>0</v>
      </c>
      <c r="O125" s="17">
        <v>0</v>
      </c>
      <c r="P125" s="17">
        <v>1</v>
      </c>
      <c r="Q125" s="17">
        <v>1</v>
      </c>
      <c r="R125" s="17">
        <v>1</v>
      </c>
      <c r="S125" s="17">
        <v>1</v>
      </c>
      <c r="T125" s="17">
        <v>0</v>
      </c>
      <c r="U125" s="17">
        <v>0</v>
      </c>
      <c r="V125" s="17"/>
      <c r="W125" s="17">
        <v>4</v>
      </c>
      <c r="X125" s="17">
        <v>0</v>
      </c>
      <c r="Y125" s="17">
        <v>2</v>
      </c>
      <c r="Z125" s="17">
        <v>0</v>
      </c>
      <c r="AA125" s="17">
        <v>4</v>
      </c>
      <c r="AB125" s="17">
        <v>2</v>
      </c>
      <c r="AC125" s="17">
        <v>2</v>
      </c>
      <c r="AD125" s="20">
        <v>2</v>
      </c>
      <c r="AE125" s="20">
        <v>0</v>
      </c>
      <c r="AF125" s="20">
        <v>2</v>
      </c>
      <c r="AG125" s="20">
        <v>0</v>
      </c>
      <c r="AH125" s="20">
        <v>0</v>
      </c>
      <c r="AI125" s="20">
        <v>2</v>
      </c>
      <c r="AJ125" s="20">
        <v>2</v>
      </c>
      <c r="AK125" s="20">
        <v>2</v>
      </c>
      <c r="AL125" s="20">
        <v>2</v>
      </c>
      <c r="AM125" s="20">
        <v>0</v>
      </c>
      <c r="AN125" s="21">
        <f t="shared" si="4"/>
        <v>6</v>
      </c>
      <c r="AO125" s="21">
        <v>6</v>
      </c>
      <c r="AP125" s="21">
        <v>4</v>
      </c>
      <c r="AQ125" s="20">
        <v>82</v>
      </c>
      <c r="AR125" s="20" t="s">
        <v>85</v>
      </c>
      <c r="AS125" s="21">
        <f t="shared" si="5"/>
        <v>82</v>
      </c>
    </row>
    <row r="126" spans="1:45" ht="15" customHeight="1">
      <c r="A126" s="17">
        <v>125</v>
      </c>
      <c r="B126" s="17"/>
      <c r="C126" s="18"/>
      <c r="D126" s="17">
        <v>1</v>
      </c>
      <c r="E126" s="17">
        <v>77</v>
      </c>
      <c r="F126" s="19">
        <f t="shared" si="3"/>
        <v>1</v>
      </c>
      <c r="G126" s="17">
        <v>1</v>
      </c>
      <c r="H126" s="17">
        <v>2</v>
      </c>
      <c r="I126" s="17">
        <v>2</v>
      </c>
      <c r="J126" s="17">
        <v>1</v>
      </c>
      <c r="K126" s="17">
        <v>1</v>
      </c>
      <c r="L126" s="17">
        <v>0</v>
      </c>
      <c r="M126" s="17">
        <v>0</v>
      </c>
      <c r="N126" s="17">
        <v>0</v>
      </c>
      <c r="O126" s="17">
        <v>0</v>
      </c>
      <c r="P126" s="17">
        <v>1</v>
      </c>
      <c r="Q126" s="17">
        <v>0</v>
      </c>
      <c r="R126" s="17">
        <v>1</v>
      </c>
      <c r="S126" s="17">
        <v>0</v>
      </c>
      <c r="T126" s="17">
        <v>0</v>
      </c>
      <c r="U126" s="17">
        <v>0</v>
      </c>
      <c r="V126" s="17"/>
      <c r="W126" s="17">
        <v>2</v>
      </c>
      <c r="X126" s="17">
        <v>2</v>
      </c>
      <c r="Y126" s="17">
        <v>2</v>
      </c>
      <c r="Z126" s="17">
        <v>2</v>
      </c>
      <c r="AA126" s="17">
        <v>4</v>
      </c>
      <c r="AB126" s="17">
        <v>2</v>
      </c>
      <c r="AC126" s="17">
        <v>0</v>
      </c>
      <c r="AD126" s="20">
        <v>2</v>
      </c>
      <c r="AE126" s="20">
        <v>0</v>
      </c>
      <c r="AF126" s="20">
        <v>0</v>
      </c>
      <c r="AG126" s="20">
        <v>2</v>
      </c>
      <c r="AH126" s="20">
        <v>0</v>
      </c>
      <c r="AI126" s="20">
        <v>0</v>
      </c>
      <c r="AJ126" s="20">
        <v>0</v>
      </c>
      <c r="AK126" s="20">
        <v>4</v>
      </c>
      <c r="AL126" s="20">
        <v>2</v>
      </c>
      <c r="AM126" s="20">
        <v>0</v>
      </c>
      <c r="AN126" s="21">
        <f t="shared" si="4"/>
        <v>4</v>
      </c>
      <c r="AO126" s="21">
        <v>2</v>
      </c>
      <c r="AP126" s="21">
        <v>6</v>
      </c>
      <c r="AQ126" s="20">
        <v>78</v>
      </c>
      <c r="AR126" s="20" t="s">
        <v>85</v>
      </c>
      <c r="AS126" s="21">
        <f t="shared" si="5"/>
        <v>78</v>
      </c>
    </row>
    <row r="127" spans="1:45" ht="15" customHeight="1">
      <c r="A127" s="17">
        <v>126</v>
      </c>
      <c r="B127" s="17"/>
      <c r="C127" s="18"/>
      <c r="D127" s="17">
        <v>1</v>
      </c>
      <c r="E127" s="17">
        <v>75</v>
      </c>
      <c r="F127" s="19">
        <f t="shared" si="3"/>
        <v>1</v>
      </c>
      <c r="G127" s="17">
        <v>2</v>
      </c>
      <c r="H127" s="17">
        <v>1</v>
      </c>
      <c r="I127" s="17">
        <v>1</v>
      </c>
      <c r="J127" s="17">
        <v>1</v>
      </c>
      <c r="K127" s="17">
        <v>1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1</v>
      </c>
      <c r="R127" s="17">
        <v>1</v>
      </c>
      <c r="S127" s="17">
        <v>1</v>
      </c>
      <c r="T127" s="17">
        <v>0</v>
      </c>
      <c r="U127" s="17">
        <v>1</v>
      </c>
      <c r="V127" s="17" t="s">
        <v>84</v>
      </c>
      <c r="W127" s="17">
        <v>4</v>
      </c>
      <c r="X127" s="17">
        <v>2</v>
      </c>
      <c r="Y127" s="17">
        <v>2</v>
      </c>
      <c r="Z127" s="17">
        <v>0</v>
      </c>
      <c r="AA127" s="17">
        <v>4</v>
      </c>
      <c r="AB127" s="17">
        <v>2</v>
      </c>
      <c r="AC127" s="17">
        <v>2</v>
      </c>
      <c r="AD127" s="20">
        <v>2</v>
      </c>
      <c r="AE127" s="20">
        <v>0</v>
      </c>
      <c r="AF127" s="20">
        <v>2</v>
      </c>
      <c r="AG127" s="20">
        <v>2</v>
      </c>
      <c r="AH127" s="20">
        <v>2</v>
      </c>
      <c r="AI127" s="20">
        <v>0</v>
      </c>
      <c r="AJ127" s="20">
        <v>0</v>
      </c>
      <c r="AK127" s="20">
        <v>2</v>
      </c>
      <c r="AL127" s="20">
        <v>4</v>
      </c>
      <c r="AM127" s="20">
        <v>2</v>
      </c>
      <c r="AN127" s="21">
        <f t="shared" si="4"/>
        <v>6</v>
      </c>
      <c r="AO127" s="21">
        <v>6</v>
      </c>
      <c r="AP127" s="21">
        <v>8</v>
      </c>
      <c r="AQ127" s="20">
        <v>84.5</v>
      </c>
      <c r="AR127" s="20" t="s">
        <v>85</v>
      </c>
      <c r="AS127" s="21">
        <f t="shared" si="5"/>
        <v>84.5</v>
      </c>
    </row>
    <row r="128" spans="1:45" ht="15" customHeight="1">
      <c r="A128" s="17">
        <v>127</v>
      </c>
      <c r="B128" s="17"/>
      <c r="C128" s="18"/>
      <c r="D128" s="17">
        <v>1</v>
      </c>
      <c r="E128" s="17">
        <v>90</v>
      </c>
      <c r="F128" s="19">
        <f t="shared" si="3"/>
        <v>1</v>
      </c>
      <c r="G128" s="17">
        <v>1</v>
      </c>
      <c r="H128" s="17">
        <v>1</v>
      </c>
      <c r="I128" s="17">
        <v>1</v>
      </c>
      <c r="J128" s="17">
        <v>1</v>
      </c>
      <c r="K128" s="17">
        <v>1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1</v>
      </c>
      <c r="S128" s="17">
        <v>0</v>
      </c>
      <c r="T128" s="17">
        <v>0</v>
      </c>
      <c r="U128" s="17">
        <v>0</v>
      </c>
      <c r="V128" s="17"/>
      <c r="W128" s="17">
        <v>1</v>
      </c>
      <c r="X128" s="17">
        <v>2</v>
      </c>
      <c r="Y128" s="17">
        <v>2</v>
      </c>
      <c r="Z128" s="17">
        <v>2</v>
      </c>
      <c r="AA128" s="17">
        <v>4</v>
      </c>
      <c r="AB128" s="17">
        <v>2</v>
      </c>
      <c r="AC128" s="17">
        <v>2</v>
      </c>
      <c r="AD128" s="20">
        <v>2</v>
      </c>
      <c r="AE128" s="20">
        <v>4</v>
      </c>
      <c r="AF128" s="20">
        <v>0</v>
      </c>
      <c r="AG128" s="20">
        <v>2</v>
      </c>
      <c r="AH128" s="20">
        <v>2</v>
      </c>
      <c r="AI128" s="20">
        <v>2</v>
      </c>
      <c r="AJ128" s="20">
        <v>0</v>
      </c>
      <c r="AK128" s="20">
        <v>4</v>
      </c>
      <c r="AL128" s="20">
        <v>2</v>
      </c>
      <c r="AM128" s="20">
        <v>0</v>
      </c>
      <c r="AN128" s="21">
        <f t="shared" si="4"/>
        <v>6</v>
      </c>
      <c r="AO128" s="21">
        <v>10</v>
      </c>
      <c r="AP128" s="21">
        <v>6</v>
      </c>
      <c r="AQ128" s="20">
        <v>72</v>
      </c>
      <c r="AR128" s="20" t="s">
        <v>85</v>
      </c>
      <c r="AS128" s="21">
        <f t="shared" si="5"/>
        <v>72</v>
      </c>
    </row>
    <row r="129" spans="1:45" ht="15" customHeight="1">
      <c r="A129" s="17">
        <v>128</v>
      </c>
      <c r="B129" s="17"/>
      <c r="C129" s="18"/>
      <c r="D129" s="17">
        <v>1</v>
      </c>
      <c r="E129" s="17">
        <v>76</v>
      </c>
      <c r="F129" s="19">
        <f t="shared" si="3"/>
        <v>1</v>
      </c>
      <c r="G129" s="17">
        <v>2</v>
      </c>
      <c r="H129" s="17">
        <v>1</v>
      </c>
      <c r="I129" s="17">
        <v>3</v>
      </c>
      <c r="J129" s="17">
        <v>1</v>
      </c>
      <c r="K129" s="17">
        <v>1</v>
      </c>
      <c r="L129" s="17">
        <v>0</v>
      </c>
      <c r="M129" s="17">
        <v>0</v>
      </c>
      <c r="N129" s="17">
        <v>0</v>
      </c>
      <c r="O129" s="17">
        <v>0</v>
      </c>
      <c r="P129" s="17">
        <v>1</v>
      </c>
      <c r="Q129" s="17">
        <v>1</v>
      </c>
      <c r="R129" s="17">
        <v>1</v>
      </c>
      <c r="S129" s="17">
        <v>0</v>
      </c>
      <c r="T129" s="17">
        <v>0</v>
      </c>
      <c r="U129" s="17">
        <v>0</v>
      </c>
      <c r="V129" s="17"/>
      <c r="W129" s="17">
        <v>4</v>
      </c>
      <c r="X129" s="17">
        <v>0</v>
      </c>
      <c r="Y129" s="17">
        <v>0</v>
      </c>
      <c r="Z129" s="17">
        <v>0</v>
      </c>
      <c r="AA129" s="17">
        <v>4</v>
      </c>
      <c r="AB129" s="17">
        <v>2</v>
      </c>
      <c r="AC129" s="17">
        <v>0</v>
      </c>
      <c r="AD129" s="20">
        <v>2</v>
      </c>
      <c r="AE129" s="20">
        <v>0</v>
      </c>
      <c r="AF129" s="20">
        <v>0</v>
      </c>
      <c r="AG129" s="20">
        <v>0</v>
      </c>
      <c r="AH129" s="20">
        <v>0</v>
      </c>
      <c r="AI129" s="20">
        <v>0</v>
      </c>
      <c r="AJ129" s="20">
        <v>0</v>
      </c>
      <c r="AK129" s="20">
        <v>4</v>
      </c>
      <c r="AL129" s="20">
        <v>2</v>
      </c>
      <c r="AM129" s="20">
        <v>0</v>
      </c>
      <c r="AN129" s="21">
        <f t="shared" si="4"/>
        <v>4</v>
      </c>
      <c r="AO129" s="21">
        <v>0</v>
      </c>
      <c r="AP129" s="21">
        <v>6</v>
      </c>
      <c r="AQ129" s="20">
        <v>91</v>
      </c>
      <c r="AR129" s="20" t="s">
        <v>85</v>
      </c>
      <c r="AS129" s="21">
        <f t="shared" si="5"/>
        <v>91</v>
      </c>
    </row>
    <row r="130" spans="1:45" ht="15" customHeight="1">
      <c r="A130" s="17">
        <v>129</v>
      </c>
      <c r="B130" s="17"/>
      <c r="C130" s="18"/>
      <c r="D130" s="17">
        <v>1</v>
      </c>
      <c r="E130" s="17">
        <v>73</v>
      </c>
      <c r="F130" s="19">
        <f t="shared" ref="F130:F193" si="6">IF(E130="","",IF(E130&lt;70,0,1))</f>
        <v>1</v>
      </c>
      <c r="G130" s="17">
        <v>2</v>
      </c>
      <c r="H130" s="17">
        <v>3</v>
      </c>
      <c r="I130" s="17">
        <v>2</v>
      </c>
      <c r="J130" s="17">
        <v>2</v>
      </c>
      <c r="K130" s="17">
        <v>1</v>
      </c>
      <c r="L130" s="17">
        <v>0</v>
      </c>
      <c r="M130" s="17">
        <v>0</v>
      </c>
      <c r="N130" s="17">
        <v>0</v>
      </c>
      <c r="O130" s="17">
        <v>1</v>
      </c>
      <c r="P130" s="17">
        <v>1</v>
      </c>
      <c r="Q130" s="17">
        <v>0</v>
      </c>
      <c r="R130" s="17">
        <v>1</v>
      </c>
      <c r="S130" s="17">
        <v>0</v>
      </c>
      <c r="T130" s="17">
        <v>0</v>
      </c>
      <c r="U130" s="17">
        <v>0</v>
      </c>
      <c r="V130" s="17"/>
      <c r="W130" s="17">
        <v>2</v>
      </c>
      <c r="X130" s="17">
        <v>0</v>
      </c>
      <c r="Y130" s="17">
        <v>0</v>
      </c>
      <c r="Z130" s="17">
        <v>2</v>
      </c>
      <c r="AA130" s="17">
        <v>4</v>
      </c>
      <c r="AB130" s="17">
        <v>2</v>
      </c>
      <c r="AC130" s="17">
        <v>0</v>
      </c>
      <c r="AD130" s="20">
        <v>2</v>
      </c>
      <c r="AE130" s="20">
        <v>0</v>
      </c>
      <c r="AF130" s="20">
        <v>0</v>
      </c>
      <c r="AG130" s="20">
        <v>0</v>
      </c>
      <c r="AH130" s="20">
        <v>4</v>
      </c>
      <c r="AI130" s="20">
        <v>0</v>
      </c>
      <c r="AJ130" s="20">
        <v>0</v>
      </c>
      <c r="AK130" s="20">
        <v>2</v>
      </c>
      <c r="AL130" s="20">
        <v>2</v>
      </c>
      <c r="AM130" s="20">
        <v>0</v>
      </c>
      <c r="AN130" s="21">
        <f t="shared" ref="AN130:AN193" si="7">IF(COUNTA(AB130:AD130)=0,"",SUM(AB130:AD130))</f>
        <v>4</v>
      </c>
      <c r="AO130" s="21">
        <v>4</v>
      </c>
      <c r="AP130" s="21">
        <v>4</v>
      </c>
      <c r="AQ130" s="20">
        <v>76</v>
      </c>
      <c r="AR130" s="20" t="s">
        <v>85</v>
      </c>
      <c r="AS130" s="21">
        <f t="shared" ref="AS130:AS193" si="8">IF(AQ130="","",IF(AR130="cm",AQ130,IF(AR130="inch",AQ130*2.54,"")))</f>
        <v>76</v>
      </c>
    </row>
    <row r="131" spans="1:45" ht="15" customHeight="1">
      <c r="A131" s="17">
        <v>130</v>
      </c>
      <c r="B131" s="17"/>
      <c r="C131" s="18"/>
      <c r="D131" s="17">
        <v>1</v>
      </c>
      <c r="E131" s="17">
        <v>77</v>
      </c>
      <c r="F131" s="19">
        <f t="shared" si="6"/>
        <v>1</v>
      </c>
      <c r="G131" s="17">
        <v>2</v>
      </c>
      <c r="H131" s="17">
        <v>4</v>
      </c>
      <c r="I131" s="17">
        <v>1</v>
      </c>
      <c r="J131" s="17">
        <v>3</v>
      </c>
      <c r="K131" s="17">
        <v>0</v>
      </c>
      <c r="L131" s="17">
        <v>1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1</v>
      </c>
      <c r="V131" s="17" t="s">
        <v>87</v>
      </c>
      <c r="W131" s="17">
        <v>4</v>
      </c>
      <c r="X131" s="17">
        <v>2</v>
      </c>
      <c r="Y131" s="17">
        <v>2</v>
      </c>
      <c r="Z131" s="17">
        <v>2</v>
      </c>
      <c r="AA131" s="17">
        <v>2</v>
      </c>
      <c r="AB131" s="17">
        <v>2</v>
      </c>
      <c r="AC131" s="17">
        <v>2</v>
      </c>
      <c r="AD131" s="20">
        <v>2</v>
      </c>
      <c r="AE131" s="20">
        <v>0</v>
      </c>
      <c r="AF131" s="20">
        <v>2</v>
      </c>
      <c r="AG131" s="20">
        <v>2</v>
      </c>
      <c r="AH131" s="20">
        <v>0</v>
      </c>
      <c r="AI131" s="20">
        <v>0</v>
      </c>
      <c r="AJ131" s="20">
        <v>0</v>
      </c>
      <c r="AK131" s="20">
        <v>2</v>
      </c>
      <c r="AL131" s="20">
        <v>2</v>
      </c>
      <c r="AM131" s="20">
        <v>0</v>
      </c>
      <c r="AN131" s="21">
        <f t="shared" si="7"/>
        <v>6</v>
      </c>
      <c r="AO131" s="21">
        <v>4</v>
      </c>
      <c r="AP131" s="21">
        <v>4</v>
      </c>
      <c r="AQ131" s="20">
        <v>69</v>
      </c>
      <c r="AR131" s="20" t="s">
        <v>85</v>
      </c>
      <c r="AS131" s="21">
        <f t="shared" si="8"/>
        <v>69</v>
      </c>
    </row>
    <row r="132" spans="1:45" ht="15" customHeight="1">
      <c r="A132" s="17">
        <v>131</v>
      </c>
      <c r="B132" s="17"/>
      <c r="C132" s="18"/>
      <c r="D132" s="17">
        <v>1</v>
      </c>
      <c r="E132" s="17">
        <v>83</v>
      </c>
      <c r="F132" s="19">
        <f t="shared" si="6"/>
        <v>1</v>
      </c>
      <c r="G132" s="17">
        <v>2</v>
      </c>
      <c r="H132" s="17">
        <v>2</v>
      </c>
      <c r="I132" s="17">
        <v>2</v>
      </c>
      <c r="J132" s="17">
        <v>3</v>
      </c>
      <c r="K132" s="17">
        <v>0</v>
      </c>
      <c r="L132" s="17">
        <v>1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 t="s">
        <v>88</v>
      </c>
      <c r="W132" s="17">
        <v>4</v>
      </c>
      <c r="X132" s="17">
        <v>2</v>
      </c>
      <c r="Y132" s="17">
        <v>2</v>
      </c>
      <c r="Z132" s="17">
        <v>2</v>
      </c>
      <c r="AA132" s="17">
        <v>2</v>
      </c>
      <c r="AB132" s="17">
        <v>2</v>
      </c>
      <c r="AC132" s="17">
        <v>2</v>
      </c>
      <c r="AD132" s="20">
        <v>2</v>
      </c>
      <c r="AE132" s="20">
        <v>0</v>
      </c>
      <c r="AF132" s="20">
        <v>0</v>
      </c>
      <c r="AG132" s="20">
        <v>0</v>
      </c>
      <c r="AH132" s="20">
        <v>0</v>
      </c>
      <c r="AI132" s="20">
        <v>2</v>
      </c>
      <c r="AJ132" s="20">
        <v>0</v>
      </c>
      <c r="AK132" s="20">
        <v>2</v>
      </c>
      <c r="AL132" s="20">
        <v>2</v>
      </c>
      <c r="AM132" s="20">
        <v>0</v>
      </c>
      <c r="AN132" s="21">
        <f t="shared" si="7"/>
        <v>6</v>
      </c>
      <c r="AO132" s="21">
        <v>2</v>
      </c>
      <c r="AP132" s="21">
        <v>4</v>
      </c>
      <c r="AQ132" s="20">
        <v>81</v>
      </c>
      <c r="AR132" s="20" t="s">
        <v>85</v>
      </c>
      <c r="AS132" s="21">
        <f t="shared" si="8"/>
        <v>81</v>
      </c>
    </row>
    <row r="133" spans="1:45" ht="15" customHeight="1">
      <c r="A133" s="17">
        <v>132</v>
      </c>
      <c r="B133" s="17"/>
      <c r="C133" s="18"/>
      <c r="D133" s="17">
        <v>1</v>
      </c>
      <c r="E133" s="17">
        <v>84</v>
      </c>
      <c r="F133" s="19">
        <f t="shared" si="6"/>
        <v>1</v>
      </c>
      <c r="G133" s="17">
        <v>2</v>
      </c>
      <c r="H133" s="17">
        <v>1</v>
      </c>
      <c r="I133" s="17">
        <v>3</v>
      </c>
      <c r="J133" s="17">
        <v>1</v>
      </c>
      <c r="K133" s="17">
        <v>0</v>
      </c>
      <c r="L133" s="17">
        <v>0</v>
      </c>
      <c r="M133" s="17">
        <v>0</v>
      </c>
      <c r="N133" s="17">
        <v>1</v>
      </c>
      <c r="O133" s="17">
        <v>0</v>
      </c>
      <c r="P133" s="17">
        <v>0</v>
      </c>
      <c r="Q133" s="17">
        <v>1</v>
      </c>
      <c r="R133" s="17">
        <v>1</v>
      </c>
      <c r="S133" s="17">
        <v>0</v>
      </c>
      <c r="T133" s="17">
        <v>0</v>
      </c>
      <c r="U133" s="17">
        <v>0</v>
      </c>
      <c r="V133" s="17"/>
      <c r="W133" s="17">
        <v>4</v>
      </c>
      <c r="X133" s="17">
        <v>2</v>
      </c>
      <c r="Y133" s="17">
        <v>2</v>
      </c>
      <c r="Z133" s="17">
        <v>2</v>
      </c>
      <c r="AA133" s="17">
        <v>4</v>
      </c>
      <c r="AB133" s="17">
        <v>2</v>
      </c>
      <c r="AC133" s="17">
        <v>0</v>
      </c>
      <c r="AD133" s="20">
        <v>2</v>
      </c>
      <c r="AE133" s="20">
        <v>0</v>
      </c>
      <c r="AF133" s="20">
        <v>0</v>
      </c>
      <c r="AG133" s="20">
        <v>2</v>
      </c>
      <c r="AH133" s="20">
        <v>0</v>
      </c>
      <c r="AI133" s="20">
        <v>2</v>
      </c>
      <c r="AJ133" s="20">
        <v>2</v>
      </c>
      <c r="AK133" s="20">
        <v>2</v>
      </c>
      <c r="AL133" s="20">
        <v>2</v>
      </c>
      <c r="AM133" s="20">
        <v>0</v>
      </c>
      <c r="AN133" s="21">
        <f t="shared" si="7"/>
        <v>4</v>
      </c>
      <c r="AO133" s="21">
        <v>6</v>
      </c>
      <c r="AP133" s="21">
        <v>4</v>
      </c>
      <c r="AQ133" s="20">
        <v>76</v>
      </c>
      <c r="AR133" s="20" t="s">
        <v>85</v>
      </c>
      <c r="AS133" s="21">
        <f t="shared" si="8"/>
        <v>76</v>
      </c>
    </row>
    <row r="134" spans="1:45" ht="15" customHeight="1">
      <c r="A134" s="17">
        <v>133</v>
      </c>
      <c r="B134" s="17"/>
      <c r="C134" s="18"/>
      <c r="D134" s="17">
        <v>1</v>
      </c>
      <c r="E134" s="17">
        <v>73</v>
      </c>
      <c r="F134" s="19">
        <f t="shared" si="6"/>
        <v>1</v>
      </c>
      <c r="G134" s="17">
        <v>2</v>
      </c>
      <c r="H134" s="17">
        <v>1</v>
      </c>
      <c r="I134" s="17">
        <v>1</v>
      </c>
      <c r="J134" s="17">
        <v>1</v>
      </c>
      <c r="K134" s="17">
        <v>1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1</v>
      </c>
      <c r="R134" s="17">
        <v>1</v>
      </c>
      <c r="S134" s="17">
        <v>0</v>
      </c>
      <c r="T134" s="17">
        <v>0</v>
      </c>
      <c r="U134" s="17">
        <v>0</v>
      </c>
      <c r="V134" s="17"/>
      <c r="W134" s="17">
        <v>1</v>
      </c>
      <c r="X134" s="17">
        <v>2</v>
      </c>
      <c r="Y134" s="17">
        <v>2</v>
      </c>
      <c r="Z134" s="17">
        <v>2</v>
      </c>
      <c r="AA134" s="17">
        <v>4</v>
      </c>
      <c r="AB134" s="17">
        <v>4</v>
      </c>
      <c r="AC134" s="17">
        <v>2</v>
      </c>
      <c r="AD134" s="20">
        <v>2</v>
      </c>
      <c r="AE134" s="20">
        <v>0</v>
      </c>
      <c r="AF134" s="20">
        <v>0</v>
      </c>
      <c r="AG134" s="20">
        <v>2</v>
      </c>
      <c r="AH134" s="20">
        <v>0</v>
      </c>
      <c r="AI134" s="20">
        <v>2</v>
      </c>
      <c r="AJ134" s="20">
        <v>2</v>
      </c>
      <c r="AK134" s="20">
        <v>2</v>
      </c>
      <c r="AL134" s="20">
        <v>2</v>
      </c>
      <c r="AM134" s="20">
        <v>0</v>
      </c>
      <c r="AN134" s="21">
        <f t="shared" si="7"/>
        <v>8</v>
      </c>
      <c r="AO134" s="21">
        <v>6</v>
      </c>
      <c r="AP134" s="21">
        <v>4</v>
      </c>
      <c r="AQ134" s="20">
        <v>77.5</v>
      </c>
      <c r="AR134" s="20" t="s">
        <v>85</v>
      </c>
      <c r="AS134" s="21">
        <f t="shared" si="8"/>
        <v>77.5</v>
      </c>
    </row>
    <row r="135" spans="1:45" ht="15" customHeight="1">
      <c r="A135" s="17">
        <v>134</v>
      </c>
      <c r="B135" s="17"/>
      <c r="C135" s="18"/>
      <c r="D135" s="17">
        <v>1</v>
      </c>
      <c r="E135" s="17">
        <v>81</v>
      </c>
      <c r="F135" s="19">
        <f t="shared" si="6"/>
        <v>1</v>
      </c>
      <c r="G135" s="17">
        <v>2</v>
      </c>
      <c r="H135" s="17">
        <v>2</v>
      </c>
      <c r="I135" s="17">
        <v>3</v>
      </c>
      <c r="J135" s="17">
        <v>2</v>
      </c>
      <c r="K135" s="17">
        <v>0</v>
      </c>
      <c r="L135" s="17">
        <v>0</v>
      </c>
      <c r="M135" s="17">
        <v>0</v>
      </c>
      <c r="N135" s="17">
        <v>1</v>
      </c>
      <c r="O135" s="17">
        <v>0</v>
      </c>
      <c r="P135" s="17">
        <v>0</v>
      </c>
      <c r="Q135" s="17">
        <v>1</v>
      </c>
      <c r="R135" s="17">
        <v>0</v>
      </c>
      <c r="S135" s="17">
        <v>0</v>
      </c>
      <c r="T135" s="17">
        <v>0</v>
      </c>
      <c r="U135" s="17">
        <v>0</v>
      </c>
      <c r="V135" s="17"/>
      <c r="W135" s="17">
        <v>4</v>
      </c>
      <c r="X135" s="17">
        <v>2</v>
      </c>
      <c r="Y135" s="17">
        <v>2</v>
      </c>
      <c r="Z135" s="17">
        <v>2</v>
      </c>
      <c r="AA135" s="17">
        <v>4</v>
      </c>
      <c r="AB135" s="17">
        <v>2</v>
      </c>
      <c r="AC135" s="17">
        <v>2</v>
      </c>
      <c r="AD135" s="20">
        <v>2</v>
      </c>
      <c r="AE135" s="20">
        <v>0</v>
      </c>
      <c r="AF135" s="20">
        <v>0</v>
      </c>
      <c r="AG135" s="20">
        <v>2</v>
      </c>
      <c r="AH135" s="20">
        <v>0</v>
      </c>
      <c r="AI135" s="20">
        <v>0</v>
      </c>
      <c r="AJ135" s="20">
        <v>2</v>
      </c>
      <c r="AK135" s="20">
        <v>2</v>
      </c>
      <c r="AL135" s="20">
        <v>2</v>
      </c>
      <c r="AM135" s="20">
        <v>0</v>
      </c>
      <c r="AN135" s="21">
        <f t="shared" si="7"/>
        <v>6</v>
      </c>
      <c r="AO135" s="21">
        <v>4</v>
      </c>
      <c r="AP135" s="21">
        <v>4</v>
      </c>
      <c r="AQ135" s="20">
        <v>65.5</v>
      </c>
      <c r="AR135" s="20" t="s">
        <v>85</v>
      </c>
      <c r="AS135" s="21">
        <f t="shared" si="8"/>
        <v>65.5</v>
      </c>
    </row>
    <row r="136" spans="1:45" ht="15" customHeight="1">
      <c r="A136" s="17">
        <v>135</v>
      </c>
      <c r="B136" s="17"/>
      <c r="C136" s="18"/>
      <c r="D136" s="17">
        <v>1</v>
      </c>
      <c r="E136" s="17">
        <v>81</v>
      </c>
      <c r="F136" s="19">
        <f t="shared" si="6"/>
        <v>1</v>
      </c>
      <c r="G136" s="17">
        <v>2</v>
      </c>
      <c r="H136" s="17">
        <v>1</v>
      </c>
      <c r="I136" s="17">
        <v>3</v>
      </c>
      <c r="J136" s="17">
        <v>2</v>
      </c>
      <c r="K136" s="17">
        <v>0</v>
      </c>
      <c r="L136" s="17">
        <v>0</v>
      </c>
      <c r="M136" s="17">
        <v>0</v>
      </c>
      <c r="N136" s="17">
        <v>1</v>
      </c>
      <c r="O136" s="17">
        <v>0</v>
      </c>
      <c r="P136" s="17">
        <v>0</v>
      </c>
      <c r="Q136" s="17">
        <v>1</v>
      </c>
      <c r="R136" s="17">
        <v>0</v>
      </c>
      <c r="S136" s="17">
        <v>0</v>
      </c>
      <c r="T136" s="17">
        <v>0</v>
      </c>
      <c r="U136" s="17">
        <v>0</v>
      </c>
      <c r="V136" s="17" t="s">
        <v>108</v>
      </c>
      <c r="W136" s="17">
        <v>4</v>
      </c>
      <c r="X136" s="17">
        <v>0</v>
      </c>
      <c r="Y136" s="17">
        <v>2</v>
      </c>
      <c r="Z136" s="17">
        <v>2</v>
      </c>
      <c r="AA136" s="17">
        <v>4</v>
      </c>
      <c r="AB136" s="17">
        <v>2</v>
      </c>
      <c r="AC136" s="17">
        <v>2</v>
      </c>
      <c r="AD136" s="20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0</v>
      </c>
      <c r="AJ136" s="20">
        <v>2</v>
      </c>
      <c r="AK136" s="20">
        <v>2</v>
      </c>
      <c r="AL136" s="20">
        <v>4</v>
      </c>
      <c r="AM136" s="20">
        <v>0</v>
      </c>
      <c r="AN136" s="21">
        <f t="shared" si="7"/>
        <v>4</v>
      </c>
      <c r="AO136" s="21">
        <v>2</v>
      </c>
      <c r="AP136" s="21">
        <v>6</v>
      </c>
      <c r="AQ136" s="20">
        <v>89</v>
      </c>
      <c r="AR136" s="20" t="s">
        <v>85</v>
      </c>
      <c r="AS136" s="21">
        <f t="shared" si="8"/>
        <v>89</v>
      </c>
    </row>
    <row r="137" spans="1:45" ht="15" customHeight="1">
      <c r="A137" s="17">
        <v>136</v>
      </c>
      <c r="B137" s="17"/>
      <c r="C137" s="18"/>
      <c r="D137" s="17">
        <v>1</v>
      </c>
      <c r="E137" s="17">
        <v>79</v>
      </c>
      <c r="F137" s="19">
        <f t="shared" si="6"/>
        <v>1</v>
      </c>
      <c r="G137" s="17">
        <v>2</v>
      </c>
      <c r="H137" s="17">
        <v>2</v>
      </c>
      <c r="I137" s="17">
        <v>3</v>
      </c>
      <c r="J137" s="17">
        <v>3</v>
      </c>
      <c r="K137" s="17">
        <v>0</v>
      </c>
      <c r="L137" s="17">
        <v>1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1</v>
      </c>
      <c r="S137" s="17">
        <v>0</v>
      </c>
      <c r="T137" s="17">
        <v>1</v>
      </c>
      <c r="U137" s="17">
        <v>0</v>
      </c>
      <c r="V137" s="17"/>
      <c r="W137" s="17">
        <v>4</v>
      </c>
      <c r="X137" s="17">
        <v>2</v>
      </c>
      <c r="Y137" s="17">
        <v>2</v>
      </c>
      <c r="Z137" s="17">
        <v>0</v>
      </c>
      <c r="AA137" s="17">
        <v>4</v>
      </c>
      <c r="AB137" s="17">
        <v>2</v>
      </c>
      <c r="AC137" s="17">
        <v>0</v>
      </c>
      <c r="AD137" s="20">
        <v>0</v>
      </c>
      <c r="AE137" s="20">
        <v>0</v>
      </c>
      <c r="AF137" s="20">
        <v>0</v>
      </c>
      <c r="AG137" s="20">
        <v>0</v>
      </c>
      <c r="AH137" s="20">
        <v>0</v>
      </c>
      <c r="AI137" s="20">
        <v>0</v>
      </c>
      <c r="AJ137" s="20">
        <v>0</v>
      </c>
      <c r="AK137" s="20">
        <v>2</v>
      </c>
      <c r="AL137" s="20">
        <v>2</v>
      </c>
      <c r="AM137" s="20">
        <v>0</v>
      </c>
      <c r="AN137" s="21">
        <f t="shared" si="7"/>
        <v>2</v>
      </c>
      <c r="AO137" s="21">
        <v>0</v>
      </c>
      <c r="AP137" s="21">
        <v>4</v>
      </c>
      <c r="AQ137" s="20">
        <v>62</v>
      </c>
      <c r="AR137" s="20" t="s">
        <v>85</v>
      </c>
      <c r="AS137" s="21">
        <f t="shared" si="8"/>
        <v>62</v>
      </c>
    </row>
    <row r="138" spans="1:45" ht="15" customHeight="1">
      <c r="A138" s="17">
        <v>137</v>
      </c>
      <c r="B138" s="17"/>
      <c r="C138" s="18"/>
      <c r="D138" s="17">
        <v>1</v>
      </c>
      <c r="E138" s="17">
        <v>80</v>
      </c>
      <c r="F138" s="19">
        <f t="shared" si="6"/>
        <v>1</v>
      </c>
      <c r="G138" s="17">
        <v>2</v>
      </c>
      <c r="H138" s="17">
        <v>1</v>
      </c>
      <c r="I138" s="17">
        <v>3</v>
      </c>
      <c r="J138" s="17">
        <v>3</v>
      </c>
      <c r="K138" s="17">
        <v>0</v>
      </c>
      <c r="L138" s="17">
        <v>0</v>
      </c>
      <c r="M138" s="17">
        <v>0</v>
      </c>
      <c r="N138" s="17">
        <v>0</v>
      </c>
      <c r="O138" s="17">
        <v>1</v>
      </c>
      <c r="P138" s="17">
        <v>1</v>
      </c>
      <c r="Q138" s="17">
        <v>1</v>
      </c>
      <c r="R138" s="17">
        <v>1</v>
      </c>
      <c r="S138" s="17">
        <v>0</v>
      </c>
      <c r="T138" s="17">
        <v>0</v>
      </c>
      <c r="U138" s="17">
        <v>0</v>
      </c>
      <c r="V138" s="17"/>
      <c r="W138" s="17">
        <v>4</v>
      </c>
      <c r="X138" s="17">
        <v>2</v>
      </c>
      <c r="Y138" s="17">
        <v>2</v>
      </c>
      <c r="Z138" s="17">
        <v>0</v>
      </c>
      <c r="AA138" s="17">
        <v>4</v>
      </c>
      <c r="AB138" s="17">
        <v>2</v>
      </c>
      <c r="AC138" s="17">
        <v>2</v>
      </c>
      <c r="AD138" s="20">
        <v>2</v>
      </c>
      <c r="AE138" s="20">
        <v>0</v>
      </c>
      <c r="AF138" s="20">
        <v>0</v>
      </c>
      <c r="AG138" s="20">
        <v>0</v>
      </c>
      <c r="AH138" s="20">
        <v>0</v>
      </c>
      <c r="AI138" s="20">
        <v>0</v>
      </c>
      <c r="AJ138" s="20">
        <v>0</v>
      </c>
      <c r="AK138" s="20">
        <v>2</v>
      </c>
      <c r="AL138" s="20">
        <v>2</v>
      </c>
      <c r="AM138" s="20">
        <v>0</v>
      </c>
      <c r="AN138" s="21">
        <f t="shared" si="7"/>
        <v>6</v>
      </c>
      <c r="AO138" s="21">
        <v>0</v>
      </c>
      <c r="AP138" s="21">
        <v>4</v>
      </c>
      <c r="AQ138" s="20">
        <v>82.5</v>
      </c>
      <c r="AR138" s="20" t="s">
        <v>85</v>
      </c>
      <c r="AS138" s="21">
        <f t="shared" si="8"/>
        <v>82.5</v>
      </c>
    </row>
    <row r="139" spans="1:45" ht="15" customHeight="1">
      <c r="A139" s="17">
        <v>138</v>
      </c>
      <c r="B139" s="17"/>
      <c r="C139" s="18"/>
      <c r="D139" s="17">
        <v>1</v>
      </c>
      <c r="E139" s="17">
        <v>72</v>
      </c>
      <c r="F139" s="19">
        <f t="shared" si="6"/>
        <v>1</v>
      </c>
      <c r="G139" s="17">
        <v>2</v>
      </c>
      <c r="H139" s="17">
        <v>2</v>
      </c>
      <c r="I139" s="17">
        <v>2</v>
      </c>
      <c r="J139" s="17">
        <v>1</v>
      </c>
      <c r="K139" s="17">
        <v>1</v>
      </c>
      <c r="L139" s="17">
        <v>0</v>
      </c>
      <c r="M139" s="17">
        <v>0</v>
      </c>
      <c r="N139" s="17">
        <v>1</v>
      </c>
      <c r="O139" s="17">
        <v>0</v>
      </c>
      <c r="P139" s="17">
        <v>0</v>
      </c>
      <c r="Q139" s="17">
        <v>0</v>
      </c>
      <c r="R139" s="17">
        <v>1</v>
      </c>
      <c r="S139" s="17">
        <v>0</v>
      </c>
      <c r="T139" s="17">
        <v>0</v>
      </c>
      <c r="U139" s="17">
        <v>1</v>
      </c>
      <c r="V139" s="17" t="s">
        <v>109</v>
      </c>
      <c r="W139" s="17">
        <v>4</v>
      </c>
      <c r="X139" s="17">
        <v>2</v>
      </c>
      <c r="Y139" s="17">
        <v>2</v>
      </c>
      <c r="Z139" s="17">
        <v>2</v>
      </c>
      <c r="AA139" s="17">
        <v>4</v>
      </c>
      <c r="AB139" s="17">
        <v>2</v>
      </c>
      <c r="AC139" s="17">
        <v>2</v>
      </c>
      <c r="AD139" s="20">
        <v>2</v>
      </c>
      <c r="AE139" s="20">
        <v>0</v>
      </c>
      <c r="AF139" s="20">
        <v>0</v>
      </c>
      <c r="AG139" s="20">
        <v>0</v>
      </c>
      <c r="AH139" s="20">
        <v>2</v>
      </c>
      <c r="AI139" s="20">
        <v>0</v>
      </c>
      <c r="AJ139" s="20">
        <v>2</v>
      </c>
      <c r="AK139" s="20">
        <v>4</v>
      </c>
      <c r="AL139" s="20">
        <v>2</v>
      </c>
      <c r="AM139" s="20">
        <v>0</v>
      </c>
      <c r="AN139" s="21">
        <f t="shared" si="7"/>
        <v>6</v>
      </c>
      <c r="AO139" s="21">
        <v>4</v>
      </c>
      <c r="AP139" s="21">
        <v>6</v>
      </c>
      <c r="AQ139" s="20">
        <v>67</v>
      </c>
      <c r="AR139" s="20" t="s">
        <v>85</v>
      </c>
      <c r="AS139" s="21">
        <f t="shared" si="8"/>
        <v>67</v>
      </c>
    </row>
    <row r="140" spans="1:45" ht="15" customHeight="1">
      <c r="A140" s="17">
        <v>139</v>
      </c>
      <c r="B140" s="17"/>
      <c r="C140" s="18"/>
      <c r="D140" s="17">
        <v>1</v>
      </c>
      <c r="E140" s="17">
        <v>78</v>
      </c>
      <c r="F140" s="19">
        <f t="shared" si="6"/>
        <v>1</v>
      </c>
      <c r="G140" s="17">
        <v>2</v>
      </c>
      <c r="H140" s="17">
        <v>3</v>
      </c>
      <c r="I140" s="17">
        <v>2</v>
      </c>
      <c r="J140" s="17">
        <v>2</v>
      </c>
      <c r="K140" s="17">
        <v>0</v>
      </c>
      <c r="L140" s="17">
        <v>0</v>
      </c>
      <c r="M140" s="17">
        <v>0</v>
      </c>
      <c r="N140" s="17">
        <v>1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 t="s">
        <v>88</v>
      </c>
      <c r="W140" s="17">
        <v>4</v>
      </c>
      <c r="X140" s="17">
        <v>2</v>
      </c>
      <c r="Y140" s="17">
        <v>0</v>
      </c>
      <c r="Z140" s="17">
        <v>2</v>
      </c>
      <c r="AA140" s="17">
        <v>2</v>
      </c>
      <c r="AB140" s="17">
        <v>0</v>
      </c>
      <c r="AC140" s="17">
        <v>2</v>
      </c>
      <c r="AD140" s="20">
        <v>2</v>
      </c>
      <c r="AE140" s="20">
        <v>0</v>
      </c>
      <c r="AF140" s="20">
        <v>0</v>
      </c>
      <c r="AG140" s="20">
        <v>2</v>
      </c>
      <c r="AH140" s="20">
        <v>0</v>
      </c>
      <c r="AI140" s="20">
        <v>0</v>
      </c>
      <c r="AJ140" s="20">
        <v>2</v>
      </c>
      <c r="AK140" s="20">
        <v>2</v>
      </c>
      <c r="AL140" s="20">
        <v>2</v>
      </c>
      <c r="AM140" s="20">
        <v>0</v>
      </c>
      <c r="AN140" s="21">
        <f t="shared" si="7"/>
        <v>4</v>
      </c>
      <c r="AO140" s="21">
        <v>4</v>
      </c>
      <c r="AP140" s="21">
        <v>4</v>
      </c>
      <c r="AQ140" s="20">
        <v>78</v>
      </c>
      <c r="AR140" s="20" t="s">
        <v>85</v>
      </c>
      <c r="AS140" s="21">
        <f t="shared" si="8"/>
        <v>78</v>
      </c>
    </row>
    <row r="141" spans="1:45" ht="15" customHeight="1">
      <c r="A141" s="17">
        <v>140</v>
      </c>
      <c r="B141" s="17"/>
      <c r="C141" s="18"/>
      <c r="D141" s="17">
        <v>1</v>
      </c>
      <c r="E141" s="17">
        <v>87</v>
      </c>
      <c r="F141" s="19">
        <f t="shared" si="6"/>
        <v>1</v>
      </c>
      <c r="G141" s="17">
        <v>1</v>
      </c>
      <c r="H141" s="17">
        <v>4</v>
      </c>
      <c r="I141" s="17">
        <v>2</v>
      </c>
      <c r="J141" s="17">
        <v>1</v>
      </c>
      <c r="K141" s="17">
        <v>1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1</v>
      </c>
      <c r="S141" s="17">
        <v>0</v>
      </c>
      <c r="T141" s="17">
        <v>0</v>
      </c>
      <c r="U141" s="17">
        <v>1</v>
      </c>
      <c r="V141" s="17" t="s">
        <v>110</v>
      </c>
      <c r="W141" s="17">
        <v>4</v>
      </c>
      <c r="X141" s="17">
        <v>0</v>
      </c>
      <c r="Y141" s="17">
        <v>2</v>
      </c>
      <c r="Z141" s="17">
        <v>2</v>
      </c>
      <c r="AA141" s="17">
        <v>4</v>
      </c>
      <c r="AB141" s="17">
        <v>2</v>
      </c>
      <c r="AC141" s="17">
        <v>2</v>
      </c>
      <c r="AD141" s="20">
        <v>2</v>
      </c>
      <c r="AE141" s="20">
        <v>0</v>
      </c>
      <c r="AF141" s="20">
        <v>0</v>
      </c>
      <c r="AG141" s="20">
        <v>0</v>
      </c>
      <c r="AH141" s="20">
        <v>2</v>
      </c>
      <c r="AI141" s="20">
        <v>0</v>
      </c>
      <c r="AJ141" s="20">
        <v>0</v>
      </c>
      <c r="AK141" s="20">
        <v>2</v>
      </c>
      <c r="AL141" s="20">
        <v>2</v>
      </c>
      <c r="AM141" s="20">
        <v>0</v>
      </c>
      <c r="AN141" s="21">
        <f t="shared" si="7"/>
        <v>6</v>
      </c>
      <c r="AO141" s="21">
        <v>2</v>
      </c>
      <c r="AP141" s="21">
        <v>4</v>
      </c>
      <c r="AQ141" s="20">
        <v>95.7</v>
      </c>
      <c r="AR141" s="20" t="s">
        <v>85</v>
      </c>
      <c r="AS141" s="21">
        <f t="shared" si="8"/>
        <v>95.7</v>
      </c>
    </row>
    <row r="142" spans="1:45" ht="15" customHeight="1">
      <c r="A142" s="17">
        <v>141</v>
      </c>
      <c r="B142" s="17"/>
      <c r="C142" s="18"/>
      <c r="D142" s="17">
        <v>1</v>
      </c>
      <c r="E142" s="17">
        <v>74</v>
      </c>
      <c r="F142" s="19">
        <f t="shared" si="6"/>
        <v>1</v>
      </c>
      <c r="G142" s="17">
        <v>2</v>
      </c>
      <c r="H142" s="17">
        <v>1</v>
      </c>
      <c r="I142" s="17">
        <v>2</v>
      </c>
      <c r="J142" s="17">
        <v>1</v>
      </c>
      <c r="K142" s="17">
        <v>0</v>
      </c>
      <c r="L142" s="17">
        <v>0</v>
      </c>
      <c r="M142" s="17">
        <v>0</v>
      </c>
      <c r="N142" s="17">
        <v>1</v>
      </c>
      <c r="O142" s="17">
        <v>0</v>
      </c>
      <c r="P142" s="17">
        <v>1</v>
      </c>
      <c r="Q142" s="17">
        <v>1</v>
      </c>
      <c r="R142" s="17">
        <v>0</v>
      </c>
      <c r="S142" s="17">
        <v>0</v>
      </c>
      <c r="T142" s="17">
        <v>0</v>
      </c>
      <c r="U142" s="17">
        <v>0</v>
      </c>
      <c r="V142" s="17"/>
      <c r="W142" s="17">
        <v>4</v>
      </c>
      <c r="X142" s="17">
        <v>0</v>
      </c>
      <c r="Y142" s="17">
        <v>2</v>
      </c>
      <c r="Z142" s="17">
        <v>2</v>
      </c>
      <c r="AA142" s="17">
        <v>4</v>
      </c>
      <c r="AB142" s="17">
        <v>2</v>
      </c>
      <c r="AC142" s="17">
        <v>2</v>
      </c>
      <c r="AD142" s="20">
        <v>2</v>
      </c>
      <c r="AE142" s="20">
        <v>0</v>
      </c>
      <c r="AF142" s="20">
        <v>0</v>
      </c>
      <c r="AG142" s="20">
        <v>2</v>
      </c>
      <c r="AH142" s="20">
        <v>0</v>
      </c>
      <c r="AI142" s="20">
        <v>0</v>
      </c>
      <c r="AJ142" s="20">
        <v>0</v>
      </c>
      <c r="AK142" s="20">
        <v>2</v>
      </c>
      <c r="AL142" s="20">
        <v>2</v>
      </c>
      <c r="AM142" s="20">
        <v>0</v>
      </c>
      <c r="AN142" s="21">
        <f t="shared" si="7"/>
        <v>6</v>
      </c>
      <c r="AO142" s="21">
        <v>2</v>
      </c>
      <c r="AP142" s="21">
        <v>4</v>
      </c>
      <c r="AQ142" s="20">
        <v>104</v>
      </c>
      <c r="AR142" s="20" t="s">
        <v>85</v>
      </c>
      <c r="AS142" s="21">
        <f t="shared" si="8"/>
        <v>104</v>
      </c>
    </row>
    <row r="143" spans="1:45" ht="15" customHeight="1">
      <c r="A143" s="17">
        <v>142</v>
      </c>
      <c r="B143" s="17"/>
      <c r="C143" s="18"/>
      <c r="D143" s="17">
        <v>1</v>
      </c>
      <c r="E143" s="17">
        <v>76</v>
      </c>
      <c r="F143" s="19">
        <f t="shared" si="6"/>
        <v>1</v>
      </c>
      <c r="G143" s="17">
        <v>2</v>
      </c>
      <c r="H143" s="17">
        <v>3</v>
      </c>
      <c r="I143" s="17">
        <v>2</v>
      </c>
      <c r="J143" s="17">
        <v>3</v>
      </c>
      <c r="K143" s="17">
        <v>0</v>
      </c>
      <c r="L143" s="17">
        <v>0</v>
      </c>
      <c r="M143" s="17">
        <v>1</v>
      </c>
      <c r="N143" s="17">
        <v>0</v>
      </c>
      <c r="O143" s="17">
        <v>0</v>
      </c>
      <c r="P143" s="17">
        <v>0</v>
      </c>
      <c r="Q143" s="17">
        <v>0</v>
      </c>
      <c r="R143" s="17">
        <v>1</v>
      </c>
      <c r="S143" s="17">
        <v>0</v>
      </c>
      <c r="T143" s="17">
        <v>0</v>
      </c>
      <c r="U143" s="17">
        <v>1</v>
      </c>
      <c r="V143" s="17" t="s">
        <v>87</v>
      </c>
      <c r="W143" s="17">
        <v>2</v>
      </c>
      <c r="X143" s="17">
        <v>2</v>
      </c>
      <c r="Y143" s="17">
        <v>2</v>
      </c>
      <c r="Z143" s="17">
        <v>2</v>
      </c>
      <c r="AA143" s="17">
        <v>4</v>
      </c>
      <c r="AB143" s="17">
        <v>2</v>
      </c>
      <c r="AC143" s="17">
        <v>2</v>
      </c>
      <c r="AD143" s="20">
        <v>2</v>
      </c>
      <c r="AE143" s="20">
        <v>0</v>
      </c>
      <c r="AF143" s="20">
        <v>0</v>
      </c>
      <c r="AG143" s="20">
        <v>0</v>
      </c>
      <c r="AH143" s="20">
        <v>0</v>
      </c>
      <c r="AI143" s="20">
        <v>2</v>
      </c>
      <c r="AJ143" s="20">
        <v>0</v>
      </c>
      <c r="AK143" s="20">
        <v>2</v>
      </c>
      <c r="AL143" s="20">
        <v>2</v>
      </c>
      <c r="AM143" s="20">
        <v>0</v>
      </c>
      <c r="AN143" s="21">
        <f t="shared" si="7"/>
        <v>6</v>
      </c>
      <c r="AO143" s="21">
        <v>2</v>
      </c>
      <c r="AP143" s="21">
        <v>4</v>
      </c>
      <c r="AQ143" s="20">
        <v>88</v>
      </c>
      <c r="AR143" s="20" t="s">
        <v>85</v>
      </c>
      <c r="AS143" s="21">
        <f t="shared" si="8"/>
        <v>88</v>
      </c>
    </row>
    <row r="144" spans="1:45" ht="15" customHeight="1">
      <c r="A144" s="17">
        <v>143</v>
      </c>
      <c r="B144" s="17"/>
      <c r="C144" s="18"/>
      <c r="D144" s="17">
        <v>1</v>
      </c>
      <c r="E144" s="17">
        <v>71</v>
      </c>
      <c r="F144" s="19">
        <f t="shared" si="6"/>
        <v>1</v>
      </c>
      <c r="G144" s="17">
        <v>1</v>
      </c>
      <c r="H144" s="17">
        <v>2</v>
      </c>
      <c r="I144" s="17">
        <v>1</v>
      </c>
      <c r="J144" s="17">
        <v>1</v>
      </c>
      <c r="K144" s="17">
        <v>1</v>
      </c>
      <c r="L144" s="17">
        <v>0</v>
      </c>
      <c r="M144" s="17">
        <v>0</v>
      </c>
      <c r="N144" s="17">
        <v>0</v>
      </c>
      <c r="O144" s="17">
        <v>1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 t="s">
        <v>88</v>
      </c>
      <c r="W144" s="17">
        <v>4</v>
      </c>
      <c r="X144" s="17">
        <v>2</v>
      </c>
      <c r="Y144" s="17">
        <v>2</v>
      </c>
      <c r="Z144" s="17">
        <v>2</v>
      </c>
      <c r="AA144" s="17">
        <v>2</v>
      </c>
      <c r="AB144" s="17">
        <v>2</v>
      </c>
      <c r="AC144" s="17">
        <v>2</v>
      </c>
      <c r="AD144" s="20">
        <v>2</v>
      </c>
      <c r="AE144" s="20">
        <v>0</v>
      </c>
      <c r="AF144" s="20">
        <v>0</v>
      </c>
      <c r="AG144" s="20">
        <v>0</v>
      </c>
      <c r="AH144" s="20">
        <v>0</v>
      </c>
      <c r="AI144" s="20">
        <v>0</v>
      </c>
      <c r="AJ144" s="20">
        <v>2</v>
      </c>
      <c r="AK144" s="20">
        <v>4</v>
      </c>
      <c r="AL144" s="20">
        <v>2</v>
      </c>
      <c r="AM144" s="20">
        <v>0</v>
      </c>
      <c r="AN144" s="21">
        <f t="shared" si="7"/>
        <v>6</v>
      </c>
      <c r="AO144" s="21">
        <v>2</v>
      </c>
      <c r="AP144" s="21">
        <v>6</v>
      </c>
      <c r="AQ144" s="20">
        <v>82</v>
      </c>
      <c r="AR144" s="20" t="s">
        <v>85</v>
      </c>
      <c r="AS144" s="21">
        <f t="shared" si="8"/>
        <v>82</v>
      </c>
    </row>
    <row r="145" spans="1:45" ht="15" customHeight="1">
      <c r="A145" s="17">
        <v>144</v>
      </c>
      <c r="B145" s="17"/>
      <c r="C145" s="18"/>
      <c r="D145" s="17">
        <v>1</v>
      </c>
      <c r="E145" s="17">
        <v>78</v>
      </c>
      <c r="F145" s="19">
        <f t="shared" si="6"/>
        <v>1</v>
      </c>
      <c r="G145" s="17">
        <v>2</v>
      </c>
      <c r="H145" s="17">
        <v>3</v>
      </c>
      <c r="I145" s="17">
        <v>3</v>
      </c>
      <c r="J145" s="17">
        <v>3</v>
      </c>
      <c r="K145" s="17">
        <v>0</v>
      </c>
      <c r="L145" s="17">
        <v>0</v>
      </c>
      <c r="M145" s="17">
        <v>0</v>
      </c>
      <c r="N145" s="17">
        <v>1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1</v>
      </c>
      <c r="V145" s="17" t="s">
        <v>102</v>
      </c>
      <c r="W145" s="17">
        <v>4</v>
      </c>
      <c r="X145" s="17">
        <v>4</v>
      </c>
      <c r="Y145" s="17">
        <v>2</v>
      </c>
      <c r="Z145" s="17">
        <v>2</v>
      </c>
      <c r="AA145" s="17">
        <v>4</v>
      </c>
      <c r="AB145" s="17">
        <v>2</v>
      </c>
      <c r="AC145" s="17">
        <v>2</v>
      </c>
      <c r="AD145" s="20">
        <v>2</v>
      </c>
      <c r="AE145" s="20">
        <v>0</v>
      </c>
      <c r="AF145" s="20">
        <v>0</v>
      </c>
      <c r="AG145" s="20">
        <v>2</v>
      </c>
      <c r="AH145" s="20">
        <v>2</v>
      </c>
      <c r="AI145" s="20">
        <v>2</v>
      </c>
      <c r="AJ145" s="20">
        <v>2</v>
      </c>
      <c r="AK145" s="20">
        <v>2</v>
      </c>
      <c r="AL145" s="20">
        <v>2</v>
      </c>
      <c r="AM145" s="20">
        <v>0</v>
      </c>
      <c r="AN145" s="21">
        <f t="shared" si="7"/>
        <v>6</v>
      </c>
      <c r="AO145" s="21">
        <v>8</v>
      </c>
      <c r="AP145" s="21">
        <v>4</v>
      </c>
      <c r="AQ145" s="20">
        <v>100.5</v>
      </c>
      <c r="AR145" s="20" t="s">
        <v>85</v>
      </c>
      <c r="AS145" s="21">
        <f t="shared" si="8"/>
        <v>100.5</v>
      </c>
    </row>
    <row r="146" spans="1:45" ht="15" customHeight="1">
      <c r="A146" s="17">
        <v>145</v>
      </c>
      <c r="B146" s="17"/>
      <c r="C146" s="18"/>
      <c r="D146" s="17">
        <v>1</v>
      </c>
      <c r="E146" s="17">
        <v>82</v>
      </c>
      <c r="F146" s="19">
        <f t="shared" si="6"/>
        <v>1</v>
      </c>
      <c r="G146" s="17">
        <v>2</v>
      </c>
      <c r="H146" s="17">
        <v>1</v>
      </c>
      <c r="I146" s="17">
        <v>1</v>
      </c>
      <c r="J146" s="17">
        <v>1</v>
      </c>
      <c r="K146" s="17">
        <v>1</v>
      </c>
      <c r="L146" s="17">
        <v>0</v>
      </c>
      <c r="M146" s="17">
        <v>0</v>
      </c>
      <c r="N146" s="17">
        <v>1</v>
      </c>
      <c r="O146" s="17">
        <v>0</v>
      </c>
      <c r="P146" s="17">
        <v>0</v>
      </c>
      <c r="Q146" s="17">
        <v>1</v>
      </c>
      <c r="R146" s="17">
        <v>0</v>
      </c>
      <c r="S146" s="17">
        <v>0</v>
      </c>
      <c r="T146" s="17">
        <v>0</v>
      </c>
      <c r="U146" s="17">
        <v>0</v>
      </c>
      <c r="V146" s="17"/>
      <c r="W146" s="17">
        <v>4</v>
      </c>
      <c r="X146" s="17">
        <v>2</v>
      </c>
      <c r="Y146" s="17">
        <v>2</v>
      </c>
      <c r="Z146" s="17">
        <v>2</v>
      </c>
      <c r="AA146" s="17">
        <v>4</v>
      </c>
      <c r="AB146" s="17">
        <v>2</v>
      </c>
      <c r="AC146" s="17">
        <v>2</v>
      </c>
      <c r="AD146" s="20">
        <v>2</v>
      </c>
      <c r="AE146" s="20">
        <v>0</v>
      </c>
      <c r="AF146" s="20">
        <v>0</v>
      </c>
      <c r="AG146" s="20">
        <v>0</v>
      </c>
      <c r="AH146" s="20">
        <v>0</v>
      </c>
      <c r="AI146" s="20">
        <v>0</v>
      </c>
      <c r="AJ146" s="20">
        <v>2</v>
      </c>
      <c r="AK146" s="20">
        <v>2</v>
      </c>
      <c r="AL146" s="20">
        <v>2</v>
      </c>
      <c r="AM146" s="20">
        <v>0</v>
      </c>
      <c r="AN146" s="21">
        <f t="shared" si="7"/>
        <v>6</v>
      </c>
      <c r="AO146" s="21">
        <v>2</v>
      </c>
      <c r="AP146" s="21">
        <v>4</v>
      </c>
      <c r="AQ146" s="20">
        <v>74</v>
      </c>
      <c r="AR146" s="20" t="s">
        <v>85</v>
      </c>
      <c r="AS146" s="21">
        <f t="shared" si="8"/>
        <v>74</v>
      </c>
    </row>
    <row r="147" spans="1:45" ht="15" customHeight="1">
      <c r="A147" s="17">
        <v>146</v>
      </c>
      <c r="B147" s="17"/>
      <c r="C147" s="18"/>
      <c r="D147" s="17">
        <v>1</v>
      </c>
      <c r="E147" s="17">
        <v>84</v>
      </c>
      <c r="F147" s="19">
        <f t="shared" si="6"/>
        <v>1</v>
      </c>
      <c r="G147" s="17">
        <v>2</v>
      </c>
      <c r="H147" s="17">
        <v>1</v>
      </c>
      <c r="I147" s="17">
        <v>3</v>
      </c>
      <c r="J147" s="17">
        <v>4</v>
      </c>
      <c r="K147" s="17">
        <v>0</v>
      </c>
      <c r="L147" s="17">
        <v>0</v>
      </c>
      <c r="M147" s="17">
        <v>0</v>
      </c>
      <c r="N147" s="17">
        <v>1</v>
      </c>
      <c r="O147" s="17">
        <v>0</v>
      </c>
      <c r="P147" s="17">
        <v>1</v>
      </c>
      <c r="Q147" s="17">
        <v>1</v>
      </c>
      <c r="R147" s="17">
        <v>0</v>
      </c>
      <c r="S147" s="17">
        <v>0</v>
      </c>
      <c r="T147" s="17">
        <v>0</v>
      </c>
      <c r="U147" s="17">
        <v>0</v>
      </c>
      <c r="V147" s="17"/>
      <c r="W147" s="17">
        <v>4</v>
      </c>
      <c r="X147" s="17">
        <v>0</v>
      </c>
      <c r="Y147" s="17">
        <v>2</v>
      </c>
      <c r="Z147" s="17">
        <v>2</v>
      </c>
      <c r="AA147" s="17">
        <v>4</v>
      </c>
      <c r="AB147" s="17">
        <v>2</v>
      </c>
      <c r="AC147" s="17">
        <v>2</v>
      </c>
      <c r="AD147" s="20">
        <v>2</v>
      </c>
      <c r="AE147" s="20">
        <v>0</v>
      </c>
      <c r="AF147" s="20">
        <v>0</v>
      </c>
      <c r="AG147" s="20">
        <v>2</v>
      </c>
      <c r="AH147" s="20">
        <v>0</v>
      </c>
      <c r="AI147" s="20">
        <v>2</v>
      </c>
      <c r="AJ147" s="20">
        <v>0</v>
      </c>
      <c r="AK147" s="20">
        <v>2</v>
      </c>
      <c r="AL147" s="20">
        <v>2</v>
      </c>
      <c r="AM147" s="20">
        <v>0</v>
      </c>
      <c r="AN147" s="21">
        <f t="shared" si="7"/>
        <v>6</v>
      </c>
      <c r="AO147" s="21">
        <v>4</v>
      </c>
      <c r="AP147" s="21">
        <v>4</v>
      </c>
      <c r="AQ147" s="20">
        <v>77.5</v>
      </c>
      <c r="AR147" s="20" t="s">
        <v>85</v>
      </c>
      <c r="AS147" s="21">
        <f t="shared" si="8"/>
        <v>77.5</v>
      </c>
    </row>
    <row r="148" spans="1:45" ht="15" customHeight="1">
      <c r="A148" s="17">
        <v>147</v>
      </c>
      <c r="B148" s="17"/>
      <c r="C148" s="18"/>
      <c r="D148" s="17">
        <v>1</v>
      </c>
      <c r="E148" s="17">
        <v>74</v>
      </c>
      <c r="F148" s="19">
        <f t="shared" si="6"/>
        <v>1</v>
      </c>
      <c r="G148" s="17">
        <v>2</v>
      </c>
      <c r="H148" s="17">
        <v>1</v>
      </c>
      <c r="I148" s="17">
        <v>2</v>
      </c>
      <c r="J148" s="17">
        <v>1</v>
      </c>
      <c r="K148" s="17">
        <v>0</v>
      </c>
      <c r="L148" s="17">
        <v>0</v>
      </c>
      <c r="M148" s="17">
        <v>0</v>
      </c>
      <c r="N148" s="17">
        <v>1</v>
      </c>
      <c r="O148" s="17">
        <v>0</v>
      </c>
      <c r="P148" s="17">
        <v>1</v>
      </c>
      <c r="Q148" s="17">
        <v>1</v>
      </c>
      <c r="R148" s="17">
        <v>1</v>
      </c>
      <c r="S148" s="17">
        <v>0</v>
      </c>
      <c r="T148" s="17">
        <v>0</v>
      </c>
      <c r="U148" s="17">
        <v>0</v>
      </c>
      <c r="V148" s="17"/>
      <c r="W148" s="17">
        <v>4</v>
      </c>
      <c r="X148" s="17">
        <v>4</v>
      </c>
      <c r="Y148" s="17">
        <v>2</v>
      </c>
      <c r="Z148" s="17">
        <v>2</v>
      </c>
      <c r="AA148" s="17">
        <v>4</v>
      </c>
      <c r="AB148" s="17">
        <v>2</v>
      </c>
      <c r="AC148" s="17">
        <v>0</v>
      </c>
      <c r="AD148" s="20">
        <v>2</v>
      </c>
      <c r="AE148" s="20">
        <v>0</v>
      </c>
      <c r="AF148" s="20">
        <v>0</v>
      </c>
      <c r="AG148" s="20">
        <v>0</v>
      </c>
      <c r="AH148" s="20">
        <v>0</v>
      </c>
      <c r="AI148" s="20">
        <v>2</v>
      </c>
      <c r="AJ148" s="20">
        <v>2</v>
      </c>
      <c r="AK148" s="20">
        <v>2</v>
      </c>
      <c r="AL148" s="20">
        <v>2</v>
      </c>
      <c r="AM148" s="20">
        <v>0</v>
      </c>
      <c r="AN148" s="21">
        <f t="shared" si="7"/>
        <v>4</v>
      </c>
      <c r="AO148" s="21">
        <v>4</v>
      </c>
      <c r="AP148" s="21">
        <v>4</v>
      </c>
      <c r="AQ148" s="20">
        <v>92</v>
      </c>
      <c r="AR148" s="20" t="s">
        <v>85</v>
      </c>
      <c r="AS148" s="21">
        <f t="shared" si="8"/>
        <v>92</v>
      </c>
    </row>
    <row r="149" spans="1:45" ht="15" customHeight="1">
      <c r="A149" s="17">
        <v>148</v>
      </c>
      <c r="B149" s="17"/>
      <c r="C149" s="18"/>
      <c r="D149" s="17">
        <v>1</v>
      </c>
      <c r="E149" s="17">
        <v>77</v>
      </c>
      <c r="F149" s="19">
        <f t="shared" si="6"/>
        <v>1</v>
      </c>
      <c r="G149" s="17">
        <v>2</v>
      </c>
      <c r="H149" s="17">
        <v>3</v>
      </c>
      <c r="I149" s="17">
        <v>1</v>
      </c>
      <c r="J149" s="17">
        <v>1</v>
      </c>
      <c r="K149" s="17">
        <v>1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1</v>
      </c>
      <c r="S149" s="17">
        <v>0</v>
      </c>
      <c r="T149" s="17">
        <v>0</v>
      </c>
      <c r="U149" s="17">
        <v>0</v>
      </c>
      <c r="V149" s="17"/>
      <c r="W149" s="17">
        <v>2</v>
      </c>
      <c r="X149" s="17">
        <v>2</v>
      </c>
      <c r="Y149" s="17">
        <v>2</v>
      </c>
      <c r="Z149" s="17">
        <v>2</v>
      </c>
      <c r="AA149" s="17">
        <v>4</v>
      </c>
      <c r="AB149" s="17">
        <v>2</v>
      </c>
      <c r="AC149" s="17">
        <v>2</v>
      </c>
      <c r="AD149" s="20">
        <v>2</v>
      </c>
      <c r="AE149" s="20">
        <v>0</v>
      </c>
      <c r="AF149" s="20">
        <v>2</v>
      </c>
      <c r="AG149" s="20">
        <v>0</v>
      </c>
      <c r="AH149" s="20">
        <v>0</v>
      </c>
      <c r="AI149" s="20">
        <v>2</v>
      </c>
      <c r="AJ149" s="20">
        <v>2</v>
      </c>
      <c r="AK149" s="20">
        <v>2</v>
      </c>
      <c r="AL149" s="20">
        <v>2</v>
      </c>
      <c r="AM149" s="20">
        <v>0</v>
      </c>
      <c r="AN149" s="21">
        <f t="shared" si="7"/>
        <v>6</v>
      </c>
      <c r="AO149" s="21">
        <v>6</v>
      </c>
      <c r="AP149" s="21">
        <v>4</v>
      </c>
      <c r="AQ149" s="20">
        <v>63.5</v>
      </c>
      <c r="AR149" s="20" t="s">
        <v>85</v>
      </c>
      <c r="AS149" s="21">
        <f t="shared" si="8"/>
        <v>63.5</v>
      </c>
    </row>
    <row r="150" spans="1:45" ht="15" customHeight="1">
      <c r="A150" s="17">
        <v>149</v>
      </c>
      <c r="B150" s="17"/>
      <c r="C150" s="18"/>
      <c r="D150" s="17">
        <v>1</v>
      </c>
      <c r="E150" s="17">
        <v>71</v>
      </c>
      <c r="F150" s="19">
        <f t="shared" si="6"/>
        <v>1</v>
      </c>
      <c r="G150" s="17">
        <v>2</v>
      </c>
      <c r="H150" s="17">
        <v>3</v>
      </c>
      <c r="I150" s="17">
        <v>1</v>
      </c>
      <c r="J150" s="17">
        <v>2</v>
      </c>
      <c r="K150" s="17">
        <v>0</v>
      </c>
      <c r="L150" s="17">
        <v>1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1</v>
      </c>
      <c r="V150" s="17" t="s">
        <v>87</v>
      </c>
      <c r="W150" s="17">
        <v>4</v>
      </c>
      <c r="X150" s="17">
        <v>4</v>
      </c>
      <c r="Y150" s="17">
        <v>2</v>
      </c>
      <c r="Z150" s="17">
        <v>2</v>
      </c>
      <c r="AA150" s="17">
        <v>2</v>
      </c>
      <c r="AB150" s="17">
        <v>2</v>
      </c>
      <c r="AC150" s="17">
        <v>2</v>
      </c>
      <c r="AD150" s="20">
        <v>2</v>
      </c>
      <c r="AE150" s="20">
        <v>0</v>
      </c>
      <c r="AF150" s="20">
        <v>2</v>
      </c>
      <c r="AG150" s="20">
        <v>0</v>
      </c>
      <c r="AH150" s="20">
        <v>0</v>
      </c>
      <c r="AI150" s="20">
        <v>2</v>
      </c>
      <c r="AJ150" s="20">
        <v>0</v>
      </c>
      <c r="AK150" s="20">
        <v>2</v>
      </c>
      <c r="AL150" s="20">
        <v>2</v>
      </c>
      <c r="AM150" s="20">
        <v>0</v>
      </c>
      <c r="AN150" s="21">
        <f t="shared" si="7"/>
        <v>6</v>
      </c>
      <c r="AO150" s="21">
        <v>4</v>
      </c>
      <c r="AP150" s="21">
        <v>4</v>
      </c>
      <c r="AQ150" s="20">
        <v>69</v>
      </c>
      <c r="AR150" s="20" t="s">
        <v>85</v>
      </c>
      <c r="AS150" s="21">
        <f t="shared" si="8"/>
        <v>69</v>
      </c>
    </row>
    <row r="151" spans="1:45" ht="15" customHeight="1">
      <c r="A151" s="17">
        <v>150</v>
      </c>
      <c r="B151" s="17"/>
      <c r="C151" s="18"/>
      <c r="D151" s="17">
        <v>1</v>
      </c>
      <c r="E151" s="17">
        <v>71</v>
      </c>
      <c r="F151" s="19">
        <f t="shared" si="6"/>
        <v>1</v>
      </c>
      <c r="G151" s="17">
        <v>2</v>
      </c>
      <c r="H151" s="17">
        <v>2</v>
      </c>
      <c r="I151" s="17">
        <v>2</v>
      </c>
      <c r="J151" s="17">
        <v>3</v>
      </c>
      <c r="K151" s="17">
        <v>0</v>
      </c>
      <c r="L151" s="17">
        <v>0</v>
      </c>
      <c r="M151" s="17">
        <v>0</v>
      </c>
      <c r="N151" s="17">
        <v>0</v>
      </c>
      <c r="O151" s="17">
        <v>1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 t="s">
        <v>88</v>
      </c>
      <c r="W151" s="17">
        <v>4</v>
      </c>
      <c r="X151" s="17">
        <v>2</v>
      </c>
      <c r="Y151" s="17">
        <v>2</v>
      </c>
      <c r="Z151" s="17">
        <v>2</v>
      </c>
      <c r="AA151" s="17">
        <v>2</v>
      </c>
      <c r="AB151" s="17">
        <v>2</v>
      </c>
      <c r="AC151" s="17">
        <v>2</v>
      </c>
      <c r="AD151" s="20">
        <v>2</v>
      </c>
      <c r="AE151" s="20">
        <v>0</v>
      </c>
      <c r="AF151" s="20">
        <v>0</v>
      </c>
      <c r="AG151" s="20">
        <v>0</v>
      </c>
      <c r="AH151" s="20">
        <v>0</v>
      </c>
      <c r="AI151" s="20">
        <v>0</v>
      </c>
      <c r="AJ151" s="20">
        <v>2</v>
      </c>
      <c r="AK151" s="20">
        <v>2</v>
      </c>
      <c r="AL151" s="20">
        <v>2</v>
      </c>
      <c r="AM151" s="20">
        <v>0</v>
      </c>
      <c r="AN151" s="21">
        <f t="shared" si="7"/>
        <v>6</v>
      </c>
      <c r="AO151" s="21">
        <v>2</v>
      </c>
      <c r="AP151" s="21">
        <v>4</v>
      </c>
      <c r="AQ151" s="20">
        <v>81</v>
      </c>
      <c r="AR151" s="20" t="s">
        <v>85</v>
      </c>
      <c r="AS151" s="21">
        <f t="shared" si="8"/>
        <v>81</v>
      </c>
    </row>
    <row r="152" spans="1:45" ht="15" customHeight="1">
      <c r="A152" s="17">
        <v>151</v>
      </c>
      <c r="B152" s="17"/>
      <c r="C152" s="18"/>
      <c r="D152" s="17">
        <v>1</v>
      </c>
      <c r="E152" s="17">
        <v>70</v>
      </c>
      <c r="F152" s="19">
        <f t="shared" si="6"/>
        <v>1</v>
      </c>
      <c r="G152" s="17">
        <v>2</v>
      </c>
      <c r="H152" s="17">
        <v>1</v>
      </c>
      <c r="I152" s="17">
        <v>2</v>
      </c>
      <c r="J152" s="17">
        <v>2</v>
      </c>
      <c r="K152" s="17">
        <v>0</v>
      </c>
      <c r="L152" s="17">
        <v>0</v>
      </c>
      <c r="M152" s="17">
        <v>0</v>
      </c>
      <c r="N152" s="17">
        <v>0</v>
      </c>
      <c r="O152" s="17">
        <v>1</v>
      </c>
      <c r="P152" s="17">
        <v>0</v>
      </c>
      <c r="Q152" s="17">
        <v>0</v>
      </c>
      <c r="R152" s="17">
        <v>1</v>
      </c>
      <c r="S152" s="17">
        <v>0</v>
      </c>
      <c r="T152" s="17">
        <v>0</v>
      </c>
      <c r="U152" s="17">
        <v>0</v>
      </c>
      <c r="V152" s="17"/>
      <c r="W152" s="17">
        <v>4</v>
      </c>
      <c r="X152" s="17">
        <v>2</v>
      </c>
      <c r="Y152" s="17">
        <v>2</v>
      </c>
      <c r="Z152" s="17">
        <v>2</v>
      </c>
      <c r="AA152" s="17">
        <v>4</v>
      </c>
      <c r="AB152" s="17">
        <v>2</v>
      </c>
      <c r="AC152" s="17">
        <v>2</v>
      </c>
      <c r="AD152" s="20">
        <v>2</v>
      </c>
      <c r="AE152" s="20">
        <v>0</v>
      </c>
      <c r="AF152" s="20">
        <v>2</v>
      </c>
      <c r="AG152" s="20">
        <v>2</v>
      </c>
      <c r="AH152" s="20">
        <v>0</v>
      </c>
      <c r="AI152" s="20">
        <v>2</v>
      </c>
      <c r="AJ152" s="20">
        <v>0</v>
      </c>
      <c r="AK152" s="20">
        <v>2</v>
      </c>
      <c r="AL152" s="20">
        <v>2</v>
      </c>
      <c r="AM152" s="20">
        <v>0</v>
      </c>
      <c r="AN152" s="21">
        <f t="shared" si="7"/>
        <v>6</v>
      </c>
      <c r="AO152" s="21">
        <v>6</v>
      </c>
      <c r="AP152" s="21">
        <v>4</v>
      </c>
      <c r="AQ152" s="20">
        <v>81.5</v>
      </c>
      <c r="AR152" s="20" t="s">
        <v>85</v>
      </c>
      <c r="AS152" s="21">
        <f t="shared" si="8"/>
        <v>81.5</v>
      </c>
    </row>
    <row r="153" spans="1:45" ht="15" customHeight="1">
      <c r="A153" s="17">
        <v>152</v>
      </c>
      <c r="B153" s="17"/>
      <c r="C153" s="18"/>
      <c r="D153" s="17">
        <v>1</v>
      </c>
      <c r="E153" s="17">
        <v>80</v>
      </c>
      <c r="F153" s="19">
        <f t="shared" si="6"/>
        <v>1</v>
      </c>
      <c r="G153" s="17">
        <v>2</v>
      </c>
      <c r="H153" s="17">
        <v>1</v>
      </c>
      <c r="I153" s="17">
        <v>1</v>
      </c>
      <c r="J153" s="17">
        <v>1</v>
      </c>
      <c r="K153" s="17">
        <v>1</v>
      </c>
      <c r="L153" s="17">
        <v>1</v>
      </c>
      <c r="M153" s="17">
        <v>0</v>
      </c>
      <c r="N153" s="17">
        <v>0</v>
      </c>
      <c r="O153" s="17">
        <v>0</v>
      </c>
      <c r="P153" s="17">
        <v>1</v>
      </c>
      <c r="Q153" s="17">
        <v>1</v>
      </c>
      <c r="R153" s="17">
        <v>1</v>
      </c>
      <c r="S153" s="17">
        <v>0</v>
      </c>
      <c r="T153" s="17">
        <v>0</v>
      </c>
      <c r="U153" s="17">
        <v>0</v>
      </c>
      <c r="V153" s="17"/>
      <c r="W153" s="17">
        <v>4</v>
      </c>
      <c r="X153" s="17">
        <v>4</v>
      </c>
      <c r="Y153" s="17">
        <v>2</v>
      </c>
      <c r="Z153" s="17">
        <v>2</v>
      </c>
      <c r="AA153" s="17">
        <v>4</v>
      </c>
      <c r="AB153" s="17">
        <v>2</v>
      </c>
      <c r="AC153" s="17">
        <v>0</v>
      </c>
      <c r="AD153" s="20">
        <v>2</v>
      </c>
      <c r="AE153" s="20">
        <v>0</v>
      </c>
      <c r="AF153" s="20">
        <v>0</v>
      </c>
      <c r="AG153" s="20">
        <v>0</v>
      </c>
      <c r="AH153" s="20">
        <v>0</v>
      </c>
      <c r="AI153" s="20">
        <v>2</v>
      </c>
      <c r="AJ153" s="20">
        <v>0</v>
      </c>
      <c r="AK153" s="20">
        <v>2</v>
      </c>
      <c r="AL153" s="20">
        <v>4</v>
      </c>
      <c r="AM153" s="20">
        <v>0</v>
      </c>
      <c r="AN153" s="21">
        <f t="shared" si="7"/>
        <v>4</v>
      </c>
      <c r="AO153" s="21">
        <v>2</v>
      </c>
      <c r="AP153" s="21">
        <v>6</v>
      </c>
      <c r="AQ153" s="20">
        <v>98.5</v>
      </c>
      <c r="AR153" s="20" t="s">
        <v>85</v>
      </c>
      <c r="AS153" s="21">
        <f t="shared" si="8"/>
        <v>98.5</v>
      </c>
    </row>
    <row r="154" spans="1:45" ht="15" customHeight="1">
      <c r="A154" s="17">
        <v>153</v>
      </c>
      <c r="B154" s="17"/>
      <c r="C154" s="18"/>
      <c r="D154" s="17">
        <v>1</v>
      </c>
      <c r="E154" s="17">
        <v>75</v>
      </c>
      <c r="F154" s="19">
        <f t="shared" si="6"/>
        <v>1</v>
      </c>
      <c r="G154" s="17">
        <v>2</v>
      </c>
      <c r="H154" s="17">
        <v>1</v>
      </c>
      <c r="I154" s="17">
        <v>2</v>
      </c>
      <c r="J154" s="17">
        <v>1</v>
      </c>
      <c r="K154" s="17">
        <v>1</v>
      </c>
      <c r="L154" s="17">
        <v>0</v>
      </c>
      <c r="M154" s="17">
        <v>0</v>
      </c>
      <c r="N154" s="17">
        <v>0</v>
      </c>
      <c r="O154" s="17">
        <v>0</v>
      </c>
      <c r="P154" s="17">
        <v>1</v>
      </c>
      <c r="Q154" s="17">
        <v>1</v>
      </c>
      <c r="R154" s="17">
        <v>1</v>
      </c>
      <c r="S154" s="17">
        <v>0</v>
      </c>
      <c r="T154" s="17">
        <v>0</v>
      </c>
      <c r="U154" s="17">
        <v>0</v>
      </c>
      <c r="V154" s="17"/>
      <c r="W154" s="17">
        <v>4</v>
      </c>
      <c r="X154" s="17">
        <v>0</v>
      </c>
      <c r="Y154" s="17">
        <v>2</v>
      </c>
      <c r="Z154" s="17">
        <v>0</v>
      </c>
      <c r="AA154" s="17">
        <v>4</v>
      </c>
      <c r="AB154" s="17">
        <v>2</v>
      </c>
      <c r="AC154" s="17">
        <v>0</v>
      </c>
      <c r="AD154" s="20">
        <v>2</v>
      </c>
      <c r="AE154" s="20">
        <v>0</v>
      </c>
      <c r="AF154" s="20">
        <v>0</v>
      </c>
      <c r="AG154" s="20">
        <v>2</v>
      </c>
      <c r="AH154" s="20">
        <v>2</v>
      </c>
      <c r="AI154" s="20">
        <v>2</v>
      </c>
      <c r="AJ154" s="20">
        <v>2</v>
      </c>
      <c r="AK154" s="20">
        <v>2</v>
      </c>
      <c r="AL154" s="20">
        <v>2</v>
      </c>
      <c r="AM154" s="20">
        <v>0</v>
      </c>
      <c r="AN154" s="21">
        <f t="shared" si="7"/>
        <v>4</v>
      </c>
      <c r="AO154" s="21">
        <v>8</v>
      </c>
      <c r="AP154" s="21">
        <v>4</v>
      </c>
      <c r="AQ154" s="20">
        <v>104</v>
      </c>
      <c r="AR154" s="20" t="s">
        <v>85</v>
      </c>
      <c r="AS154" s="21">
        <f t="shared" si="8"/>
        <v>104</v>
      </c>
    </row>
    <row r="155" spans="1:45" ht="15" customHeight="1">
      <c r="A155" s="17">
        <v>154</v>
      </c>
      <c r="B155" s="17"/>
      <c r="C155" s="18"/>
      <c r="D155" s="17">
        <v>1</v>
      </c>
      <c r="E155" s="17">
        <v>76</v>
      </c>
      <c r="F155" s="19">
        <f t="shared" si="6"/>
        <v>1</v>
      </c>
      <c r="G155" s="17">
        <v>1</v>
      </c>
      <c r="H155" s="17">
        <v>1</v>
      </c>
      <c r="I155" s="17">
        <v>2</v>
      </c>
      <c r="J155" s="17">
        <v>1</v>
      </c>
      <c r="K155" s="17">
        <v>1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1</v>
      </c>
      <c r="R155" s="17">
        <v>0</v>
      </c>
      <c r="S155" s="17">
        <v>0</v>
      </c>
      <c r="T155" s="17">
        <v>1</v>
      </c>
      <c r="U155" s="17">
        <v>0</v>
      </c>
      <c r="V155" s="17"/>
      <c r="W155" s="17">
        <v>4</v>
      </c>
      <c r="X155" s="17">
        <v>2</v>
      </c>
      <c r="Y155" s="17">
        <v>2</v>
      </c>
      <c r="Z155" s="17">
        <v>0</v>
      </c>
      <c r="AA155" s="17">
        <v>4</v>
      </c>
      <c r="AB155" s="17">
        <v>2</v>
      </c>
      <c r="AC155" s="17">
        <v>2</v>
      </c>
      <c r="AD155" s="20">
        <v>2</v>
      </c>
      <c r="AE155" s="20">
        <v>0</v>
      </c>
      <c r="AF155" s="20">
        <v>2</v>
      </c>
      <c r="AG155" s="20">
        <v>0</v>
      </c>
      <c r="AH155" s="20">
        <v>4</v>
      </c>
      <c r="AI155" s="20">
        <v>2</v>
      </c>
      <c r="AJ155" s="20">
        <v>2</v>
      </c>
      <c r="AK155" s="20">
        <v>4</v>
      </c>
      <c r="AL155" s="20">
        <v>4</v>
      </c>
      <c r="AM155" s="20">
        <v>0</v>
      </c>
      <c r="AN155" s="21">
        <f t="shared" si="7"/>
        <v>6</v>
      </c>
      <c r="AO155" s="21">
        <v>10</v>
      </c>
      <c r="AP155" s="21">
        <v>8</v>
      </c>
      <c r="AQ155" s="20">
        <v>94.5</v>
      </c>
      <c r="AR155" s="20" t="s">
        <v>85</v>
      </c>
      <c r="AS155" s="21">
        <f t="shared" si="8"/>
        <v>94.5</v>
      </c>
    </row>
    <row r="156" spans="1:45" ht="15" customHeight="1">
      <c r="A156" s="17">
        <v>155</v>
      </c>
      <c r="B156" s="17"/>
      <c r="C156" s="18"/>
      <c r="D156" s="17">
        <v>1</v>
      </c>
      <c r="E156" s="17">
        <v>77</v>
      </c>
      <c r="F156" s="19">
        <f t="shared" si="6"/>
        <v>1</v>
      </c>
      <c r="G156" s="17">
        <v>1</v>
      </c>
      <c r="H156" s="17">
        <v>2</v>
      </c>
      <c r="I156" s="17">
        <v>1</v>
      </c>
      <c r="J156" s="17">
        <v>1</v>
      </c>
      <c r="K156" s="17">
        <v>1</v>
      </c>
      <c r="L156" s="17">
        <v>0</v>
      </c>
      <c r="M156" s="17">
        <v>0</v>
      </c>
      <c r="N156" s="17">
        <v>0</v>
      </c>
      <c r="O156" s="17">
        <v>0</v>
      </c>
      <c r="P156" s="17">
        <v>1</v>
      </c>
      <c r="Q156" s="17">
        <v>1</v>
      </c>
      <c r="R156" s="17">
        <v>1</v>
      </c>
      <c r="S156" s="17">
        <v>1</v>
      </c>
      <c r="T156" s="17">
        <v>0</v>
      </c>
      <c r="U156" s="17">
        <v>0</v>
      </c>
      <c r="V156" s="17"/>
      <c r="W156" s="17">
        <v>2</v>
      </c>
      <c r="X156" s="17">
        <v>2</v>
      </c>
      <c r="Y156" s="17">
        <v>4</v>
      </c>
      <c r="Z156" s="17">
        <v>2</v>
      </c>
      <c r="AA156" s="17">
        <v>4</v>
      </c>
      <c r="AB156" s="17">
        <v>2</v>
      </c>
      <c r="AC156" s="17">
        <v>2</v>
      </c>
      <c r="AD156" s="20">
        <v>0</v>
      </c>
      <c r="AE156" s="20">
        <v>2</v>
      </c>
      <c r="AF156" s="20">
        <v>0</v>
      </c>
      <c r="AG156" s="20">
        <v>0</v>
      </c>
      <c r="AH156" s="20">
        <v>0</v>
      </c>
      <c r="AI156" s="20">
        <v>0</v>
      </c>
      <c r="AJ156" s="20">
        <v>2</v>
      </c>
      <c r="AK156" s="20">
        <v>2</v>
      </c>
      <c r="AL156" s="20">
        <v>2</v>
      </c>
      <c r="AM156" s="20">
        <v>0</v>
      </c>
      <c r="AN156" s="21">
        <f t="shared" si="7"/>
        <v>4</v>
      </c>
      <c r="AO156" s="21">
        <v>4</v>
      </c>
      <c r="AP156" s="21">
        <v>4</v>
      </c>
      <c r="AQ156" s="20">
        <v>103.5</v>
      </c>
      <c r="AR156" s="20" t="s">
        <v>85</v>
      </c>
      <c r="AS156" s="21">
        <f t="shared" si="8"/>
        <v>103.5</v>
      </c>
    </row>
    <row r="157" spans="1:45" ht="15" customHeight="1">
      <c r="A157" s="17">
        <v>156</v>
      </c>
      <c r="B157" s="17"/>
      <c r="C157" s="18"/>
      <c r="D157" s="17">
        <v>1</v>
      </c>
      <c r="E157" s="17">
        <v>81</v>
      </c>
      <c r="F157" s="19">
        <f t="shared" si="6"/>
        <v>1</v>
      </c>
      <c r="G157" s="17">
        <v>1</v>
      </c>
      <c r="H157" s="17">
        <v>1</v>
      </c>
      <c r="I157" s="17">
        <v>3</v>
      </c>
      <c r="J157" s="17">
        <v>1</v>
      </c>
      <c r="K157" s="17">
        <v>0</v>
      </c>
      <c r="L157" s="17">
        <v>0</v>
      </c>
      <c r="M157" s="17">
        <v>0</v>
      </c>
      <c r="N157" s="17">
        <v>1</v>
      </c>
      <c r="O157" s="17">
        <v>0</v>
      </c>
      <c r="P157" s="17">
        <v>0</v>
      </c>
      <c r="Q157" s="17">
        <v>1</v>
      </c>
      <c r="R157" s="17">
        <v>1</v>
      </c>
      <c r="S157" s="17">
        <v>0</v>
      </c>
      <c r="T157" s="17">
        <v>0</v>
      </c>
      <c r="U157" s="17">
        <v>1</v>
      </c>
      <c r="V157" s="17" t="s">
        <v>111</v>
      </c>
      <c r="W157" s="17">
        <v>4</v>
      </c>
      <c r="X157" s="17">
        <v>0</v>
      </c>
      <c r="Y157" s="17">
        <v>0</v>
      </c>
      <c r="Z157" s="17">
        <v>2</v>
      </c>
      <c r="AA157" s="17">
        <v>4</v>
      </c>
      <c r="AB157" s="17">
        <v>0</v>
      </c>
      <c r="AC157" s="17">
        <v>0</v>
      </c>
      <c r="AD157" s="20">
        <v>2</v>
      </c>
      <c r="AE157" s="20">
        <v>0</v>
      </c>
      <c r="AF157" s="20">
        <v>0</v>
      </c>
      <c r="AG157" s="20">
        <v>2</v>
      </c>
      <c r="AH157" s="20">
        <v>0</v>
      </c>
      <c r="AI157" s="20">
        <v>0</v>
      </c>
      <c r="AJ157" s="20">
        <v>2</v>
      </c>
      <c r="AK157" s="20">
        <v>2</v>
      </c>
      <c r="AL157" s="20">
        <v>2</v>
      </c>
      <c r="AM157" s="20">
        <v>0</v>
      </c>
      <c r="AN157" s="21">
        <f t="shared" si="7"/>
        <v>2</v>
      </c>
      <c r="AO157" s="21">
        <v>4</v>
      </c>
      <c r="AP157" s="21">
        <v>4</v>
      </c>
      <c r="AQ157" s="20">
        <v>100.5</v>
      </c>
      <c r="AR157" s="20" t="s">
        <v>85</v>
      </c>
      <c r="AS157" s="21">
        <f t="shared" si="8"/>
        <v>100.5</v>
      </c>
    </row>
    <row r="158" spans="1:45" ht="15" customHeight="1">
      <c r="A158" s="17">
        <v>157</v>
      </c>
      <c r="B158" s="17"/>
      <c r="C158" s="18"/>
      <c r="D158" s="17">
        <v>1</v>
      </c>
      <c r="E158" s="17">
        <v>71</v>
      </c>
      <c r="F158" s="19">
        <f t="shared" si="6"/>
        <v>1</v>
      </c>
      <c r="G158" s="17">
        <v>2</v>
      </c>
      <c r="H158" s="17">
        <v>1</v>
      </c>
      <c r="I158" s="17">
        <v>3</v>
      </c>
      <c r="J158" s="17">
        <v>1</v>
      </c>
      <c r="K158" s="17">
        <v>1</v>
      </c>
      <c r="L158" s="17">
        <v>0</v>
      </c>
      <c r="M158" s="17">
        <v>0</v>
      </c>
      <c r="N158" s="17">
        <v>1</v>
      </c>
      <c r="O158" s="17">
        <v>0</v>
      </c>
      <c r="P158" s="17">
        <v>1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/>
      <c r="W158" s="17">
        <v>4</v>
      </c>
      <c r="X158" s="17">
        <v>2</v>
      </c>
      <c r="Y158" s="17">
        <v>2</v>
      </c>
      <c r="Z158" s="17">
        <v>2</v>
      </c>
      <c r="AA158" s="17">
        <v>4</v>
      </c>
      <c r="AB158" s="17">
        <v>2</v>
      </c>
      <c r="AC158" s="17">
        <v>2</v>
      </c>
      <c r="AD158" s="20">
        <v>2</v>
      </c>
      <c r="AE158" s="20">
        <v>0</v>
      </c>
      <c r="AF158" s="20">
        <v>0</v>
      </c>
      <c r="AG158" s="20">
        <v>2</v>
      </c>
      <c r="AH158" s="20">
        <v>0</v>
      </c>
      <c r="AI158" s="20">
        <v>0</v>
      </c>
      <c r="AJ158" s="20">
        <v>0</v>
      </c>
      <c r="AK158" s="20">
        <v>2</v>
      </c>
      <c r="AL158" s="20">
        <v>2</v>
      </c>
      <c r="AM158" s="20">
        <v>0</v>
      </c>
      <c r="AN158" s="21">
        <f t="shared" si="7"/>
        <v>6</v>
      </c>
      <c r="AO158" s="21">
        <v>2</v>
      </c>
      <c r="AP158" s="21">
        <v>4</v>
      </c>
      <c r="AQ158" s="20">
        <v>104</v>
      </c>
      <c r="AR158" s="20" t="s">
        <v>85</v>
      </c>
      <c r="AS158" s="21">
        <f t="shared" si="8"/>
        <v>104</v>
      </c>
    </row>
    <row r="159" spans="1:45" ht="15" customHeight="1">
      <c r="A159" s="17">
        <v>158</v>
      </c>
      <c r="B159" s="17"/>
      <c r="C159" s="18"/>
      <c r="D159" s="17">
        <v>1</v>
      </c>
      <c r="E159" s="17">
        <v>77</v>
      </c>
      <c r="F159" s="19">
        <f t="shared" si="6"/>
        <v>1</v>
      </c>
      <c r="G159" s="17">
        <v>1</v>
      </c>
      <c r="H159" s="17">
        <v>4</v>
      </c>
      <c r="I159" s="17">
        <v>3</v>
      </c>
      <c r="J159" s="17">
        <v>4</v>
      </c>
      <c r="K159" s="17">
        <v>0</v>
      </c>
      <c r="L159" s="17">
        <v>0</v>
      </c>
      <c r="M159" s="17">
        <v>0</v>
      </c>
      <c r="N159" s="17">
        <v>1</v>
      </c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7">
        <v>0</v>
      </c>
      <c r="U159" s="17">
        <v>1</v>
      </c>
      <c r="V159" s="17" t="s">
        <v>112</v>
      </c>
      <c r="W159" s="17">
        <v>1</v>
      </c>
      <c r="X159" s="17">
        <v>0</v>
      </c>
      <c r="Y159" s="17">
        <v>2</v>
      </c>
      <c r="Z159" s="17">
        <v>0</v>
      </c>
      <c r="AA159" s="17">
        <v>2</v>
      </c>
      <c r="AB159" s="17">
        <v>2</v>
      </c>
      <c r="AC159" s="17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2</v>
      </c>
      <c r="AI159" s="20">
        <v>0</v>
      </c>
      <c r="AJ159" s="20">
        <v>2</v>
      </c>
      <c r="AK159" s="20">
        <v>2</v>
      </c>
      <c r="AL159" s="20">
        <v>2</v>
      </c>
      <c r="AM159" s="20">
        <v>0</v>
      </c>
      <c r="AN159" s="21">
        <f t="shared" si="7"/>
        <v>2</v>
      </c>
      <c r="AO159" s="21">
        <v>4</v>
      </c>
      <c r="AP159" s="21">
        <v>4</v>
      </c>
      <c r="AQ159" s="20">
        <v>93</v>
      </c>
      <c r="AR159" s="20" t="s">
        <v>85</v>
      </c>
      <c r="AS159" s="21">
        <f t="shared" si="8"/>
        <v>93</v>
      </c>
    </row>
    <row r="160" spans="1:45" ht="15" customHeight="1">
      <c r="A160" s="17">
        <v>159</v>
      </c>
      <c r="B160" s="17"/>
      <c r="C160" s="18"/>
      <c r="D160" s="17">
        <v>1</v>
      </c>
      <c r="E160" s="17">
        <v>70</v>
      </c>
      <c r="F160" s="19">
        <f t="shared" si="6"/>
        <v>1</v>
      </c>
      <c r="G160" s="17">
        <v>1</v>
      </c>
      <c r="H160" s="17">
        <v>1</v>
      </c>
      <c r="I160" s="17">
        <v>1</v>
      </c>
      <c r="J160" s="17">
        <v>1</v>
      </c>
      <c r="K160" s="17">
        <v>0</v>
      </c>
      <c r="L160" s="17">
        <v>0</v>
      </c>
      <c r="M160" s="17">
        <v>0</v>
      </c>
      <c r="N160" s="17">
        <v>0</v>
      </c>
      <c r="O160" s="17">
        <v>1</v>
      </c>
      <c r="P160" s="17">
        <v>0</v>
      </c>
      <c r="Q160" s="17">
        <v>1</v>
      </c>
      <c r="R160" s="17">
        <v>1</v>
      </c>
      <c r="S160" s="17">
        <v>0</v>
      </c>
      <c r="T160" s="17">
        <v>0</v>
      </c>
      <c r="U160" s="17">
        <v>0</v>
      </c>
      <c r="V160" s="17"/>
      <c r="W160" s="17">
        <v>4</v>
      </c>
      <c r="X160" s="17">
        <v>2</v>
      </c>
      <c r="Y160" s="17">
        <v>2</v>
      </c>
      <c r="Z160" s="17">
        <v>2</v>
      </c>
      <c r="AA160" s="17">
        <v>4</v>
      </c>
      <c r="AB160" s="17">
        <v>2</v>
      </c>
      <c r="AC160" s="17">
        <v>2</v>
      </c>
      <c r="AD160" s="20">
        <v>2</v>
      </c>
      <c r="AE160" s="20">
        <v>2</v>
      </c>
      <c r="AF160" s="20">
        <v>4</v>
      </c>
      <c r="AG160" s="20">
        <v>2</v>
      </c>
      <c r="AH160" s="20">
        <v>4</v>
      </c>
      <c r="AI160" s="20">
        <v>2</v>
      </c>
      <c r="AJ160" s="20">
        <v>2</v>
      </c>
      <c r="AK160" s="20">
        <v>4</v>
      </c>
      <c r="AL160" s="20">
        <v>2</v>
      </c>
      <c r="AM160" s="20">
        <v>0</v>
      </c>
      <c r="AN160" s="21">
        <f t="shared" si="7"/>
        <v>6</v>
      </c>
      <c r="AO160" s="21">
        <v>16</v>
      </c>
      <c r="AP160" s="21">
        <v>6</v>
      </c>
      <c r="AQ160" s="20">
        <v>97</v>
      </c>
      <c r="AR160" s="20" t="s">
        <v>85</v>
      </c>
      <c r="AS160" s="21">
        <f t="shared" si="8"/>
        <v>97</v>
      </c>
    </row>
    <row r="161" spans="1:45" ht="15" customHeight="1">
      <c r="A161" s="17">
        <v>160</v>
      </c>
      <c r="B161" s="17"/>
      <c r="C161" s="18"/>
      <c r="D161" s="17">
        <v>1</v>
      </c>
      <c r="E161" s="17">
        <v>74</v>
      </c>
      <c r="F161" s="19">
        <f t="shared" si="6"/>
        <v>1</v>
      </c>
      <c r="G161" s="17">
        <v>2</v>
      </c>
      <c r="H161" s="17">
        <v>1</v>
      </c>
      <c r="I161" s="17">
        <v>3</v>
      </c>
      <c r="J161" s="17">
        <v>1</v>
      </c>
      <c r="K161" s="17">
        <v>1</v>
      </c>
      <c r="L161" s="17">
        <v>0</v>
      </c>
      <c r="M161" s="17">
        <v>0</v>
      </c>
      <c r="N161" s="17">
        <v>1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1</v>
      </c>
      <c r="V161" s="17" t="s">
        <v>100</v>
      </c>
      <c r="W161" s="17">
        <v>4</v>
      </c>
      <c r="X161" s="17">
        <v>0</v>
      </c>
      <c r="Y161" s="17">
        <v>2</v>
      </c>
      <c r="Z161" s="17">
        <v>2</v>
      </c>
      <c r="AA161" s="17">
        <v>2</v>
      </c>
      <c r="AB161" s="17">
        <v>2</v>
      </c>
      <c r="AC161" s="17">
        <v>2</v>
      </c>
      <c r="AD161" s="20">
        <v>2</v>
      </c>
      <c r="AE161" s="20">
        <v>2</v>
      </c>
      <c r="AF161" s="20">
        <v>0</v>
      </c>
      <c r="AG161" s="20">
        <v>0</v>
      </c>
      <c r="AH161" s="20">
        <v>0</v>
      </c>
      <c r="AI161" s="20">
        <v>2</v>
      </c>
      <c r="AJ161" s="20">
        <v>2</v>
      </c>
      <c r="AK161" s="20">
        <v>2</v>
      </c>
      <c r="AL161" s="20">
        <v>2</v>
      </c>
      <c r="AM161" s="20">
        <v>2</v>
      </c>
      <c r="AN161" s="21">
        <f t="shared" si="7"/>
        <v>6</v>
      </c>
      <c r="AO161" s="21">
        <v>6</v>
      </c>
      <c r="AP161" s="21">
        <v>6</v>
      </c>
      <c r="AQ161" s="20">
        <v>93.5</v>
      </c>
      <c r="AR161" s="20" t="s">
        <v>85</v>
      </c>
      <c r="AS161" s="21">
        <f t="shared" si="8"/>
        <v>93.5</v>
      </c>
    </row>
    <row r="162" spans="1:45" ht="15" customHeight="1">
      <c r="A162" s="17">
        <v>161</v>
      </c>
      <c r="B162" s="17"/>
      <c r="C162" s="18"/>
      <c r="D162" s="17">
        <v>1</v>
      </c>
      <c r="E162" s="17">
        <v>73</v>
      </c>
      <c r="F162" s="19">
        <f t="shared" si="6"/>
        <v>1</v>
      </c>
      <c r="G162" s="17">
        <v>2</v>
      </c>
      <c r="H162" s="17">
        <v>1</v>
      </c>
      <c r="I162" s="17">
        <v>2</v>
      </c>
      <c r="J162" s="17">
        <v>1</v>
      </c>
      <c r="K162" s="17">
        <v>1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1</v>
      </c>
      <c r="S162" s="17">
        <v>0</v>
      </c>
      <c r="T162" s="17">
        <v>0</v>
      </c>
      <c r="U162" s="17">
        <v>1</v>
      </c>
      <c r="V162" s="17" t="s">
        <v>113</v>
      </c>
      <c r="W162" s="17">
        <v>4</v>
      </c>
      <c r="X162" s="17">
        <v>2</v>
      </c>
      <c r="Y162" s="17">
        <v>2</v>
      </c>
      <c r="Z162" s="17">
        <v>0</v>
      </c>
      <c r="AA162" s="17">
        <v>4</v>
      </c>
      <c r="AB162" s="17">
        <v>2</v>
      </c>
      <c r="AC162" s="17">
        <v>2</v>
      </c>
      <c r="AD162" s="20">
        <v>2</v>
      </c>
      <c r="AE162" s="20">
        <v>0</v>
      </c>
      <c r="AF162" s="20">
        <v>2</v>
      </c>
      <c r="AG162" s="20">
        <v>0</v>
      </c>
      <c r="AH162" s="20">
        <v>2</v>
      </c>
      <c r="AI162" s="20">
        <v>2</v>
      </c>
      <c r="AJ162" s="20">
        <v>0</v>
      </c>
      <c r="AK162" s="20">
        <v>2</v>
      </c>
      <c r="AL162" s="20">
        <v>2</v>
      </c>
      <c r="AM162" s="20">
        <v>0</v>
      </c>
      <c r="AN162" s="21">
        <f t="shared" si="7"/>
        <v>6</v>
      </c>
      <c r="AO162" s="21">
        <v>6</v>
      </c>
      <c r="AP162" s="21">
        <v>4</v>
      </c>
      <c r="AQ162" s="20">
        <v>79.5</v>
      </c>
      <c r="AR162" s="20" t="s">
        <v>85</v>
      </c>
      <c r="AS162" s="21">
        <f t="shared" si="8"/>
        <v>79.5</v>
      </c>
    </row>
    <row r="163" spans="1:45" ht="15" customHeight="1">
      <c r="A163" s="17">
        <v>162</v>
      </c>
      <c r="B163" s="17"/>
      <c r="C163" s="18"/>
      <c r="D163" s="17">
        <v>1</v>
      </c>
      <c r="E163" s="17">
        <v>71</v>
      </c>
      <c r="F163" s="19">
        <f t="shared" si="6"/>
        <v>1</v>
      </c>
      <c r="G163" s="17">
        <v>2</v>
      </c>
      <c r="H163" s="17">
        <v>1</v>
      </c>
      <c r="I163" s="17">
        <v>1</v>
      </c>
      <c r="J163" s="17">
        <v>1</v>
      </c>
      <c r="K163" s="17">
        <v>1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1</v>
      </c>
      <c r="R163" s="17">
        <v>1</v>
      </c>
      <c r="S163" s="17">
        <v>0</v>
      </c>
      <c r="T163" s="17">
        <v>0</v>
      </c>
      <c r="U163" s="17">
        <v>0</v>
      </c>
      <c r="V163" s="17"/>
      <c r="W163" s="17">
        <v>4</v>
      </c>
      <c r="X163" s="17">
        <v>4</v>
      </c>
      <c r="Y163" s="17">
        <v>4</v>
      </c>
      <c r="Z163" s="17">
        <v>0</v>
      </c>
      <c r="AA163" s="17">
        <v>4</v>
      </c>
      <c r="AB163" s="17">
        <v>2</v>
      </c>
      <c r="AC163" s="17">
        <v>0</v>
      </c>
      <c r="AD163" s="20">
        <v>2</v>
      </c>
      <c r="AE163" s="20">
        <v>0</v>
      </c>
      <c r="AF163" s="20">
        <v>0</v>
      </c>
      <c r="AG163" s="20">
        <v>4</v>
      </c>
      <c r="AH163" s="20">
        <v>0</v>
      </c>
      <c r="AI163" s="20">
        <v>2</v>
      </c>
      <c r="AJ163" s="20">
        <v>2</v>
      </c>
      <c r="AK163" s="20">
        <v>2</v>
      </c>
      <c r="AL163" s="20">
        <v>4</v>
      </c>
      <c r="AM163" s="20">
        <v>0</v>
      </c>
      <c r="AN163" s="21">
        <f t="shared" si="7"/>
        <v>4</v>
      </c>
      <c r="AO163" s="21">
        <v>8</v>
      </c>
      <c r="AP163" s="21">
        <v>6</v>
      </c>
      <c r="AQ163" s="20">
        <v>102</v>
      </c>
      <c r="AR163" s="20" t="s">
        <v>85</v>
      </c>
      <c r="AS163" s="21">
        <f t="shared" si="8"/>
        <v>102</v>
      </c>
    </row>
    <row r="164" spans="1:45" ht="15" customHeight="1">
      <c r="A164" s="17">
        <v>163</v>
      </c>
      <c r="B164" s="17"/>
      <c r="C164" s="18"/>
      <c r="D164" s="17">
        <v>1</v>
      </c>
      <c r="E164" s="17">
        <v>80</v>
      </c>
      <c r="F164" s="19">
        <f t="shared" si="6"/>
        <v>1</v>
      </c>
      <c r="G164" s="17">
        <v>2</v>
      </c>
      <c r="H164" s="17">
        <v>1</v>
      </c>
      <c r="I164" s="17">
        <v>3</v>
      </c>
      <c r="J164" s="17">
        <v>1</v>
      </c>
      <c r="K164" s="17">
        <v>1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1</v>
      </c>
      <c r="S164" s="17">
        <v>0</v>
      </c>
      <c r="T164" s="17">
        <v>0</v>
      </c>
      <c r="U164" s="17">
        <v>0</v>
      </c>
      <c r="V164" s="17"/>
      <c r="W164" s="17">
        <v>1</v>
      </c>
      <c r="X164" s="17">
        <v>2</v>
      </c>
      <c r="Y164" s="17">
        <v>2</v>
      </c>
      <c r="Z164" s="17">
        <v>0</v>
      </c>
      <c r="AA164" s="17">
        <v>4</v>
      </c>
      <c r="AB164" s="17">
        <v>2</v>
      </c>
      <c r="AC164" s="17">
        <v>2</v>
      </c>
      <c r="AD164" s="20">
        <v>2</v>
      </c>
      <c r="AE164" s="20">
        <v>0</v>
      </c>
      <c r="AF164" s="20">
        <v>2</v>
      </c>
      <c r="AG164" s="20">
        <v>4</v>
      </c>
      <c r="AH164" s="20">
        <v>0</v>
      </c>
      <c r="AI164" s="20">
        <v>2</v>
      </c>
      <c r="AJ164" s="20">
        <v>2</v>
      </c>
      <c r="AK164" s="20">
        <v>2</v>
      </c>
      <c r="AL164" s="20">
        <v>2</v>
      </c>
      <c r="AM164" s="20">
        <v>0</v>
      </c>
      <c r="AN164" s="21">
        <f t="shared" si="7"/>
        <v>6</v>
      </c>
      <c r="AO164" s="21">
        <v>10</v>
      </c>
      <c r="AP164" s="21">
        <v>4</v>
      </c>
      <c r="AQ164" s="20">
        <v>90</v>
      </c>
      <c r="AR164" s="20" t="s">
        <v>85</v>
      </c>
      <c r="AS164" s="21">
        <f t="shared" si="8"/>
        <v>90</v>
      </c>
    </row>
    <row r="165" spans="1:45" ht="15" customHeight="1">
      <c r="A165" s="17">
        <v>164</v>
      </c>
      <c r="B165" s="17"/>
      <c r="C165" s="18"/>
      <c r="D165" s="17">
        <v>1</v>
      </c>
      <c r="E165" s="17">
        <v>70</v>
      </c>
      <c r="F165" s="19">
        <f t="shared" si="6"/>
        <v>1</v>
      </c>
      <c r="G165" s="17">
        <v>1</v>
      </c>
      <c r="H165" s="17">
        <v>2</v>
      </c>
      <c r="I165" s="17">
        <v>1</v>
      </c>
      <c r="J165" s="17">
        <v>1</v>
      </c>
      <c r="K165" s="17">
        <v>1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 t="s">
        <v>88</v>
      </c>
      <c r="W165" s="17">
        <v>4</v>
      </c>
      <c r="X165" s="17">
        <v>2</v>
      </c>
      <c r="Y165" s="17">
        <v>0</v>
      </c>
      <c r="Z165" s="17">
        <v>0</v>
      </c>
      <c r="AA165" s="17">
        <v>2</v>
      </c>
      <c r="AB165" s="17">
        <v>2</v>
      </c>
      <c r="AC165" s="17">
        <v>0</v>
      </c>
      <c r="AD165" s="20">
        <v>2</v>
      </c>
      <c r="AE165" s="20">
        <v>0</v>
      </c>
      <c r="AF165" s="20">
        <v>0</v>
      </c>
      <c r="AG165" s="20">
        <v>2</v>
      </c>
      <c r="AH165" s="20">
        <v>2</v>
      </c>
      <c r="AI165" s="20">
        <v>0</v>
      </c>
      <c r="AJ165" s="20">
        <v>2</v>
      </c>
      <c r="AK165" s="20">
        <v>2</v>
      </c>
      <c r="AL165" s="20">
        <v>4</v>
      </c>
      <c r="AM165" s="20">
        <v>0</v>
      </c>
      <c r="AN165" s="21">
        <f t="shared" si="7"/>
        <v>4</v>
      </c>
      <c r="AO165" s="21">
        <v>6</v>
      </c>
      <c r="AP165" s="21">
        <v>6</v>
      </c>
      <c r="AQ165" s="20">
        <v>70.5</v>
      </c>
      <c r="AR165" s="20" t="s">
        <v>85</v>
      </c>
      <c r="AS165" s="21">
        <f t="shared" si="8"/>
        <v>70.5</v>
      </c>
    </row>
    <row r="166" spans="1:45" ht="15" customHeight="1">
      <c r="A166" s="17">
        <v>165</v>
      </c>
      <c r="B166" s="17"/>
      <c r="C166" s="18"/>
      <c r="D166" s="17">
        <v>1</v>
      </c>
      <c r="E166" s="17">
        <v>77</v>
      </c>
      <c r="F166" s="19">
        <f t="shared" si="6"/>
        <v>1</v>
      </c>
      <c r="G166" s="17">
        <v>2</v>
      </c>
      <c r="H166" s="17">
        <v>1</v>
      </c>
      <c r="I166" s="17">
        <v>3</v>
      </c>
      <c r="J166" s="17">
        <v>1</v>
      </c>
      <c r="K166" s="17">
        <v>1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1</v>
      </c>
      <c r="R166" s="17">
        <v>1</v>
      </c>
      <c r="S166" s="17">
        <v>0</v>
      </c>
      <c r="T166" s="17">
        <v>0</v>
      </c>
      <c r="U166" s="17">
        <v>0</v>
      </c>
      <c r="V166" s="17"/>
      <c r="W166" s="17">
        <v>4</v>
      </c>
      <c r="X166" s="17">
        <v>2</v>
      </c>
      <c r="Y166" s="17">
        <v>2</v>
      </c>
      <c r="Z166" s="17">
        <v>2</v>
      </c>
      <c r="AA166" s="17">
        <v>4</v>
      </c>
      <c r="AB166" s="17">
        <v>2</v>
      </c>
      <c r="AC166" s="17">
        <v>0</v>
      </c>
      <c r="AD166" s="20">
        <v>2</v>
      </c>
      <c r="AE166" s="20">
        <v>0</v>
      </c>
      <c r="AF166" s="20">
        <v>0</v>
      </c>
      <c r="AG166" s="20">
        <v>4</v>
      </c>
      <c r="AH166" s="20">
        <v>2</v>
      </c>
      <c r="AI166" s="20">
        <v>2</v>
      </c>
      <c r="AJ166" s="20">
        <v>2</v>
      </c>
      <c r="AK166" s="20">
        <v>2</v>
      </c>
      <c r="AL166" s="20">
        <v>2</v>
      </c>
      <c r="AM166" s="20">
        <v>0</v>
      </c>
      <c r="AN166" s="21">
        <f t="shared" si="7"/>
        <v>4</v>
      </c>
      <c r="AO166" s="21">
        <v>10</v>
      </c>
      <c r="AP166" s="21">
        <v>4</v>
      </c>
      <c r="AQ166" s="20">
        <v>94</v>
      </c>
      <c r="AR166" s="20" t="s">
        <v>85</v>
      </c>
      <c r="AS166" s="21">
        <f t="shared" si="8"/>
        <v>94</v>
      </c>
    </row>
    <row r="167" spans="1:45" ht="15" customHeight="1">
      <c r="A167" s="17">
        <v>166</v>
      </c>
      <c r="B167" s="17"/>
      <c r="C167" s="18"/>
      <c r="D167" s="17">
        <v>1</v>
      </c>
      <c r="E167" s="17">
        <v>78</v>
      </c>
      <c r="F167" s="19">
        <f t="shared" si="6"/>
        <v>1</v>
      </c>
      <c r="G167" s="17">
        <v>2</v>
      </c>
      <c r="H167" s="17">
        <v>1</v>
      </c>
      <c r="I167" s="17">
        <v>4</v>
      </c>
      <c r="J167" s="17">
        <v>1</v>
      </c>
      <c r="K167" s="17">
        <v>1</v>
      </c>
      <c r="L167" s="17">
        <v>0</v>
      </c>
      <c r="M167" s="17">
        <v>0</v>
      </c>
      <c r="N167" s="17">
        <v>1</v>
      </c>
      <c r="O167" s="17">
        <v>1</v>
      </c>
      <c r="P167" s="17">
        <v>0</v>
      </c>
      <c r="Q167" s="17">
        <v>1</v>
      </c>
      <c r="R167" s="17">
        <v>1</v>
      </c>
      <c r="S167" s="17">
        <v>0</v>
      </c>
      <c r="T167" s="17">
        <v>0</v>
      </c>
      <c r="U167" s="17">
        <v>0</v>
      </c>
      <c r="V167" s="17"/>
      <c r="W167" s="17">
        <v>1</v>
      </c>
      <c r="X167" s="17">
        <v>2</v>
      </c>
      <c r="Y167" s="17">
        <v>2</v>
      </c>
      <c r="Z167" s="17">
        <v>0</v>
      </c>
      <c r="AA167" s="17">
        <v>4</v>
      </c>
      <c r="AB167" s="17">
        <v>2</v>
      </c>
      <c r="AC167" s="17">
        <v>0</v>
      </c>
      <c r="AD167" s="20">
        <v>2</v>
      </c>
      <c r="AE167" s="20">
        <v>0</v>
      </c>
      <c r="AF167" s="20">
        <v>2</v>
      </c>
      <c r="AG167" s="20">
        <v>2</v>
      </c>
      <c r="AH167" s="20">
        <v>0</v>
      </c>
      <c r="AI167" s="20">
        <v>2</v>
      </c>
      <c r="AJ167" s="20">
        <v>2</v>
      </c>
      <c r="AK167" s="20">
        <v>2</v>
      </c>
      <c r="AL167" s="20">
        <v>2</v>
      </c>
      <c r="AM167" s="20">
        <v>0</v>
      </c>
      <c r="AN167" s="21">
        <f t="shared" si="7"/>
        <v>4</v>
      </c>
      <c r="AO167" s="21">
        <v>8</v>
      </c>
      <c r="AP167" s="21">
        <v>4</v>
      </c>
      <c r="AQ167" s="20">
        <v>87</v>
      </c>
      <c r="AR167" s="20" t="s">
        <v>85</v>
      </c>
      <c r="AS167" s="21">
        <f t="shared" si="8"/>
        <v>87</v>
      </c>
    </row>
    <row r="168" spans="1:45" ht="15" customHeight="1">
      <c r="A168" s="17">
        <v>167</v>
      </c>
      <c r="B168" s="17"/>
      <c r="C168" s="18"/>
      <c r="D168" s="17">
        <v>1</v>
      </c>
      <c r="E168" s="17">
        <v>82</v>
      </c>
      <c r="F168" s="19">
        <f t="shared" si="6"/>
        <v>1</v>
      </c>
      <c r="G168" s="17">
        <v>2</v>
      </c>
      <c r="H168" s="17">
        <v>2</v>
      </c>
      <c r="I168" s="17">
        <v>4</v>
      </c>
      <c r="J168" s="17">
        <v>4</v>
      </c>
      <c r="K168" s="17">
        <v>0</v>
      </c>
      <c r="L168" s="17">
        <v>1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 t="s">
        <v>114</v>
      </c>
      <c r="W168" s="17">
        <v>4</v>
      </c>
      <c r="X168" s="17">
        <v>0</v>
      </c>
      <c r="Y168" s="17">
        <v>2</v>
      </c>
      <c r="Z168" s="17">
        <v>2</v>
      </c>
      <c r="AA168" s="17">
        <v>2</v>
      </c>
      <c r="AB168" s="17">
        <v>2</v>
      </c>
      <c r="AC168" s="17">
        <v>0</v>
      </c>
      <c r="AD168" s="20">
        <v>2</v>
      </c>
      <c r="AE168" s="20">
        <v>2</v>
      </c>
      <c r="AF168" s="20">
        <v>4</v>
      </c>
      <c r="AG168" s="20">
        <v>2</v>
      </c>
      <c r="AH168" s="20">
        <v>4</v>
      </c>
      <c r="AI168" s="20">
        <v>2</v>
      </c>
      <c r="AJ168" s="20">
        <v>2</v>
      </c>
      <c r="AK168" s="20">
        <v>4</v>
      </c>
      <c r="AL168" s="20">
        <v>2</v>
      </c>
      <c r="AM168" s="20">
        <v>0</v>
      </c>
      <c r="AN168" s="21">
        <f t="shared" si="7"/>
        <v>4</v>
      </c>
      <c r="AO168" s="21">
        <v>16</v>
      </c>
      <c r="AP168" s="21">
        <v>6</v>
      </c>
      <c r="AQ168" s="20">
        <v>73</v>
      </c>
      <c r="AR168" s="20" t="s">
        <v>85</v>
      </c>
      <c r="AS168" s="21">
        <f t="shared" si="8"/>
        <v>73</v>
      </c>
    </row>
    <row r="169" spans="1:45" ht="15" customHeight="1">
      <c r="A169" s="17">
        <v>168</v>
      </c>
      <c r="B169" s="17"/>
      <c r="C169" s="18"/>
      <c r="D169" s="17">
        <v>1</v>
      </c>
      <c r="E169" s="17">
        <v>71</v>
      </c>
      <c r="F169" s="19">
        <f t="shared" si="6"/>
        <v>1</v>
      </c>
      <c r="G169" s="17">
        <v>1</v>
      </c>
      <c r="H169" s="17">
        <v>1</v>
      </c>
      <c r="I169" s="17">
        <v>2</v>
      </c>
      <c r="J169" s="17">
        <v>1</v>
      </c>
      <c r="K169" s="17">
        <v>1</v>
      </c>
      <c r="L169" s="17">
        <v>0</v>
      </c>
      <c r="M169" s="17">
        <v>0</v>
      </c>
      <c r="N169" s="17">
        <v>0</v>
      </c>
      <c r="O169" s="17">
        <v>0</v>
      </c>
      <c r="P169" s="17">
        <v>1</v>
      </c>
      <c r="Q169" s="17">
        <v>1</v>
      </c>
      <c r="R169" s="17">
        <v>1</v>
      </c>
      <c r="S169" s="17">
        <v>1</v>
      </c>
      <c r="T169" s="17">
        <v>0</v>
      </c>
      <c r="U169" s="17">
        <v>0</v>
      </c>
      <c r="V169" s="17"/>
      <c r="W169" s="17">
        <v>2</v>
      </c>
      <c r="X169" s="17">
        <v>2</v>
      </c>
      <c r="Y169" s="17">
        <v>2</v>
      </c>
      <c r="Z169" s="17">
        <v>0</v>
      </c>
      <c r="AA169" s="17">
        <v>4</v>
      </c>
      <c r="AB169" s="17">
        <v>2</v>
      </c>
      <c r="AC169" s="17">
        <v>2</v>
      </c>
      <c r="AD169" s="20">
        <v>2</v>
      </c>
      <c r="AE169" s="20">
        <v>0</v>
      </c>
      <c r="AF169" s="20">
        <v>2</v>
      </c>
      <c r="AG169" s="20">
        <v>2</v>
      </c>
      <c r="AH169" s="20">
        <v>2</v>
      </c>
      <c r="AI169" s="20">
        <v>2</v>
      </c>
      <c r="AJ169" s="20">
        <v>0</v>
      </c>
      <c r="AK169" s="20">
        <v>2</v>
      </c>
      <c r="AL169" s="20">
        <v>2</v>
      </c>
      <c r="AM169" s="20">
        <v>0</v>
      </c>
      <c r="AN169" s="21">
        <f t="shared" si="7"/>
        <v>6</v>
      </c>
      <c r="AO169" s="21">
        <v>8</v>
      </c>
      <c r="AP169" s="21">
        <v>4</v>
      </c>
      <c r="AQ169" s="20">
        <v>106</v>
      </c>
      <c r="AR169" s="20" t="s">
        <v>85</v>
      </c>
      <c r="AS169" s="21">
        <f t="shared" si="8"/>
        <v>106</v>
      </c>
    </row>
    <row r="170" spans="1:45" ht="15" customHeight="1">
      <c r="A170" s="17">
        <v>169</v>
      </c>
      <c r="B170" s="17"/>
      <c r="C170" s="18"/>
      <c r="D170" s="17">
        <v>1</v>
      </c>
      <c r="E170" s="17">
        <v>70</v>
      </c>
      <c r="F170" s="19">
        <f t="shared" si="6"/>
        <v>1</v>
      </c>
      <c r="G170" s="17">
        <v>2</v>
      </c>
      <c r="H170" s="17">
        <v>1</v>
      </c>
      <c r="I170" s="17">
        <v>3</v>
      </c>
      <c r="J170" s="17">
        <v>1</v>
      </c>
      <c r="K170" s="17">
        <v>1</v>
      </c>
      <c r="L170" s="17">
        <v>0</v>
      </c>
      <c r="M170" s="17">
        <v>0</v>
      </c>
      <c r="N170" s="17">
        <v>0</v>
      </c>
      <c r="O170" s="17">
        <v>0</v>
      </c>
      <c r="P170" s="17">
        <v>1</v>
      </c>
      <c r="Q170" s="17">
        <v>1</v>
      </c>
      <c r="R170" s="17">
        <v>0</v>
      </c>
      <c r="S170" s="17">
        <v>1</v>
      </c>
      <c r="T170" s="17">
        <v>0</v>
      </c>
      <c r="U170" s="17">
        <v>0</v>
      </c>
      <c r="V170" s="17"/>
      <c r="W170" s="17">
        <v>4</v>
      </c>
      <c r="X170" s="17">
        <v>4</v>
      </c>
      <c r="Y170" s="17">
        <v>2</v>
      </c>
      <c r="Z170" s="17">
        <v>2</v>
      </c>
      <c r="AA170" s="17">
        <v>4</v>
      </c>
      <c r="AB170" s="17">
        <v>2</v>
      </c>
      <c r="AC170" s="17">
        <v>0</v>
      </c>
      <c r="AD170" s="20">
        <v>2</v>
      </c>
      <c r="AE170" s="20">
        <v>0</v>
      </c>
      <c r="AF170" s="20">
        <v>2</v>
      </c>
      <c r="AG170" s="20">
        <v>0</v>
      </c>
      <c r="AH170" s="20">
        <v>0</v>
      </c>
      <c r="AI170" s="20">
        <v>2</v>
      </c>
      <c r="AJ170" s="20">
        <v>2</v>
      </c>
      <c r="AK170" s="20">
        <v>4</v>
      </c>
      <c r="AL170" s="20">
        <v>2</v>
      </c>
      <c r="AM170" s="20">
        <v>0</v>
      </c>
      <c r="AN170" s="21">
        <f t="shared" si="7"/>
        <v>4</v>
      </c>
      <c r="AO170" s="21">
        <v>6</v>
      </c>
      <c r="AP170" s="21">
        <v>6</v>
      </c>
      <c r="AQ170" s="20">
        <v>57</v>
      </c>
      <c r="AR170" s="20" t="s">
        <v>85</v>
      </c>
      <c r="AS170" s="21">
        <f t="shared" si="8"/>
        <v>57</v>
      </c>
    </row>
    <row r="171" spans="1:45" ht="15" customHeight="1">
      <c r="A171" s="17">
        <v>170</v>
      </c>
      <c r="B171" s="17"/>
      <c r="C171" s="18"/>
      <c r="D171" s="17">
        <v>1</v>
      </c>
      <c r="E171" s="17">
        <v>70</v>
      </c>
      <c r="F171" s="19">
        <f t="shared" si="6"/>
        <v>1</v>
      </c>
      <c r="G171" s="17">
        <v>2</v>
      </c>
      <c r="H171" s="17">
        <v>1</v>
      </c>
      <c r="I171" s="17">
        <v>3</v>
      </c>
      <c r="J171" s="17">
        <v>1</v>
      </c>
      <c r="K171" s="17">
        <v>1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1</v>
      </c>
      <c r="R171" s="17">
        <v>1</v>
      </c>
      <c r="S171" s="17">
        <v>0</v>
      </c>
      <c r="T171" s="17">
        <v>0</v>
      </c>
      <c r="U171" s="17">
        <v>0</v>
      </c>
      <c r="V171" s="17"/>
      <c r="W171" s="17">
        <v>4</v>
      </c>
      <c r="X171" s="17">
        <v>0</v>
      </c>
      <c r="Y171" s="17">
        <v>2</v>
      </c>
      <c r="Z171" s="17">
        <v>2</v>
      </c>
      <c r="AA171" s="17">
        <v>4</v>
      </c>
      <c r="AB171" s="17">
        <v>2</v>
      </c>
      <c r="AC171" s="17">
        <v>2</v>
      </c>
      <c r="AD171" s="20">
        <v>2</v>
      </c>
      <c r="AE171" s="20">
        <v>0</v>
      </c>
      <c r="AF171" s="20">
        <v>2</v>
      </c>
      <c r="AG171" s="20">
        <v>0</v>
      </c>
      <c r="AH171" s="20">
        <v>0</v>
      </c>
      <c r="AI171" s="20">
        <v>2</v>
      </c>
      <c r="AJ171" s="20">
        <v>2</v>
      </c>
      <c r="AK171" s="20">
        <v>2</v>
      </c>
      <c r="AL171" s="20">
        <v>2</v>
      </c>
      <c r="AM171" s="20">
        <v>0</v>
      </c>
      <c r="AN171" s="21">
        <f t="shared" si="7"/>
        <v>6</v>
      </c>
      <c r="AO171" s="21">
        <v>6</v>
      </c>
      <c r="AP171" s="21">
        <v>4</v>
      </c>
      <c r="AQ171" s="20">
        <v>92.5</v>
      </c>
      <c r="AR171" s="20" t="s">
        <v>85</v>
      </c>
      <c r="AS171" s="21">
        <f t="shared" si="8"/>
        <v>92.5</v>
      </c>
    </row>
    <row r="172" spans="1:45" ht="15" customHeight="1">
      <c r="A172" s="17">
        <v>171</v>
      </c>
      <c r="B172" s="17"/>
      <c r="C172" s="18"/>
      <c r="D172" s="17">
        <v>1</v>
      </c>
      <c r="E172" s="17">
        <v>80</v>
      </c>
      <c r="F172" s="19">
        <f t="shared" si="6"/>
        <v>1</v>
      </c>
      <c r="G172" s="17">
        <v>2</v>
      </c>
      <c r="H172" s="17">
        <v>1</v>
      </c>
      <c r="I172" s="17">
        <v>1</v>
      </c>
      <c r="J172" s="17">
        <v>1</v>
      </c>
      <c r="K172" s="17">
        <v>1</v>
      </c>
      <c r="L172" s="17">
        <v>0</v>
      </c>
      <c r="M172" s="17">
        <v>0</v>
      </c>
      <c r="N172" s="17">
        <v>0</v>
      </c>
      <c r="O172" s="17">
        <v>0</v>
      </c>
      <c r="P172" s="17">
        <v>1</v>
      </c>
      <c r="Q172" s="17">
        <v>1</v>
      </c>
      <c r="R172" s="17">
        <v>1</v>
      </c>
      <c r="S172" s="17">
        <v>0</v>
      </c>
      <c r="T172" s="17">
        <v>0</v>
      </c>
      <c r="U172" s="17">
        <v>0</v>
      </c>
      <c r="V172" s="17"/>
      <c r="W172" s="17">
        <v>1</v>
      </c>
      <c r="X172" s="17">
        <v>0</v>
      </c>
      <c r="Y172" s="17">
        <v>0</v>
      </c>
      <c r="Z172" s="17">
        <v>0</v>
      </c>
      <c r="AA172" s="17">
        <v>4</v>
      </c>
      <c r="AB172" s="17">
        <v>2</v>
      </c>
      <c r="AC172" s="17">
        <v>0</v>
      </c>
      <c r="AD172" s="20">
        <v>0</v>
      </c>
      <c r="AE172" s="20">
        <v>0</v>
      </c>
      <c r="AF172" s="20">
        <v>0</v>
      </c>
      <c r="AG172" s="20">
        <v>2</v>
      </c>
      <c r="AH172" s="20">
        <v>0</v>
      </c>
      <c r="AI172" s="20">
        <v>0</v>
      </c>
      <c r="AJ172" s="20">
        <v>0</v>
      </c>
      <c r="AK172" s="20">
        <v>2</v>
      </c>
      <c r="AL172" s="20">
        <v>2</v>
      </c>
      <c r="AM172" s="20">
        <v>0</v>
      </c>
      <c r="AN172" s="21">
        <f t="shared" si="7"/>
        <v>2</v>
      </c>
      <c r="AO172" s="21">
        <v>2</v>
      </c>
      <c r="AP172" s="21">
        <v>4</v>
      </c>
      <c r="AQ172" s="20">
        <v>82</v>
      </c>
      <c r="AR172" s="20" t="s">
        <v>85</v>
      </c>
      <c r="AS172" s="21">
        <f t="shared" si="8"/>
        <v>82</v>
      </c>
    </row>
    <row r="173" spans="1:45" ht="15" customHeight="1">
      <c r="A173" s="17">
        <v>172</v>
      </c>
      <c r="B173" s="17"/>
      <c r="C173" s="18"/>
      <c r="D173" s="17">
        <v>1</v>
      </c>
      <c r="E173" s="17">
        <v>75</v>
      </c>
      <c r="F173" s="19">
        <f t="shared" si="6"/>
        <v>1</v>
      </c>
      <c r="G173" s="17">
        <v>2</v>
      </c>
      <c r="H173" s="17">
        <v>1</v>
      </c>
      <c r="I173" s="17">
        <v>1</v>
      </c>
      <c r="J173" s="17">
        <v>1</v>
      </c>
      <c r="K173" s="17">
        <v>1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1</v>
      </c>
      <c r="R173" s="17">
        <v>1</v>
      </c>
      <c r="S173" s="17">
        <v>0</v>
      </c>
      <c r="T173" s="17">
        <v>0</v>
      </c>
      <c r="U173" s="17">
        <v>0</v>
      </c>
      <c r="V173" s="17"/>
      <c r="W173" s="17">
        <v>1</v>
      </c>
      <c r="X173" s="17">
        <v>2</v>
      </c>
      <c r="Y173" s="17">
        <v>2</v>
      </c>
      <c r="Z173" s="17">
        <v>2</v>
      </c>
      <c r="AA173" s="17">
        <v>4</v>
      </c>
      <c r="AB173" s="17">
        <v>2</v>
      </c>
      <c r="AC173" s="17">
        <v>0</v>
      </c>
      <c r="AD173" s="20">
        <v>2</v>
      </c>
      <c r="AE173" s="20">
        <v>0</v>
      </c>
      <c r="AF173" s="20">
        <v>2</v>
      </c>
      <c r="AG173" s="20">
        <v>2</v>
      </c>
      <c r="AH173" s="20">
        <v>0</v>
      </c>
      <c r="AI173" s="20">
        <v>2</v>
      </c>
      <c r="AJ173" s="20">
        <v>2</v>
      </c>
      <c r="AK173" s="20">
        <v>2</v>
      </c>
      <c r="AL173" s="20">
        <v>2</v>
      </c>
      <c r="AM173" s="20">
        <v>0</v>
      </c>
      <c r="AN173" s="21">
        <f t="shared" si="7"/>
        <v>4</v>
      </c>
      <c r="AO173" s="21">
        <v>8</v>
      </c>
      <c r="AP173" s="21">
        <v>4</v>
      </c>
      <c r="AQ173" s="20">
        <v>70</v>
      </c>
      <c r="AR173" s="20" t="s">
        <v>85</v>
      </c>
      <c r="AS173" s="21">
        <f t="shared" si="8"/>
        <v>70</v>
      </c>
    </row>
    <row r="174" spans="1:45" ht="15" customHeight="1">
      <c r="A174" s="17">
        <v>173</v>
      </c>
      <c r="B174" s="17"/>
      <c r="C174" s="18"/>
      <c r="D174" s="17">
        <v>1</v>
      </c>
      <c r="E174" s="17">
        <v>72</v>
      </c>
      <c r="F174" s="19">
        <f t="shared" si="6"/>
        <v>1</v>
      </c>
      <c r="G174" s="17">
        <v>1</v>
      </c>
      <c r="H174" s="17">
        <v>1</v>
      </c>
      <c r="I174" s="17">
        <v>2</v>
      </c>
      <c r="J174" s="17">
        <v>1</v>
      </c>
      <c r="K174" s="17">
        <v>1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 t="s">
        <v>88</v>
      </c>
      <c r="W174" s="17">
        <v>2</v>
      </c>
      <c r="X174" s="17">
        <v>0</v>
      </c>
      <c r="Y174" s="17">
        <v>2</v>
      </c>
      <c r="Z174" s="17">
        <v>2</v>
      </c>
      <c r="AA174" s="17">
        <v>4</v>
      </c>
      <c r="AB174" s="17">
        <v>2</v>
      </c>
      <c r="AC174" s="17">
        <v>2</v>
      </c>
      <c r="AD174" s="20">
        <v>2</v>
      </c>
      <c r="AE174" s="20">
        <v>0</v>
      </c>
      <c r="AF174" s="20">
        <v>2</v>
      </c>
      <c r="AG174" s="20">
        <v>2</v>
      </c>
      <c r="AH174" s="20">
        <v>2</v>
      </c>
      <c r="AI174" s="20">
        <v>0</v>
      </c>
      <c r="AJ174" s="20">
        <v>2</v>
      </c>
      <c r="AK174" s="20">
        <v>2</v>
      </c>
      <c r="AL174" s="20">
        <v>4</v>
      </c>
      <c r="AM174" s="20">
        <v>2</v>
      </c>
      <c r="AN174" s="21">
        <f t="shared" si="7"/>
        <v>6</v>
      </c>
      <c r="AO174" s="21">
        <v>8</v>
      </c>
      <c r="AP174" s="21">
        <v>8</v>
      </c>
      <c r="AQ174" s="20">
        <v>93</v>
      </c>
      <c r="AR174" s="20" t="s">
        <v>85</v>
      </c>
      <c r="AS174" s="21">
        <f t="shared" si="8"/>
        <v>93</v>
      </c>
    </row>
    <row r="175" spans="1:45" ht="15" customHeight="1">
      <c r="A175" s="17">
        <v>174</v>
      </c>
      <c r="B175" s="17"/>
      <c r="C175" s="18"/>
      <c r="D175" s="17">
        <v>1</v>
      </c>
      <c r="E175" s="17">
        <v>80</v>
      </c>
      <c r="F175" s="19">
        <f t="shared" si="6"/>
        <v>1</v>
      </c>
      <c r="G175" s="17">
        <v>1</v>
      </c>
      <c r="H175" s="17">
        <v>1</v>
      </c>
      <c r="I175" s="17">
        <v>3</v>
      </c>
      <c r="J175" s="17">
        <v>1</v>
      </c>
      <c r="K175" s="17">
        <v>1</v>
      </c>
      <c r="L175" s="17">
        <v>0</v>
      </c>
      <c r="M175" s="17">
        <v>0</v>
      </c>
      <c r="N175" s="17">
        <v>0</v>
      </c>
      <c r="O175" s="17">
        <v>0</v>
      </c>
      <c r="P175" s="17">
        <v>1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/>
      <c r="W175" s="17">
        <v>4</v>
      </c>
      <c r="X175" s="17">
        <v>2</v>
      </c>
      <c r="Y175" s="17">
        <v>2</v>
      </c>
      <c r="Z175" s="17">
        <v>2</v>
      </c>
      <c r="AA175" s="17">
        <v>4</v>
      </c>
      <c r="AB175" s="17">
        <v>2</v>
      </c>
      <c r="AC175" s="17">
        <v>2</v>
      </c>
      <c r="AD175" s="20">
        <v>2</v>
      </c>
      <c r="AE175" s="20">
        <v>4</v>
      </c>
      <c r="AF175" s="20">
        <v>2</v>
      </c>
      <c r="AG175" s="20">
        <v>0</v>
      </c>
      <c r="AH175" s="20">
        <v>0</v>
      </c>
      <c r="AI175" s="20">
        <v>2</v>
      </c>
      <c r="AJ175" s="20">
        <v>2</v>
      </c>
      <c r="AK175" s="20">
        <v>2</v>
      </c>
      <c r="AL175" s="20">
        <v>2</v>
      </c>
      <c r="AM175" s="20">
        <v>2</v>
      </c>
      <c r="AN175" s="21">
        <f t="shared" si="7"/>
        <v>6</v>
      </c>
      <c r="AO175" s="21">
        <v>10</v>
      </c>
      <c r="AP175" s="21">
        <v>6</v>
      </c>
      <c r="AQ175" s="20">
        <v>88</v>
      </c>
      <c r="AR175" s="20" t="s">
        <v>85</v>
      </c>
      <c r="AS175" s="21">
        <f t="shared" si="8"/>
        <v>88</v>
      </c>
    </row>
    <row r="176" spans="1:45" ht="15" customHeight="1">
      <c r="A176" s="17">
        <v>175</v>
      </c>
      <c r="B176" s="17"/>
      <c r="C176" s="18"/>
      <c r="D176" s="17">
        <v>1</v>
      </c>
      <c r="E176" s="17">
        <v>71</v>
      </c>
      <c r="F176" s="19">
        <f t="shared" si="6"/>
        <v>1</v>
      </c>
      <c r="G176" s="17">
        <v>2</v>
      </c>
      <c r="H176" s="17">
        <v>3</v>
      </c>
      <c r="I176" s="17">
        <v>3</v>
      </c>
      <c r="J176" s="17">
        <v>1</v>
      </c>
      <c r="K176" s="17">
        <v>1</v>
      </c>
      <c r="L176" s="17">
        <v>0</v>
      </c>
      <c r="M176" s="17">
        <v>0</v>
      </c>
      <c r="N176" s="17">
        <v>1</v>
      </c>
      <c r="O176" s="17">
        <v>0</v>
      </c>
      <c r="P176" s="17">
        <v>0</v>
      </c>
      <c r="Q176" s="17">
        <v>1</v>
      </c>
      <c r="R176" s="17">
        <v>1</v>
      </c>
      <c r="S176" s="17">
        <v>0</v>
      </c>
      <c r="T176" s="17">
        <v>0</v>
      </c>
      <c r="U176" s="17">
        <v>0</v>
      </c>
      <c r="V176" s="17"/>
      <c r="W176" s="17">
        <v>1</v>
      </c>
      <c r="X176" s="17">
        <v>2</v>
      </c>
      <c r="Y176" s="17">
        <v>2</v>
      </c>
      <c r="Z176" s="17">
        <v>2</v>
      </c>
      <c r="AA176" s="17">
        <v>4</v>
      </c>
      <c r="AB176" s="17">
        <v>2</v>
      </c>
      <c r="AC176" s="17">
        <v>2</v>
      </c>
      <c r="AD176" s="20">
        <v>2</v>
      </c>
      <c r="AE176" s="20">
        <v>0</v>
      </c>
      <c r="AF176" s="20">
        <v>2</v>
      </c>
      <c r="AG176" s="20">
        <v>2</v>
      </c>
      <c r="AH176" s="20">
        <v>0</v>
      </c>
      <c r="AI176" s="20">
        <v>2</v>
      </c>
      <c r="AJ176" s="20">
        <v>0</v>
      </c>
      <c r="AK176" s="20">
        <v>4</v>
      </c>
      <c r="AL176" s="20">
        <v>2</v>
      </c>
      <c r="AM176" s="20">
        <v>0</v>
      </c>
      <c r="AN176" s="21">
        <f t="shared" si="7"/>
        <v>6</v>
      </c>
      <c r="AO176" s="21">
        <v>6</v>
      </c>
      <c r="AP176" s="21">
        <v>6</v>
      </c>
      <c r="AQ176" s="20">
        <v>72</v>
      </c>
      <c r="AR176" s="20" t="s">
        <v>85</v>
      </c>
      <c r="AS176" s="21">
        <f t="shared" si="8"/>
        <v>72</v>
      </c>
    </row>
    <row r="177" spans="1:45" ht="15" customHeight="1">
      <c r="A177" s="17">
        <v>176</v>
      </c>
      <c r="B177" s="17"/>
      <c r="C177" s="18"/>
      <c r="D177" s="17">
        <v>1</v>
      </c>
      <c r="E177" s="17">
        <v>72</v>
      </c>
      <c r="F177" s="19">
        <f t="shared" si="6"/>
        <v>1</v>
      </c>
      <c r="G177" s="17">
        <v>2</v>
      </c>
      <c r="H177" s="17">
        <v>1</v>
      </c>
      <c r="I177" s="17">
        <v>2</v>
      </c>
      <c r="J177" s="17">
        <v>1</v>
      </c>
      <c r="K177" s="17">
        <v>1</v>
      </c>
      <c r="L177" s="17">
        <v>0</v>
      </c>
      <c r="M177" s="17">
        <v>0</v>
      </c>
      <c r="N177" s="17">
        <v>0</v>
      </c>
      <c r="O177" s="17">
        <v>1</v>
      </c>
      <c r="P177" s="17">
        <v>1</v>
      </c>
      <c r="Q177" s="17">
        <v>1</v>
      </c>
      <c r="R177" s="17">
        <v>1</v>
      </c>
      <c r="S177" s="17">
        <v>0</v>
      </c>
      <c r="T177" s="17">
        <v>0</v>
      </c>
      <c r="U177" s="17">
        <v>0</v>
      </c>
      <c r="V177" s="17"/>
      <c r="W177" s="17">
        <v>4</v>
      </c>
      <c r="X177" s="17">
        <v>0</v>
      </c>
      <c r="Y177" s="17">
        <v>2</v>
      </c>
      <c r="Z177" s="17">
        <v>2</v>
      </c>
      <c r="AA177" s="17">
        <v>4</v>
      </c>
      <c r="AB177" s="17">
        <v>2</v>
      </c>
      <c r="AC177" s="17">
        <v>2</v>
      </c>
      <c r="AD177" s="20">
        <v>2</v>
      </c>
      <c r="AE177" s="20">
        <v>0</v>
      </c>
      <c r="AF177" s="20">
        <v>4</v>
      </c>
      <c r="AG177" s="20">
        <v>0</v>
      </c>
      <c r="AH177" s="20">
        <v>0</v>
      </c>
      <c r="AI177" s="20">
        <v>2</v>
      </c>
      <c r="AJ177" s="20">
        <v>2</v>
      </c>
      <c r="AK177" s="20">
        <v>2</v>
      </c>
      <c r="AL177" s="20">
        <v>4</v>
      </c>
      <c r="AM177" s="20">
        <v>0</v>
      </c>
      <c r="AN177" s="21">
        <f t="shared" si="7"/>
        <v>6</v>
      </c>
      <c r="AO177" s="21">
        <v>8</v>
      </c>
      <c r="AP177" s="21">
        <v>6</v>
      </c>
      <c r="AQ177" s="20">
        <v>97.5</v>
      </c>
      <c r="AR177" s="20" t="s">
        <v>85</v>
      </c>
      <c r="AS177" s="21">
        <f t="shared" si="8"/>
        <v>97.5</v>
      </c>
    </row>
    <row r="178" spans="1:45" ht="15" customHeight="1">
      <c r="A178" s="17">
        <v>177</v>
      </c>
      <c r="B178" s="17"/>
      <c r="C178" s="18"/>
      <c r="D178" s="17">
        <v>1</v>
      </c>
      <c r="E178" s="17">
        <v>80</v>
      </c>
      <c r="F178" s="19">
        <f t="shared" si="6"/>
        <v>1</v>
      </c>
      <c r="G178" s="17">
        <v>2</v>
      </c>
      <c r="H178" s="17">
        <v>1</v>
      </c>
      <c r="I178" s="17">
        <v>3</v>
      </c>
      <c r="J178" s="17">
        <v>1</v>
      </c>
      <c r="K178" s="17">
        <v>1</v>
      </c>
      <c r="L178" s="17">
        <v>0</v>
      </c>
      <c r="M178" s="17">
        <v>0</v>
      </c>
      <c r="N178" s="17">
        <v>1</v>
      </c>
      <c r="O178" s="17">
        <v>0</v>
      </c>
      <c r="P178" s="17">
        <v>0</v>
      </c>
      <c r="Q178" s="17">
        <v>1</v>
      </c>
      <c r="R178" s="17">
        <v>1</v>
      </c>
      <c r="S178" s="17">
        <v>0</v>
      </c>
      <c r="T178" s="17">
        <v>0</v>
      </c>
      <c r="U178" s="17">
        <v>0</v>
      </c>
      <c r="V178" s="17"/>
      <c r="W178" s="17">
        <v>4</v>
      </c>
      <c r="X178" s="17">
        <v>2</v>
      </c>
      <c r="Y178" s="17">
        <v>2</v>
      </c>
      <c r="Z178" s="17">
        <v>0</v>
      </c>
      <c r="AA178" s="17">
        <v>4</v>
      </c>
      <c r="AB178" s="17">
        <v>2</v>
      </c>
      <c r="AC178" s="17">
        <v>0</v>
      </c>
      <c r="AD178" s="20">
        <v>2</v>
      </c>
      <c r="AE178" s="20">
        <v>0</v>
      </c>
      <c r="AF178" s="20">
        <v>2</v>
      </c>
      <c r="AG178" s="20">
        <v>2</v>
      </c>
      <c r="AH178" s="20">
        <v>2</v>
      </c>
      <c r="AI178" s="20">
        <v>0</v>
      </c>
      <c r="AJ178" s="20">
        <v>0</v>
      </c>
      <c r="AK178" s="20">
        <v>2</v>
      </c>
      <c r="AL178" s="20">
        <v>2</v>
      </c>
      <c r="AM178" s="20">
        <v>0</v>
      </c>
      <c r="AN178" s="21">
        <f t="shared" si="7"/>
        <v>4</v>
      </c>
      <c r="AO178" s="21">
        <v>6</v>
      </c>
      <c r="AP178" s="21">
        <v>4</v>
      </c>
      <c r="AQ178" s="20">
        <v>80</v>
      </c>
      <c r="AR178" s="20" t="s">
        <v>85</v>
      </c>
      <c r="AS178" s="21">
        <f t="shared" si="8"/>
        <v>80</v>
      </c>
    </row>
    <row r="179" spans="1:45" ht="15" customHeight="1">
      <c r="A179" s="17">
        <v>178</v>
      </c>
      <c r="B179" s="17"/>
      <c r="C179" s="18"/>
      <c r="D179" s="17">
        <v>1</v>
      </c>
      <c r="E179" s="17">
        <v>76</v>
      </c>
      <c r="F179" s="19">
        <f t="shared" si="6"/>
        <v>1</v>
      </c>
      <c r="G179" s="17">
        <v>2</v>
      </c>
      <c r="H179" s="17">
        <v>1</v>
      </c>
      <c r="I179" s="17">
        <v>2</v>
      </c>
      <c r="J179" s="17">
        <v>1</v>
      </c>
      <c r="K179" s="17">
        <v>1</v>
      </c>
      <c r="L179" s="17">
        <v>0</v>
      </c>
      <c r="M179" s="17">
        <v>0</v>
      </c>
      <c r="N179" s="17">
        <v>1</v>
      </c>
      <c r="O179" s="17">
        <v>0</v>
      </c>
      <c r="P179" s="17">
        <v>1</v>
      </c>
      <c r="Q179" s="17">
        <v>1</v>
      </c>
      <c r="R179" s="17">
        <v>1</v>
      </c>
      <c r="S179" s="17">
        <v>0</v>
      </c>
      <c r="T179" s="17">
        <v>0</v>
      </c>
      <c r="U179" s="17">
        <v>0</v>
      </c>
      <c r="V179" s="17"/>
      <c r="W179" s="17">
        <v>2</v>
      </c>
      <c r="X179" s="17">
        <v>2</v>
      </c>
      <c r="Y179" s="17">
        <v>2</v>
      </c>
      <c r="Z179" s="17">
        <v>2</v>
      </c>
      <c r="AA179" s="17">
        <v>4</v>
      </c>
      <c r="AB179" s="17">
        <v>2</v>
      </c>
      <c r="AC179" s="17">
        <v>2</v>
      </c>
      <c r="AD179" s="20">
        <v>2</v>
      </c>
      <c r="AE179" s="20">
        <v>0</v>
      </c>
      <c r="AF179" s="20">
        <v>0</v>
      </c>
      <c r="AG179" s="20">
        <v>2</v>
      </c>
      <c r="AH179" s="20">
        <v>2</v>
      </c>
      <c r="AI179" s="20">
        <v>2</v>
      </c>
      <c r="AJ179" s="20">
        <v>2</v>
      </c>
      <c r="AK179" s="20">
        <v>2</v>
      </c>
      <c r="AL179" s="20">
        <v>2</v>
      </c>
      <c r="AM179" s="20">
        <v>0</v>
      </c>
      <c r="AN179" s="21">
        <f t="shared" si="7"/>
        <v>6</v>
      </c>
      <c r="AO179" s="21">
        <v>8</v>
      </c>
      <c r="AP179" s="21">
        <v>4</v>
      </c>
      <c r="AQ179" s="20">
        <v>69.5</v>
      </c>
      <c r="AR179" s="20" t="s">
        <v>85</v>
      </c>
      <c r="AS179" s="21">
        <f t="shared" si="8"/>
        <v>69.5</v>
      </c>
    </row>
    <row r="180" spans="1:45" ht="15" customHeight="1">
      <c r="A180" s="17">
        <v>179</v>
      </c>
      <c r="B180" s="17"/>
      <c r="C180" s="18"/>
      <c r="D180" s="17">
        <v>1</v>
      </c>
      <c r="E180" s="17">
        <v>74</v>
      </c>
      <c r="F180" s="19">
        <f t="shared" si="6"/>
        <v>1</v>
      </c>
      <c r="G180" s="17">
        <v>2</v>
      </c>
      <c r="H180" s="17">
        <v>1</v>
      </c>
      <c r="I180" s="17">
        <v>3</v>
      </c>
      <c r="J180" s="17">
        <v>1</v>
      </c>
      <c r="K180" s="17">
        <v>1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 t="s">
        <v>88</v>
      </c>
      <c r="W180" s="17">
        <v>4</v>
      </c>
      <c r="X180" s="17">
        <v>2</v>
      </c>
      <c r="Y180" s="17">
        <v>2</v>
      </c>
      <c r="Z180" s="17">
        <v>2</v>
      </c>
      <c r="AA180" s="17">
        <v>2</v>
      </c>
      <c r="AB180" s="17">
        <v>2</v>
      </c>
      <c r="AC180" s="17">
        <v>2</v>
      </c>
      <c r="AD180" s="20">
        <v>2</v>
      </c>
      <c r="AE180" s="20">
        <v>2</v>
      </c>
      <c r="AF180" s="20">
        <v>2</v>
      </c>
      <c r="AG180" s="20">
        <v>0</v>
      </c>
      <c r="AH180" s="20">
        <v>4</v>
      </c>
      <c r="AI180" s="20">
        <v>2</v>
      </c>
      <c r="AJ180" s="20">
        <v>2</v>
      </c>
      <c r="AK180" s="20">
        <v>2</v>
      </c>
      <c r="AL180" s="20">
        <v>2</v>
      </c>
      <c r="AM180" s="20">
        <v>2</v>
      </c>
      <c r="AN180" s="21">
        <f t="shared" si="7"/>
        <v>6</v>
      </c>
      <c r="AO180" s="21">
        <v>12</v>
      </c>
      <c r="AP180" s="21">
        <v>6</v>
      </c>
      <c r="AQ180" s="20">
        <v>82.5</v>
      </c>
      <c r="AR180" s="20" t="s">
        <v>85</v>
      </c>
      <c r="AS180" s="21">
        <f t="shared" si="8"/>
        <v>82.5</v>
      </c>
    </row>
    <row r="181" spans="1:45" ht="15" customHeight="1">
      <c r="A181" s="17">
        <v>180</v>
      </c>
      <c r="B181" s="17"/>
      <c r="C181" s="18"/>
      <c r="D181" s="17">
        <v>1</v>
      </c>
      <c r="E181" s="17">
        <v>81</v>
      </c>
      <c r="F181" s="19">
        <f t="shared" si="6"/>
        <v>1</v>
      </c>
      <c r="G181" s="17">
        <v>2</v>
      </c>
      <c r="H181" s="17">
        <v>1</v>
      </c>
      <c r="I181" s="17">
        <v>2</v>
      </c>
      <c r="J181" s="17">
        <v>1</v>
      </c>
      <c r="K181" s="17">
        <v>1</v>
      </c>
      <c r="L181" s="17">
        <v>0</v>
      </c>
      <c r="M181" s="17">
        <v>0</v>
      </c>
      <c r="N181" s="17">
        <v>0</v>
      </c>
      <c r="O181" s="17">
        <v>1</v>
      </c>
      <c r="P181" s="17">
        <v>0</v>
      </c>
      <c r="Q181" s="17">
        <v>1</v>
      </c>
      <c r="R181" s="17">
        <v>0</v>
      </c>
      <c r="S181" s="17">
        <v>0</v>
      </c>
      <c r="T181" s="17">
        <v>0</v>
      </c>
      <c r="U181" s="17">
        <v>0</v>
      </c>
      <c r="V181" s="17"/>
      <c r="W181" s="17">
        <v>4</v>
      </c>
      <c r="X181" s="17">
        <v>0</v>
      </c>
      <c r="Y181" s="17">
        <v>0</v>
      </c>
      <c r="Z181" s="17">
        <v>0</v>
      </c>
      <c r="AA181" s="17">
        <v>4</v>
      </c>
      <c r="AB181" s="17">
        <v>2</v>
      </c>
      <c r="AC181" s="17">
        <v>2</v>
      </c>
      <c r="AD181" s="20">
        <v>2</v>
      </c>
      <c r="AE181" s="20">
        <v>0</v>
      </c>
      <c r="AF181" s="20">
        <v>0</v>
      </c>
      <c r="AG181" s="20">
        <v>2</v>
      </c>
      <c r="AH181" s="20">
        <v>2</v>
      </c>
      <c r="AI181" s="20">
        <v>2</v>
      </c>
      <c r="AJ181" s="20">
        <v>0</v>
      </c>
      <c r="AK181" s="20">
        <v>2</v>
      </c>
      <c r="AL181" s="20">
        <v>2</v>
      </c>
      <c r="AM181" s="20">
        <v>0</v>
      </c>
      <c r="AN181" s="21">
        <f t="shared" si="7"/>
        <v>6</v>
      </c>
      <c r="AO181" s="21">
        <v>6</v>
      </c>
      <c r="AP181" s="21">
        <v>4</v>
      </c>
      <c r="AQ181" s="20">
        <v>85.5</v>
      </c>
      <c r="AR181" s="20" t="s">
        <v>85</v>
      </c>
      <c r="AS181" s="21">
        <f t="shared" si="8"/>
        <v>85.5</v>
      </c>
    </row>
    <row r="182" spans="1:45" ht="15" customHeight="1">
      <c r="A182" s="17">
        <v>181</v>
      </c>
      <c r="B182" s="17"/>
      <c r="C182" s="18"/>
      <c r="D182" s="17">
        <v>1</v>
      </c>
      <c r="E182" s="17">
        <v>80</v>
      </c>
      <c r="F182" s="19">
        <f t="shared" si="6"/>
        <v>1</v>
      </c>
      <c r="G182" s="17">
        <v>1</v>
      </c>
      <c r="H182" s="17">
        <v>2</v>
      </c>
      <c r="I182" s="17">
        <v>2</v>
      </c>
      <c r="J182" s="17">
        <v>1</v>
      </c>
      <c r="K182" s="17">
        <v>1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1</v>
      </c>
      <c r="S182" s="17">
        <v>0</v>
      </c>
      <c r="T182" s="17">
        <v>0</v>
      </c>
      <c r="U182" s="17">
        <v>1</v>
      </c>
      <c r="V182" s="17" t="s">
        <v>115</v>
      </c>
      <c r="W182" s="17">
        <v>2</v>
      </c>
      <c r="X182" s="17">
        <v>4</v>
      </c>
      <c r="Y182" s="17">
        <v>2</v>
      </c>
      <c r="Z182" s="17">
        <v>2</v>
      </c>
      <c r="AA182" s="17">
        <v>4</v>
      </c>
      <c r="AB182" s="17">
        <v>2</v>
      </c>
      <c r="AC182" s="17">
        <v>0</v>
      </c>
      <c r="AD182" s="20">
        <v>2</v>
      </c>
      <c r="AE182" s="20">
        <v>0</v>
      </c>
      <c r="AF182" s="20">
        <v>2</v>
      </c>
      <c r="AG182" s="20">
        <v>2</v>
      </c>
      <c r="AH182" s="20">
        <v>0</v>
      </c>
      <c r="AI182" s="20">
        <v>0</v>
      </c>
      <c r="AJ182" s="20">
        <v>0</v>
      </c>
      <c r="AK182" s="20">
        <v>2</v>
      </c>
      <c r="AL182" s="20">
        <v>2</v>
      </c>
      <c r="AM182" s="20">
        <v>0</v>
      </c>
      <c r="AN182" s="21">
        <f t="shared" si="7"/>
        <v>4</v>
      </c>
      <c r="AO182" s="21">
        <v>4</v>
      </c>
      <c r="AP182" s="21">
        <v>4</v>
      </c>
      <c r="AQ182" s="20">
        <v>77</v>
      </c>
      <c r="AR182" s="20" t="s">
        <v>85</v>
      </c>
      <c r="AS182" s="21">
        <f t="shared" si="8"/>
        <v>77</v>
      </c>
    </row>
    <row r="183" spans="1:45" ht="15" customHeight="1">
      <c r="A183" s="17">
        <v>182</v>
      </c>
      <c r="B183" s="17"/>
      <c r="C183" s="18"/>
      <c r="D183" s="17">
        <v>1</v>
      </c>
      <c r="E183" s="17">
        <v>71</v>
      </c>
      <c r="F183" s="19">
        <f t="shared" si="6"/>
        <v>1</v>
      </c>
      <c r="G183" s="17">
        <v>2</v>
      </c>
      <c r="H183" s="17">
        <v>2</v>
      </c>
      <c r="I183" s="17">
        <v>1</v>
      </c>
      <c r="J183" s="17">
        <v>1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1</v>
      </c>
      <c r="Q183" s="17">
        <v>1</v>
      </c>
      <c r="R183" s="17">
        <v>1</v>
      </c>
      <c r="S183" s="17">
        <v>0</v>
      </c>
      <c r="T183" s="17">
        <v>0</v>
      </c>
      <c r="U183" s="17">
        <v>1</v>
      </c>
      <c r="V183" s="17" t="s">
        <v>97</v>
      </c>
      <c r="W183" s="17">
        <v>4</v>
      </c>
      <c r="X183" s="17">
        <v>0</v>
      </c>
      <c r="Y183" s="17">
        <v>2</v>
      </c>
      <c r="Z183" s="17">
        <v>0</v>
      </c>
      <c r="AA183" s="17">
        <v>4</v>
      </c>
      <c r="AB183" s="17">
        <v>2</v>
      </c>
      <c r="AC183" s="17">
        <v>0</v>
      </c>
      <c r="AD183" s="20">
        <v>2</v>
      </c>
      <c r="AE183" s="20">
        <v>2</v>
      </c>
      <c r="AF183" s="20">
        <v>2</v>
      </c>
      <c r="AG183" s="20">
        <v>0</v>
      </c>
      <c r="AH183" s="20">
        <v>0</v>
      </c>
      <c r="AI183" s="20">
        <v>2</v>
      </c>
      <c r="AJ183" s="20">
        <v>2</v>
      </c>
      <c r="AK183" s="20">
        <v>2</v>
      </c>
      <c r="AL183" s="20">
        <v>2</v>
      </c>
      <c r="AM183" s="20">
        <v>4</v>
      </c>
      <c r="AN183" s="21">
        <f t="shared" si="7"/>
        <v>4</v>
      </c>
      <c r="AO183" s="21">
        <v>8</v>
      </c>
      <c r="AP183" s="21">
        <v>8</v>
      </c>
      <c r="AQ183" s="20">
        <v>94.5</v>
      </c>
      <c r="AR183" s="20" t="s">
        <v>85</v>
      </c>
      <c r="AS183" s="21">
        <f t="shared" si="8"/>
        <v>94.5</v>
      </c>
    </row>
    <row r="184" spans="1:45" ht="15" customHeight="1">
      <c r="A184" s="17">
        <v>183</v>
      </c>
      <c r="B184" s="17"/>
      <c r="C184" s="18"/>
      <c r="D184" s="17">
        <v>1</v>
      </c>
      <c r="E184" s="17">
        <v>80</v>
      </c>
      <c r="F184" s="19">
        <f t="shared" si="6"/>
        <v>1</v>
      </c>
      <c r="G184" s="17">
        <v>1</v>
      </c>
      <c r="H184" s="17">
        <v>1</v>
      </c>
      <c r="I184" s="17">
        <v>2</v>
      </c>
      <c r="J184" s="17">
        <v>1</v>
      </c>
      <c r="K184" s="17">
        <v>1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1</v>
      </c>
      <c r="S184" s="17">
        <v>0</v>
      </c>
      <c r="T184" s="17">
        <v>0</v>
      </c>
      <c r="U184" s="17">
        <v>0</v>
      </c>
      <c r="V184" s="17"/>
      <c r="W184" s="17">
        <v>4</v>
      </c>
      <c r="X184" s="17">
        <v>0</v>
      </c>
      <c r="Y184" s="17">
        <v>2</v>
      </c>
      <c r="Z184" s="17">
        <v>2</v>
      </c>
      <c r="AA184" s="17">
        <v>4</v>
      </c>
      <c r="AB184" s="17">
        <v>2</v>
      </c>
      <c r="AC184" s="17">
        <v>2</v>
      </c>
      <c r="AD184" s="20">
        <v>2</v>
      </c>
      <c r="AE184" s="20">
        <v>0</v>
      </c>
      <c r="AF184" s="20">
        <v>2</v>
      </c>
      <c r="AG184" s="20">
        <v>0</v>
      </c>
      <c r="AH184" s="20">
        <v>2</v>
      </c>
      <c r="AI184" s="20">
        <v>0</v>
      </c>
      <c r="AJ184" s="20">
        <v>2</v>
      </c>
      <c r="AK184" s="20">
        <v>2</v>
      </c>
      <c r="AL184" s="20">
        <v>2</v>
      </c>
      <c r="AM184" s="20">
        <v>0</v>
      </c>
      <c r="AN184" s="21">
        <f t="shared" si="7"/>
        <v>6</v>
      </c>
      <c r="AO184" s="21">
        <v>6</v>
      </c>
      <c r="AP184" s="21">
        <v>4</v>
      </c>
      <c r="AQ184" s="20">
        <v>80</v>
      </c>
      <c r="AR184" s="20" t="s">
        <v>85</v>
      </c>
      <c r="AS184" s="21">
        <f t="shared" si="8"/>
        <v>80</v>
      </c>
    </row>
    <row r="185" spans="1:45" ht="15" customHeight="1">
      <c r="A185" s="17">
        <v>184</v>
      </c>
      <c r="B185" s="17"/>
      <c r="C185" s="18"/>
      <c r="D185" s="17">
        <v>1</v>
      </c>
      <c r="E185" s="17">
        <v>77</v>
      </c>
      <c r="F185" s="19">
        <f t="shared" si="6"/>
        <v>1</v>
      </c>
      <c r="G185" s="17">
        <v>2</v>
      </c>
      <c r="H185" s="17">
        <v>1</v>
      </c>
      <c r="I185" s="17">
        <v>3</v>
      </c>
      <c r="J185" s="17">
        <v>1</v>
      </c>
      <c r="K185" s="17">
        <v>1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1</v>
      </c>
      <c r="R185" s="17">
        <v>1</v>
      </c>
      <c r="S185" s="17">
        <v>0</v>
      </c>
      <c r="T185" s="17">
        <v>0</v>
      </c>
      <c r="U185" s="17">
        <v>1</v>
      </c>
      <c r="V185" s="17" t="s">
        <v>116</v>
      </c>
      <c r="W185" s="17">
        <v>4</v>
      </c>
      <c r="X185" s="17">
        <v>0</v>
      </c>
      <c r="Y185" s="17">
        <v>0</v>
      </c>
      <c r="Z185" s="17">
        <v>0</v>
      </c>
      <c r="AA185" s="17">
        <v>4</v>
      </c>
      <c r="AB185" s="17">
        <v>2</v>
      </c>
      <c r="AC185" s="17">
        <v>0</v>
      </c>
      <c r="AD185" s="20">
        <v>2</v>
      </c>
      <c r="AE185" s="20">
        <v>0</v>
      </c>
      <c r="AF185" s="20">
        <v>2</v>
      </c>
      <c r="AG185" s="20">
        <v>2</v>
      </c>
      <c r="AH185" s="20">
        <v>0</v>
      </c>
      <c r="AI185" s="20">
        <v>0</v>
      </c>
      <c r="AJ185" s="20">
        <v>0</v>
      </c>
      <c r="AK185" s="20">
        <v>2</v>
      </c>
      <c r="AL185" s="20">
        <v>4</v>
      </c>
      <c r="AM185" s="20">
        <v>4</v>
      </c>
      <c r="AN185" s="21">
        <f t="shared" si="7"/>
        <v>4</v>
      </c>
      <c r="AO185" s="21">
        <v>4</v>
      </c>
      <c r="AP185" s="21">
        <v>10</v>
      </c>
      <c r="AQ185" s="20">
        <v>63</v>
      </c>
      <c r="AR185" s="20" t="s">
        <v>85</v>
      </c>
      <c r="AS185" s="21">
        <f t="shared" si="8"/>
        <v>63</v>
      </c>
    </row>
    <row r="186" spans="1:45" ht="15" customHeight="1">
      <c r="A186" s="17">
        <v>185</v>
      </c>
      <c r="B186" s="17"/>
      <c r="C186" s="18"/>
      <c r="D186" s="17">
        <v>1</v>
      </c>
      <c r="E186" s="17">
        <v>82</v>
      </c>
      <c r="F186" s="19">
        <f t="shared" si="6"/>
        <v>1</v>
      </c>
      <c r="G186" s="17">
        <v>2</v>
      </c>
      <c r="H186" s="17">
        <v>1</v>
      </c>
      <c r="I186" s="17">
        <v>2</v>
      </c>
      <c r="J186" s="17">
        <v>1</v>
      </c>
      <c r="K186" s="17">
        <v>1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1</v>
      </c>
      <c r="R186" s="17">
        <v>1</v>
      </c>
      <c r="S186" s="17">
        <v>0</v>
      </c>
      <c r="T186" s="17">
        <v>0</v>
      </c>
      <c r="U186" s="17">
        <v>0</v>
      </c>
      <c r="V186" s="17"/>
      <c r="W186" s="17">
        <v>4</v>
      </c>
      <c r="X186" s="17">
        <v>0</v>
      </c>
      <c r="Y186" s="17">
        <v>2</v>
      </c>
      <c r="Z186" s="17">
        <v>2</v>
      </c>
      <c r="AA186" s="17">
        <v>4</v>
      </c>
      <c r="AB186" s="17">
        <v>2</v>
      </c>
      <c r="AC186" s="17">
        <v>2</v>
      </c>
      <c r="AD186" s="20">
        <v>2</v>
      </c>
      <c r="AE186" s="20">
        <v>0</v>
      </c>
      <c r="AF186" s="20">
        <v>2</v>
      </c>
      <c r="AG186" s="20">
        <v>0</v>
      </c>
      <c r="AH186" s="20">
        <v>0</v>
      </c>
      <c r="AI186" s="20">
        <v>2</v>
      </c>
      <c r="AJ186" s="20">
        <v>2</v>
      </c>
      <c r="AK186" s="20">
        <v>2</v>
      </c>
      <c r="AL186" s="20">
        <v>2</v>
      </c>
      <c r="AM186" s="20">
        <v>4</v>
      </c>
      <c r="AN186" s="21">
        <f t="shared" si="7"/>
        <v>6</v>
      </c>
      <c r="AO186" s="21">
        <v>6</v>
      </c>
      <c r="AP186" s="21">
        <v>8</v>
      </c>
      <c r="AQ186" s="20">
        <v>68.5</v>
      </c>
      <c r="AR186" s="20" t="s">
        <v>85</v>
      </c>
      <c r="AS186" s="21">
        <f t="shared" si="8"/>
        <v>68.5</v>
      </c>
    </row>
    <row r="187" spans="1:45" ht="15" customHeight="1">
      <c r="A187" s="17">
        <v>186</v>
      </c>
      <c r="B187" s="17"/>
      <c r="C187" s="18"/>
      <c r="D187" s="17">
        <v>1</v>
      </c>
      <c r="E187" s="17">
        <v>79</v>
      </c>
      <c r="F187" s="19">
        <f t="shared" si="6"/>
        <v>1</v>
      </c>
      <c r="G187" s="17">
        <v>2</v>
      </c>
      <c r="H187" s="17">
        <v>2</v>
      </c>
      <c r="I187" s="17">
        <v>1</v>
      </c>
      <c r="J187" s="17">
        <v>1</v>
      </c>
      <c r="K187" s="17">
        <v>1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1</v>
      </c>
      <c r="R187" s="17">
        <v>0</v>
      </c>
      <c r="S187" s="17">
        <v>0</v>
      </c>
      <c r="T187" s="17">
        <v>0</v>
      </c>
      <c r="U187" s="17">
        <v>0</v>
      </c>
      <c r="V187" s="17"/>
      <c r="W187" s="17">
        <v>4</v>
      </c>
      <c r="X187" s="17">
        <v>2</v>
      </c>
      <c r="Y187" s="17">
        <v>2</v>
      </c>
      <c r="Z187" s="17">
        <v>0</v>
      </c>
      <c r="AA187" s="17">
        <v>4</v>
      </c>
      <c r="AB187" s="17">
        <v>2</v>
      </c>
      <c r="AC187" s="17">
        <v>2</v>
      </c>
      <c r="AD187" s="20">
        <v>2</v>
      </c>
      <c r="AE187" s="20">
        <v>0</v>
      </c>
      <c r="AF187" s="20">
        <v>2</v>
      </c>
      <c r="AG187" s="20">
        <v>2</v>
      </c>
      <c r="AH187" s="20">
        <v>2</v>
      </c>
      <c r="AI187" s="20">
        <v>2</v>
      </c>
      <c r="AJ187" s="20">
        <v>2</v>
      </c>
      <c r="AK187" s="20">
        <v>2</v>
      </c>
      <c r="AL187" s="20">
        <v>2</v>
      </c>
      <c r="AM187" s="20">
        <v>2</v>
      </c>
      <c r="AN187" s="21">
        <f t="shared" si="7"/>
        <v>6</v>
      </c>
      <c r="AO187" s="21">
        <v>10</v>
      </c>
      <c r="AP187" s="21">
        <v>6</v>
      </c>
      <c r="AQ187" s="20">
        <v>78</v>
      </c>
      <c r="AR187" s="20" t="s">
        <v>85</v>
      </c>
      <c r="AS187" s="21">
        <f t="shared" si="8"/>
        <v>78</v>
      </c>
    </row>
    <row r="188" spans="1:45" ht="15" customHeight="1">
      <c r="A188" s="17">
        <v>187</v>
      </c>
      <c r="B188" s="17"/>
      <c r="C188" s="18"/>
      <c r="D188" s="17">
        <v>1</v>
      </c>
      <c r="E188" s="17">
        <v>80</v>
      </c>
      <c r="F188" s="19">
        <f t="shared" si="6"/>
        <v>1</v>
      </c>
      <c r="G188" s="17">
        <v>2</v>
      </c>
      <c r="H188" s="17">
        <v>1</v>
      </c>
      <c r="I188" s="17">
        <v>3</v>
      </c>
      <c r="J188" s="17">
        <v>1</v>
      </c>
      <c r="K188" s="17">
        <v>1</v>
      </c>
      <c r="L188" s="17">
        <v>0</v>
      </c>
      <c r="M188" s="17">
        <v>0</v>
      </c>
      <c r="N188" s="17">
        <v>1</v>
      </c>
      <c r="O188" s="17">
        <v>0</v>
      </c>
      <c r="P188" s="17">
        <v>1</v>
      </c>
      <c r="Q188" s="17">
        <v>1</v>
      </c>
      <c r="R188" s="17">
        <v>1</v>
      </c>
      <c r="S188" s="17">
        <v>0</v>
      </c>
      <c r="T188" s="17">
        <v>0</v>
      </c>
      <c r="U188" s="17">
        <v>0</v>
      </c>
      <c r="V188" s="17"/>
      <c r="W188" s="17">
        <v>4</v>
      </c>
      <c r="X188" s="17">
        <v>2</v>
      </c>
      <c r="Y188" s="17">
        <v>2</v>
      </c>
      <c r="Z188" s="17">
        <v>0</v>
      </c>
      <c r="AA188" s="17">
        <v>4</v>
      </c>
      <c r="AB188" s="17">
        <v>2</v>
      </c>
      <c r="AC188" s="17">
        <v>2</v>
      </c>
      <c r="AD188" s="20">
        <v>2</v>
      </c>
      <c r="AE188" s="20">
        <v>2</v>
      </c>
      <c r="AF188" s="20">
        <v>4</v>
      </c>
      <c r="AG188" s="20">
        <v>2</v>
      </c>
      <c r="AH188" s="20">
        <v>2</v>
      </c>
      <c r="AI188" s="20">
        <v>2</v>
      </c>
      <c r="AJ188" s="20">
        <v>2</v>
      </c>
      <c r="AK188" s="20">
        <v>2</v>
      </c>
      <c r="AL188" s="20">
        <v>4</v>
      </c>
      <c r="AM188" s="20">
        <v>4</v>
      </c>
      <c r="AN188" s="21">
        <f t="shared" si="7"/>
        <v>6</v>
      </c>
      <c r="AO188" s="21">
        <v>14</v>
      </c>
      <c r="AP188" s="21">
        <v>10</v>
      </c>
      <c r="AQ188" s="20">
        <v>106</v>
      </c>
      <c r="AR188" s="20" t="s">
        <v>85</v>
      </c>
      <c r="AS188" s="21">
        <f t="shared" si="8"/>
        <v>106</v>
      </c>
    </row>
    <row r="189" spans="1:45" ht="15" customHeight="1">
      <c r="A189" s="17">
        <v>188</v>
      </c>
      <c r="B189" s="17"/>
      <c r="C189" s="18"/>
      <c r="D189" s="17">
        <v>1</v>
      </c>
      <c r="E189" s="17">
        <v>72</v>
      </c>
      <c r="F189" s="19">
        <f t="shared" si="6"/>
        <v>1</v>
      </c>
      <c r="G189" s="17">
        <v>2</v>
      </c>
      <c r="H189" s="17">
        <v>1</v>
      </c>
      <c r="I189" s="17">
        <v>2</v>
      </c>
      <c r="J189" s="17">
        <v>1</v>
      </c>
      <c r="K189" s="17">
        <v>1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1</v>
      </c>
      <c r="S189" s="17">
        <v>0</v>
      </c>
      <c r="T189" s="17">
        <v>0</v>
      </c>
      <c r="U189" s="17">
        <v>0</v>
      </c>
      <c r="V189" s="17" t="s">
        <v>117</v>
      </c>
      <c r="W189" s="17">
        <v>4</v>
      </c>
      <c r="X189" s="17">
        <v>2</v>
      </c>
      <c r="Y189" s="17">
        <v>2</v>
      </c>
      <c r="Z189" s="17">
        <v>2</v>
      </c>
      <c r="AA189" s="17">
        <v>4</v>
      </c>
      <c r="AB189" s="17">
        <v>2</v>
      </c>
      <c r="AC189" s="17">
        <v>2</v>
      </c>
      <c r="AD189" s="20">
        <v>2</v>
      </c>
      <c r="AE189" s="20">
        <v>2</v>
      </c>
      <c r="AF189" s="20">
        <v>2</v>
      </c>
      <c r="AG189" s="20">
        <v>2</v>
      </c>
      <c r="AH189" s="20">
        <v>0</v>
      </c>
      <c r="AI189" s="20">
        <v>0</v>
      </c>
      <c r="AJ189" s="20">
        <v>2</v>
      </c>
      <c r="AK189" s="20">
        <v>2</v>
      </c>
      <c r="AL189" s="20">
        <v>2</v>
      </c>
      <c r="AM189" s="20">
        <v>0</v>
      </c>
      <c r="AN189" s="21">
        <f t="shared" si="7"/>
        <v>6</v>
      </c>
      <c r="AO189" s="21">
        <v>8</v>
      </c>
      <c r="AP189" s="21">
        <v>4</v>
      </c>
      <c r="AQ189" s="20">
        <v>84</v>
      </c>
      <c r="AR189" s="20" t="s">
        <v>85</v>
      </c>
      <c r="AS189" s="21">
        <f t="shared" si="8"/>
        <v>84</v>
      </c>
    </row>
    <row r="190" spans="1:45" ht="15" customHeight="1">
      <c r="A190" s="17">
        <v>189</v>
      </c>
      <c r="B190" s="17"/>
      <c r="C190" s="18"/>
      <c r="D190" s="17">
        <v>1</v>
      </c>
      <c r="E190" s="17">
        <v>71</v>
      </c>
      <c r="F190" s="19">
        <f t="shared" si="6"/>
        <v>1</v>
      </c>
      <c r="G190" s="17">
        <v>1</v>
      </c>
      <c r="H190" s="17">
        <v>1</v>
      </c>
      <c r="I190" s="17">
        <v>2</v>
      </c>
      <c r="J190" s="17">
        <v>1</v>
      </c>
      <c r="K190" s="17">
        <v>1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 t="s">
        <v>88</v>
      </c>
      <c r="W190" s="17">
        <v>2</v>
      </c>
      <c r="X190" s="17">
        <v>2</v>
      </c>
      <c r="Y190" s="17">
        <v>2</v>
      </c>
      <c r="Z190" s="17">
        <v>2</v>
      </c>
      <c r="AA190" s="17">
        <v>2</v>
      </c>
      <c r="AB190" s="17">
        <v>2</v>
      </c>
      <c r="AC190" s="17">
        <v>2</v>
      </c>
      <c r="AD190" s="20">
        <v>2</v>
      </c>
      <c r="AE190" s="20">
        <v>0</v>
      </c>
      <c r="AF190" s="20">
        <v>0</v>
      </c>
      <c r="AG190" s="20">
        <v>2</v>
      </c>
      <c r="AH190" s="20">
        <v>0</v>
      </c>
      <c r="AI190" s="20">
        <v>2</v>
      </c>
      <c r="AJ190" s="20">
        <v>2</v>
      </c>
      <c r="AK190" s="20">
        <v>2</v>
      </c>
      <c r="AL190" s="20">
        <v>2</v>
      </c>
      <c r="AM190" s="20">
        <v>0</v>
      </c>
      <c r="AN190" s="21">
        <f t="shared" si="7"/>
        <v>6</v>
      </c>
      <c r="AO190" s="21">
        <v>6</v>
      </c>
      <c r="AP190" s="21">
        <v>4</v>
      </c>
      <c r="AQ190" s="20">
        <v>90</v>
      </c>
      <c r="AR190" s="20" t="s">
        <v>85</v>
      </c>
      <c r="AS190" s="21">
        <f t="shared" si="8"/>
        <v>90</v>
      </c>
    </row>
    <row r="191" spans="1:45" ht="15" customHeight="1">
      <c r="A191" s="17">
        <v>190</v>
      </c>
      <c r="B191" s="17"/>
      <c r="C191" s="18"/>
      <c r="D191" s="17">
        <v>1</v>
      </c>
      <c r="E191" s="17">
        <v>73</v>
      </c>
      <c r="F191" s="19">
        <f t="shared" si="6"/>
        <v>1</v>
      </c>
      <c r="G191" s="17">
        <v>2</v>
      </c>
      <c r="H191" s="17">
        <v>2</v>
      </c>
      <c r="I191" s="17">
        <v>4</v>
      </c>
      <c r="J191" s="17">
        <v>2</v>
      </c>
      <c r="K191" s="17">
        <v>1</v>
      </c>
      <c r="L191" s="17">
        <v>0</v>
      </c>
      <c r="M191" s="17">
        <v>0</v>
      </c>
      <c r="N191" s="17">
        <v>1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 t="s">
        <v>88</v>
      </c>
      <c r="W191" s="17">
        <v>4</v>
      </c>
      <c r="X191" s="17">
        <v>0</v>
      </c>
      <c r="Y191" s="17">
        <v>0</v>
      </c>
      <c r="Z191" s="17">
        <v>2</v>
      </c>
      <c r="AA191" s="17">
        <v>2</v>
      </c>
      <c r="AB191" s="17">
        <v>2</v>
      </c>
      <c r="AC191" s="17">
        <v>0</v>
      </c>
      <c r="AD191" s="20">
        <v>2</v>
      </c>
      <c r="AE191" s="20">
        <v>0</v>
      </c>
      <c r="AF191" s="20">
        <v>0</v>
      </c>
      <c r="AG191" s="20">
        <v>4</v>
      </c>
      <c r="AH191" s="20">
        <v>4</v>
      </c>
      <c r="AI191" s="20">
        <v>2</v>
      </c>
      <c r="AJ191" s="20">
        <v>2</v>
      </c>
      <c r="AK191" s="20">
        <v>2</v>
      </c>
      <c r="AL191" s="20">
        <v>4</v>
      </c>
      <c r="AM191" s="20">
        <v>0</v>
      </c>
      <c r="AN191" s="21">
        <f t="shared" si="7"/>
        <v>4</v>
      </c>
      <c r="AO191" s="21">
        <v>12</v>
      </c>
      <c r="AP191" s="21">
        <v>6</v>
      </c>
      <c r="AQ191" s="20">
        <v>97</v>
      </c>
      <c r="AR191" s="20" t="s">
        <v>85</v>
      </c>
      <c r="AS191" s="21">
        <f t="shared" si="8"/>
        <v>97</v>
      </c>
    </row>
    <row r="192" spans="1:45" ht="15" customHeight="1">
      <c r="A192" s="17">
        <v>191</v>
      </c>
      <c r="B192" s="17"/>
      <c r="C192" s="18"/>
      <c r="D192" s="17">
        <v>1</v>
      </c>
      <c r="E192" s="17">
        <v>73</v>
      </c>
      <c r="F192" s="19">
        <f t="shared" si="6"/>
        <v>1</v>
      </c>
      <c r="G192" s="17">
        <v>1</v>
      </c>
      <c r="H192" s="17">
        <v>1</v>
      </c>
      <c r="I192" s="17">
        <v>2</v>
      </c>
      <c r="J192" s="17">
        <v>1</v>
      </c>
      <c r="K192" s="17">
        <v>1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1</v>
      </c>
      <c r="R192" s="17">
        <v>1</v>
      </c>
      <c r="S192" s="17">
        <v>0</v>
      </c>
      <c r="T192" s="17">
        <v>0</v>
      </c>
      <c r="U192" s="17">
        <v>0</v>
      </c>
      <c r="V192" s="17"/>
      <c r="W192" s="17">
        <v>2</v>
      </c>
      <c r="X192" s="17">
        <v>2</v>
      </c>
      <c r="Y192" s="17">
        <v>2</v>
      </c>
      <c r="Z192" s="17">
        <v>2</v>
      </c>
      <c r="AA192" s="17">
        <v>4</v>
      </c>
      <c r="AB192" s="17">
        <v>2</v>
      </c>
      <c r="AC192" s="17">
        <v>2</v>
      </c>
      <c r="AD192" s="20">
        <v>2</v>
      </c>
      <c r="AE192" s="20">
        <v>0</v>
      </c>
      <c r="AF192" s="20">
        <v>2</v>
      </c>
      <c r="AG192" s="20">
        <v>2</v>
      </c>
      <c r="AH192" s="20">
        <v>2</v>
      </c>
      <c r="AI192" s="20">
        <v>2</v>
      </c>
      <c r="AJ192" s="20">
        <v>2</v>
      </c>
      <c r="AK192" s="20">
        <v>2</v>
      </c>
      <c r="AL192" s="20">
        <v>4</v>
      </c>
      <c r="AM192" s="20">
        <v>0</v>
      </c>
      <c r="AN192" s="21">
        <f t="shared" si="7"/>
        <v>6</v>
      </c>
      <c r="AO192" s="21">
        <v>10</v>
      </c>
      <c r="AP192" s="21">
        <v>6</v>
      </c>
      <c r="AQ192" s="20">
        <v>95</v>
      </c>
      <c r="AR192" s="20" t="s">
        <v>85</v>
      </c>
      <c r="AS192" s="21">
        <f t="shared" si="8"/>
        <v>95</v>
      </c>
    </row>
    <row r="193" spans="1:45" ht="15" customHeight="1">
      <c r="A193" s="17">
        <v>192</v>
      </c>
      <c r="B193" s="17"/>
      <c r="C193" s="18"/>
      <c r="D193" s="17">
        <v>1</v>
      </c>
      <c r="E193" s="17">
        <v>71</v>
      </c>
      <c r="F193" s="19">
        <f t="shared" si="6"/>
        <v>1</v>
      </c>
      <c r="G193" s="17">
        <v>2</v>
      </c>
      <c r="H193" s="17">
        <v>3</v>
      </c>
      <c r="I193" s="17">
        <v>3</v>
      </c>
      <c r="J193" s="17">
        <v>1</v>
      </c>
      <c r="K193" s="17">
        <v>1</v>
      </c>
      <c r="L193" s="17">
        <v>0</v>
      </c>
      <c r="M193" s="17">
        <v>0</v>
      </c>
      <c r="N193" s="17">
        <v>0</v>
      </c>
      <c r="O193" s="17">
        <v>1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 t="s">
        <v>88</v>
      </c>
      <c r="W193" s="17">
        <v>4</v>
      </c>
      <c r="X193" s="17">
        <v>2</v>
      </c>
      <c r="Y193" s="17">
        <v>2</v>
      </c>
      <c r="Z193" s="17">
        <v>0</v>
      </c>
      <c r="AA193" s="17">
        <v>2</v>
      </c>
      <c r="AB193" s="17">
        <v>2</v>
      </c>
      <c r="AC193" s="17">
        <v>2</v>
      </c>
      <c r="AD193" s="20">
        <v>2</v>
      </c>
      <c r="AE193" s="20">
        <v>0</v>
      </c>
      <c r="AF193" s="20">
        <v>2</v>
      </c>
      <c r="AG193" s="20">
        <v>2</v>
      </c>
      <c r="AH193" s="20">
        <v>2</v>
      </c>
      <c r="AI193" s="20">
        <v>2</v>
      </c>
      <c r="AJ193" s="20">
        <v>2</v>
      </c>
      <c r="AK193" s="20">
        <v>2</v>
      </c>
      <c r="AL193" s="20">
        <v>2</v>
      </c>
      <c r="AM193" s="20">
        <v>0</v>
      </c>
      <c r="AN193" s="21">
        <f t="shared" si="7"/>
        <v>6</v>
      </c>
      <c r="AO193" s="21">
        <v>10</v>
      </c>
      <c r="AP193" s="21">
        <v>4</v>
      </c>
      <c r="AQ193" s="20">
        <v>75</v>
      </c>
      <c r="AR193" s="20" t="s">
        <v>85</v>
      </c>
      <c r="AS193" s="21">
        <f t="shared" si="8"/>
        <v>75</v>
      </c>
    </row>
    <row r="194" spans="1:45" ht="15" customHeight="1">
      <c r="A194" s="17">
        <v>193</v>
      </c>
      <c r="B194" s="17"/>
      <c r="C194" s="18"/>
      <c r="D194" s="17">
        <v>1</v>
      </c>
      <c r="E194" s="17">
        <v>85</v>
      </c>
      <c r="F194" s="19">
        <f t="shared" ref="F194:F257" si="9">IF(E194="","",IF(E194&lt;70,0,1))</f>
        <v>1</v>
      </c>
      <c r="G194" s="17">
        <v>2</v>
      </c>
      <c r="H194" s="17">
        <v>2</v>
      </c>
      <c r="I194" s="17">
        <v>3</v>
      </c>
      <c r="J194" s="17">
        <v>1</v>
      </c>
      <c r="K194" s="17">
        <v>1</v>
      </c>
      <c r="L194" s="17">
        <v>0</v>
      </c>
      <c r="M194" s="17">
        <v>0</v>
      </c>
      <c r="N194" s="17">
        <v>1</v>
      </c>
      <c r="O194" s="17">
        <v>0</v>
      </c>
      <c r="P194" s="17">
        <v>1</v>
      </c>
      <c r="Q194" s="17">
        <v>0</v>
      </c>
      <c r="R194" s="17">
        <v>1</v>
      </c>
      <c r="S194" s="17">
        <v>0</v>
      </c>
      <c r="T194" s="17">
        <v>0</v>
      </c>
      <c r="U194" s="17">
        <v>0</v>
      </c>
      <c r="V194" s="17"/>
      <c r="W194" s="17">
        <v>4</v>
      </c>
      <c r="X194" s="17">
        <v>0</v>
      </c>
      <c r="Y194" s="17">
        <v>0</v>
      </c>
      <c r="Z194" s="17">
        <v>2</v>
      </c>
      <c r="AA194" s="17">
        <v>4</v>
      </c>
      <c r="AB194" s="17">
        <v>2</v>
      </c>
      <c r="AC194" s="17">
        <v>2</v>
      </c>
      <c r="AD194" s="20">
        <v>2</v>
      </c>
      <c r="AE194" s="20">
        <v>0</v>
      </c>
      <c r="AF194" s="20">
        <v>2</v>
      </c>
      <c r="AG194" s="20">
        <v>0</v>
      </c>
      <c r="AH194" s="20">
        <v>0</v>
      </c>
      <c r="AI194" s="20">
        <v>2</v>
      </c>
      <c r="AJ194" s="20">
        <v>2</v>
      </c>
      <c r="AK194" s="20">
        <v>2</v>
      </c>
      <c r="AL194" s="20">
        <v>4</v>
      </c>
      <c r="AM194" s="20">
        <v>0</v>
      </c>
      <c r="AN194" s="21">
        <f t="shared" ref="AN194:AN257" si="10">IF(COUNTA(AB194:AD194)=0,"",SUM(AB194:AD194))</f>
        <v>6</v>
      </c>
      <c r="AO194" s="21">
        <v>6</v>
      </c>
      <c r="AP194" s="21">
        <v>6</v>
      </c>
      <c r="AQ194" s="20">
        <v>69</v>
      </c>
      <c r="AR194" s="20" t="s">
        <v>85</v>
      </c>
      <c r="AS194" s="21">
        <f t="shared" ref="AS194:AS257" si="11">IF(AQ194="","",IF(AR194="cm",AQ194,IF(AR194="inch",AQ194*2.54,"")))</f>
        <v>69</v>
      </c>
    </row>
    <row r="195" spans="1:45" ht="15" customHeight="1">
      <c r="A195" s="17">
        <v>194</v>
      </c>
      <c r="B195" s="17"/>
      <c r="C195" s="18"/>
      <c r="D195" s="17">
        <v>1</v>
      </c>
      <c r="E195" s="17">
        <v>74</v>
      </c>
      <c r="F195" s="19">
        <f t="shared" si="9"/>
        <v>1</v>
      </c>
      <c r="G195" s="17">
        <v>2</v>
      </c>
      <c r="H195" s="17">
        <v>1</v>
      </c>
      <c r="I195" s="17">
        <v>3</v>
      </c>
      <c r="J195" s="17">
        <v>1</v>
      </c>
      <c r="K195" s="17">
        <v>1</v>
      </c>
      <c r="L195" s="17">
        <v>0</v>
      </c>
      <c r="M195" s="17">
        <v>0</v>
      </c>
      <c r="N195" s="17">
        <v>0</v>
      </c>
      <c r="O195" s="17">
        <v>0</v>
      </c>
      <c r="P195" s="17">
        <v>1</v>
      </c>
      <c r="Q195" s="17">
        <v>1</v>
      </c>
      <c r="R195" s="17">
        <v>1</v>
      </c>
      <c r="S195" s="17">
        <v>0</v>
      </c>
      <c r="T195" s="17">
        <v>0</v>
      </c>
      <c r="U195" s="17">
        <v>0</v>
      </c>
      <c r="V195" s="17"/>
      <c r="W195" s="17">
        <v>4</v>
      </c>
      <c r="X195" s="17">
        <v>2</v>
      </c>
      <c r="Y195" s="17">
        <v>0</v>
      </c>
      <c r="Z195" s="17">
        <v>0</v>
      </c>
      <c r="AA195" s="17">
        <v>4</v>
      </c>
      <c r="AB195" s="17">
        <v>2</v>
      </c>
      <c r="AC195" s="17">
        <v>0</v>
      </c>
      <c r="AD195" s="20">
        <v>2</v>
      </c>
      <c r="AE195" s="20">
        <v>0</v>
      </c>
      <c r="AF195" s="20">
        <v>2</v>
      </c>
      <c r="AG195" s="20">
        <v>2</v>
      </c>
      <c r="AH195" s="20">
        <v>0</v>
      </c>
      <c r="AI195" s="20">
        <v>2</v>
      </c>
      <c r="AJ195" s="20">
        <v>0</v>
      </c>
      <c r="AK195" s="20">
        <v>2</v>
      </c>
      <c r="AL195" s="20">
        <v>2</v>
      </c>
      <c r="AM195" s="20">
        <v>0</v>
      </c>
      <c r="AN195" s="21">
        <f t="shared" si="10"/>
        <v>4</v>
      </c>
      <c r="AO195" s="21">
        <v>6</v>
      </c>
      <c r="AP195" s="21">
        <v>4</v>
      </c>
      <c r="AQ195" s="20">
        <v>90</v>
      </c>
      <c r="AR195" s="20" t="s">
        <v>85</v>
      </c>
      <c r="AS195" s="21">
        <f t="shared" si="11"/>
        <v>90</v>
      </c>
    </row>
    <row r="196" spans="1:45" ht="15" customHeight="1">
      <c r="A196" s="17">
        <v>195</v>
      </c>
      <c r="B196" s="17"/>
      <c r="C196" s="18"/>
      <c r="D196" s="17">
        <v>1</v>
      </c>
      <c r="E196" s="17">
        <v>82</v>
      </c>
      <c r="F196" s="19">
        <f t="shared" si="9"/>
        <v>1</v>
      </c>
      <c r="G196" s="17">
        <v>1</v>
      </c>
      <c r="H196" s="17">
        <v>1</v>
      </c>
      <c r="I196" s="17">
        <v>1</v>
      </c>
      <c r="J196" s="17">
        <v>1</v>
      </c>
      <c r="K196" s="17">
        <v>1</v>
      </c>
      <c r="L196" s="17">
        <v>1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 t="s">
        <v>88</v>
      </c>
      <c r="W196" s="17">
        <v>4</v>
      </c>
      <c r="X196" s="17">
        <v>2</v>
      </c>
      <c r="Y196" s="17">
        <v>0</v>
      </c>
      <c r="Z196" s="17">
        <v>2</v>
      </c>
      <c r="AA196" s="17">
        <v>2</v>
      </c>
      <c r="AB196" s="17">
        <v>2</v>
      </c>
      <c r="AC196" s="17">
        <v>0</v>
      </c>
      <c r="AD196" s="20">
        <v>0</v>
      </c>
      <c r="AE196" s="20">
        <v>0</v>
      </c>
      <c r="AF196" s="20">
        <v>0</v>
      </c>
      <c r="AG196" s="20">
        <v>2</v>
      </c>
      <c r="AH196" s="20">
        <v>2</v>
      </c>
      <c r="AI196" s="20">
        <v>0</v>
      </c>
      <c r="AJ196" s="20">
        <v>0</v>
      </c>
      <c r="AK196" s="20">
        <v>2</v>
      </c>
      <c r="AL196" s="20">
        <v>2</v>
      </c>
      <c r="AM196" s="20">
        <v>0</v>
      </c>
      <c r="AN196" s="21">
        <f t="shared" si="10"/>
        <v>2</v>
      </c>
      <c r="AO196" s="21">
        <v>4</v>
      </c>
      <c r="AP196" s="21">
        <v>4</v>
      </c>
      <c r="AQ196" s="20">
        <v>85</v>
      </c>
      <c r="AR196" s="20" t="s">
        <v>85</v>
      </c>
      <c r="AS196" s="21">
        <f t="shared" si="11"/>
        <v>85</v>
      </c>
    </row>
    <row r="197" spans="1:45" ht="15" customHeight="1">
      <c r="A197" s="17">
        <v>196</v>
      </c>
      <c r="B197" s="17"/>
      <c r="C197" s="18"/>
      <c r="D197" s="17">
        <v>1</v>
      </c>
      <c r="E197" s="17">
        <v>74</v>
      </c>
      <c r="F197" s="19">
        <f t="shared" si="9"/>
        <v>1</v>
      </c>
      <c r="G197" s="17">
        <v>1</v>
      </c>
      <c r="H197" s="17">
        <v>4</v>
      </c>
      <c r="I197" s="17">
        <v>2</v>
      </c>
      <c r="J197" s="17">
        <v>4</v>
      </c>
      <c r="K197" s="17">
        <v>0</v>
      </c>
      <c r="L197" s="17">
        <v>0</v>
      </c>
      <c r="M197" s="17">
        <v>0</v>
      </c>
      <c r="N197" s="17">
        <v>0</v>
      </c>
      <c r="O197" s="17">
        <v>1</v>
      </c>
      <c r="P197" s="17">
        <v>0</v>
      </c>
      <c r="Q197" s="17">
        <v>1</v>
      </c>
      <c r="R197" s="17">
        <v>1</v>
      </c>
      <c r="S197" s="17">
        <v>0</v>
      </c>
      <c r="T197" s="17">
        <v>0</v>
      </c>
      <c r="U197" s="17">
        <v>0</v>
      </c>
      <c r="V197" s="17"/>
      <c r="W197" s="17">
        <v>4</v>
      </c>
      <c r="X197" s="17">
        <v>2</v>
      </c>
      <c r="Y197" s="17">
        <v>2</v>
      </c>
      <c r="Z197" s="17">
        <v>2</v>
      </c>
      <c r="AA197" s="17">
        <v>4</v>
      </c>
      <c r="AB197" s="17">
        <v>2</v>
      </c>
      <c r="AC197" s="17">
        <v>0</v>
      </c>
      <c r="AD197" s="20">
        <v>2</v>
      </c>
      <c r="AE197" s="20">
        <v>0</v>
      </c>
      <c r="AF197" s="20">
        <v>2</v>
      </c>
      <c r="AG197" s="20">
        <v>2</v>
      </c>
      <c r="AH197" s="20">
        <v>0</v>
      </c>
      <c r="AI197" s="20">
        <v>0</v>
      </c>
      <c r="AJ197" s="20">
        <v>0</v>
      </c>
      <c r="AK197" s="20">
        <v>2</v>
      </c>
      <c r="AL197" s="20">
        <v>4</v>
      </c>
      <c r="AM197" s="20">
        <v>0</v>
      </c>
      <c r="AN197" s="21">
        <f t="shared" si="10"/>
        <v>4</v>
      </c>
      <c r="AO197" s="21">
        <v>4</v>
      </c>
      <c r="AP197" s="21">
        <v>6</v>
      </c>
      <c r="AQ197" s="20">
        <v>80</v>
      </c>
      <c r="AR197" s="20" t="s">
        <v>85</v>
      </c>
      <c r="AS197" s="21">
        <f t="shared" si="11"/>
        <v>80</v>
      </c>
    </row>
    <row r="198" spans="1:45" ht="15" customHeight="1">
      <c r="A198" s="17">
        <v>197</v>
      </c>
      <c r="B198" s="17"/>
      <c r="C198" s="18"/>
      <c r="D198" s="17">
        <v>1</v>
      </c>
      <c r="E198" s="17">
        <v>72</v>
      </c>
      <c r="F198" s="19">
        <f t="shared" si="9"/>
        <v>1</v>
      </c>
      <c r="G198" s="17">
        <v>2</v>
      </c>
      <c r="H198" s="17">
        <v>2</v>
      </c>
      <c r="I198" s="17">
        <v>3</v>
      </c>
      <c r="J198" s="17">
        <v>1</v>
      </c>
      <c r="K198" s="17">
        <v>1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1</v>
      </c>
      <c r="R198" s="17">
        <v>0</v>
      </c>
      <c r="S198" s="17">
        <v>0</v>
      </c>
      <c r="T198" s="17">
        <v>0</v>
      </c>
      <c r="U198" s="17">
        <v>0</v>
      </c>
      <c r="V198" s="17"/>
      <c r="W198" s="17">
        <v>4</v>
      </c>
      <c r="X198" s="17">
        <v>2</v>
      </c>
      <c r="Y198" s="17">
        <v>2</v>
      </c>
      <c r="Z198" s="17">
        <v>2</v>
      </c>
      <c r="AA198" s="17">
        <v>4</v>
      </c>
      <c r="AB198" s="17">
        <v>2</v>
      </c>
      <c r="AC198" s="17">
        <v>2</v>
      </c>
      <c r="AD198" s="20">
        <v>2</v>
      </c>
      <c r="AE198" s="20">
        <v>0</v>
      </c>
      <c r="AF198" s="20">
        <v>2</v>
      </c>
      <c r="AG198" s="20">
        <v>4</v>
      </c>
      <c r="AH198" s="20">
        <v>0</v>
      </c>
      <c r="AI198" s="20">
        <v>2</v>
      </c>
      <c r="AJ198" s="20">
        <v>2</v>
      </c>
      <c r="AK198" s="20">
        <v>2</v>
      </c>
      <c r="AL198" s="20">
        <v>2</v>
      </c>
      <c r="AM198" s="20">
        <v>2</v>
      </c>
      <c r="AN198" s="21">
        <f t="shared" si="10"/>
        <v>6</v>
      </c>
      <c r="AO198" s="21">
        <v>10</v>
      </c>
      <c r="AP198" s="21">
        <v>6</v>
      </c>
      <c r="AQ198" s="20">
        <v>88</v>
      </c>
      <c r="AR198" s="20" t="s">
        <v>85</v>
      </c>
      <c r="AS198" s="21">
        <f t="shared" si="11"/>
        <v>88</v>
      </c>
    </row>
    <row r="199" spans="1:45" ht="15" customHeight="1">
      <c r="A199" s="17">
        <v>198</v>
      </c>
      <c r="B199" s="17"/>
      <c r="C199" s="18"/>
      <c r="D199" s="17">
        <v>1</v>
      </c>
      <c r="E199" s="17">
        <v>72</v>
      </c>
      <c r="F199" s="19">
        <f t="shared" si="9"/>
        <v>1</v>
      </c>
      <c r="G199" s="17">
        <v>2</v>
      </c>
      <c r="H199" s="17">
        <v>3</v>
      </c>
      <c r="I199" s="17">
        <v>1</v>
      </c>
      <c r="J199" s="17">
        <v>1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1</v>
      </c>
      <c r="R199" s="17">
        <v>0</v>
      </c>
      <c r="S199" s="17">
        <v>0</v>
      </c>
      <c r="T199" s="17">
        <v>0</v>
      </c>
      <c r="U199" s="17">
        <v>0</v>
      </c>
      <c r="V199" s="17"/>
      <c r="W199" s="17">
        <v>4</v>
      </c>
      <c r="X199" s="17">
        <v>2</v>
      </c>
      <c r="Y199" s="17">
        <v>2</v>
      </c>
      <c r="Z199" s="17">
        <v>2</v>
      </c>
      <c r="AA199" s="17">
        <v>4</v>
      </c>
      <c r="AB199" s="17">
        <v>2</v>
      </c>
      <c r="AC199" s="17">
        <v>2</v>
      </c>
      <c r="AD199" s="20">
        <v>2</v>
      </c>
      <c r="AE199" s="20">
        <v>0</v>
      </c>
      <c r="AF199" s="20">
        <v>2</v>
      </c>
      <c r="AG199" s="20">
        <v>0</v>
      </c>
      <c r="AH199" s="20">
        <v>0</v>
      </c>
      <c r="AI199" s="20">
        <v>2</v>
      </c>
      <c r="AJ199" s="20">
        <v>0</v>
      </c>
      <c r="AK199" s="20">
        <v>2</v>
      </c>
      <c r="AL199" s="20">
        <v>2</v>
      </c>
      <c r="AM199" s="20">
        <v>0</v>
      </c>
      <c r="AN199" s="21">
        <f t="shared" si="10"/>
        <v>6</v>
      </c>
      <c r="AO199" s="21">
        <v>4</v>
      </c>
      <c r="AP199" s="21">
        <v>4</v>
      </c>
      <c r="AQ199" s="20">
        <v>71.5</v>
      </c>
      <c r="AR199" s="20" t="s">
        <v>85</v>
      </c>
      <c r="AS199" s="21">
        <f t="shared" si="11"/>
        <v>71.5</v>
      </c>
    </row>
    <row r="200" spans="1:45" ht="15" customHeight="1">
      <c r="A200" s="17">
        <v>199</v>
      </c>
      <c r="B200" s="17"/>
      <c r="C200" s="18"/>
      <c r="D200" s="17">
        <v>1</v>
      </c>
      <c r="E200" s="17">
        <v>72</v>
      </c>
      <c r="F200" s="19">
        <f t="shared" si="9"/>
        <v>1</v>
      </c>
      <c r="G200" s="17">
        <v>2</v>
      </c>
      <c r="H200" s="17">
        <v>1</v>
      </c>
      <c r="I200" s="17">
        <v>3</v>
      </c>
      <c r="J200" s="17">
        <v>1</v>
      </c>
      <c r="K200" s="17">
        <v>1</v>
      </c>
      <c r="L200" s="17">
        <v>0</v>
      </c>
      <c r="M200" s="17">
        <v>0</v>
      </c>
      <c r="N200" s="17">
        <v>1</v>
      </c>
      <c r="O200" s="17">
        <v>0</v>
      </c>
      <c r="P200" s="17">
        <v>1</v>
      </c>
      <c r="Q200" s="17">
        <v>0</v>
      </c>
      <c r="R200" s="17">
        <v>1</v>
      </c>
      <c r="S200" s="17">
        <v>0</v>
      </c>
      <c r="T200" s="17">
        <v>0</v>
      </c>
      <c r="U200" s="17">
        <v>0</v>
      </c>
      <c r="V200" s="17"/>
      <c r="W200" s="17">
        <v>4</v>
      </c>
      <c r="X200" s="17">
        <v>2</v>
      </c>
      <c r="Y200" s="17">
        <v>2</v>
      </c>
      <c r="Z200" s="17">
        <v>0</v>
      </c>
      <c r="AA200" s="17">
        <v>4</v>
      </c>
      <c r="AB200" s="17">
        <v>2</v>
      </c>
      <c r="AC200" s="17">
        <v>0</v>
      </c>
      <c r="AD200" s="20">
        <v>2</v>
      </c>
      <c r="AE200" s="20">
        <v>0</v>
      </c>
      <c r="AF200" s="20">
        <v>2</v>
      </c>
      <c r="AG200" s="20">
        <v>2</v>
      </c>
      <c r="AH200" s="20">
        <v>0</v>
      </c>
      <c r="AI200" s="20">
        <v>0</v>
      </c>
      <c r="AJ200" s="20">
        <v>2</v>
      </c>
      <c r="AK200" s="20">
        <v>2</v>
      </c>
      <c r="AL200" s="20">
        <v>2</v>
      </c>
      <c r="AM200" s="20">
        <v>0</v>
      </c>
      <c r="AN200" s="21">
        <f t="shared" si="10"/>
        <v>4</v>
      </c>
      <c r="AO200" s="21">
        <v>6</v>
      </c>
      <c r="AP200" s="21">
        <v>4</v>
      </c>
      <c r="AQ200" s="20">
        <v>74</v>
      </c>
      <c r="AR200" s="20" t="s">
        <v>85</v>
      </c>
      <c r="AS200" s="21">
        <f t="shared" si="11"/>
        <v>74</v>
      </c>
    </row>
    <row r="201" spans="1:45" ht="15" customHeight="1">
      <c r="A201" s="17">
        <v>200</v>
      </c>
      <c r="B201" s="17"/>
      <c r="C201" s="18"/>
      <c r="D201" s="17">
        <v>1</v>
      </c>
      <c r="E201" s="17">
        <v>70</v>
      </c>
      <c r="F201" s="19">
        <f t="shared" si="9"/>
        <v>1</v>
      </c>
      <c r="G201" s="17">
        <v>1</v>
      </c>
      <c r="H201" s="17">
        <v>1</v>
      </c>
      <c r="I201" s="17">
        <v>2</v>
      </c>
      <c r="J201" s="17">
        <v>1</v>
      </c>
      <c r="K201" s="17">
        <v>1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1</v>
      </c>
      <c r="R201" s="17">
        <v>0</v>
      </c>
      <c r="S201" s="17">
        <v>0</v>
      </c>
      <c r="T201" s="17">
        <v>0</v>
      </c>
      <c r="U201" s="17">
        <v>0</v>
      </c>
      <c r="V201" s="17"/>
      <c r="W201" s="17">
        <v>4</v>
      </c>
      <c r="X201" s="17">
        <v>2</v>
      </c>
      <c r="Y201" s="17">
        <v>2</v>
      </c>
      <c r="Z201" s="17">
        <v>0</v>
      </c>
      <c r="AA201" s="17">
        <v>4</v>
      </c>
      <c r="AB201" s="17">
        <v>2</v>
      </c>
      <c r="AC201" s="17">
        <v>2</v>
      </c>
      <c r="AD201" s="20">
        <v>2</v>
      </c>
      <c r="AE201" s="20">
        <v>2</v>
      </c>
      <c r="AF201" s="20">
        <v>0</v>
      </c>
      <c r="AG201" s="20">
        <v>2</v>
      </c>
      <c r="AH201" s="20">
        <v>0</v>
      </c>
      <c r="AI201" s="20">
        <v>0</v>
      </c>
      <c r="AJ201" s="20">
        <v>0</v>
      </c>
      <c r="AK201" s="20">
        <v>2</v>
      </c>
      <c r="AL201" s="20">
        <v>2</v>
      </c>
      <c r="AM201" s="20">
        <v>0</v>
      </c>
      <c r="AN201" s="21">
        <f t="shared" si="10"/>
        <v>6</v>
      </c>
      <c r="AO201" s="21">
        <v>4</v>
      </c>
      <c r="AP201" s="21">
        <v>4</v>
      </c>
      <c r="AQ201" s="20">
        <v>88</v>
      </c>
      <c r="AR201" s="20" t="s">
        <v>85</v>
      </c>
      <c r="AS201" s="21">
        <f t="shared" si="11"/>
        <v>88</v>
      </c>
    </row>
    <row r="202" spans="1:45" ht="15" customHeight="1">
      <c r="A202" s="17">
        <v>201</v>
      </c>
      <c r="B202" s="17"/>
      <c r="C202" s="18"/>
      <c r="D202" s="17"/>
      <c r="E202" s="17"/>
      <c r="F202" s="19" t="str">
        <f t="shared" si="9"/>
        <v/>
      </c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1" t="str">
        <f t="shared" si="10"/>
        <v/>
      </c>
      <c r="AO202" s="21" t="str">
        <f t="shared" ref="AO202:AO233" si="12">IF(COUNTA(AE202:AJ202)=0,"",SUM(AE202:AJ202))</f>
        <v/>
      </c>
      <c r="AP202" s="21" t="str">
        <f t="shared" ref="AP202:AP233" si="13">IF(COUNTA(AK202:AM202)=0,"",SUM(AK202:AM202))</f>
        <v/>
      </c>
      <c r="AQ202" s="20"/>
      <c r="AR202" s="20" t="s">
        <v>85</v>
      </c>
      <c r="AS202" s="21" t="str">
        <f t="shared" si="11"/>
        <v/>
      </c>
    </row>
    <row r="203" spans="1:45" ht="15" customHeight="1">
      <c r="A203" s="17">
        <v>202</v>
      </c>
      <c r="B203" s="17"/>
      <c r="C203" s="18"/>
      <c r="D203" s="17"/>
      <c r="E203" s="17"/>
      <c r="F203" s="19" t="str">
        <f t="shared" si="9"/>
        <v/>
      </c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1" t="str">
        <f t="shared" si="10"/>
        <v/>
      </c>
      <c r="AO203" s="21" t="str">
        <f t="shared" si="12"/>
        <v/>
      </c>
      <c r="AP203" s="21" t="str">
        <f t="shared" si="13"/>
        <v/>
      </c>
      <c r="AQ203" s="20"/>
      <c r="AR203" s="20" t="s">
        <v>85</v>
      </c>
      <c r="AS203" s="21" t="str">
        <f t="shared" si="11"/>
        <v/>
      </c>
    </row>
    <row r="204" spans="1:45" ht="15" customHeight="1">
      <c r="A204" s="17">
        <v>203</v>
      </c>
      <c r="B204" s="17"/>
      <c r="C204" s="18"/>
      <c r="D204" s="17"/>
      <c r="E204" s="17"/>
      <c r="F204" s="19" t="str">
        <f t="shared" si="9"/>
        <v/>
      </c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1" t="str">
        <f t="shared" si="10"/>
        <v/>
      </c>
      <c r="AO204" s="21" t="str">
        <f t="shared" si="12"/>
        <v/>
      </c>
      <c r="AP204" s="21" t="str">
        <f t="shared" si="13"/>
        <v/>
      </c>
      <c r="AQ204" s="20"/>
      <c r="AR204" s="20" t="s">
        <v>85</v>
      </c>
      <c r="AS204" s="21" t="str">
        <f t="shared" si="11"/>
        <v/>
      </c>
    </row>
    <row r="205" spans="1:45" ht="15" customHeight="1">
      <c r="A205" s="17">
        <v>204</v>
      </c>
      <c r="B205" s="17"/>
      <c r="C205" s="18"/>
      <c r="D205" s="17"/>
      <c r="E205" s="17"/>
      <c r="F205" s="19" t="str">
        <f t="shared" si="9"/>
        <v/>
      </c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1" t="str">
        <f t="shared" si="10"/>
        <v/>
      </c>
      <c r="AO205" s="21" t="str">
        <f t="shared" si="12"/>
        <v/>
      </c>
      <c r="AP205" s="21" t="str">
        <f t="shared" si="13"/>
        <v/>
      </c>
      <c r="AQ205" s="20"/>
      <c r="AR205" s="20" t="s">
        <v>85</v>
      </c>
      <c r="AS205" s="21" t="str">
        <f t="shared" si="11"/>
        <v/>
      </c>
    </row>
    <row r="206" spans="1:45" ht="15" customHeight="1">
      <c r="A206" s="17">
        <v>205</v>
      </c>
      <c r="B206" s="17"/>
      <c r="C206" s="18"/>
      <c r="D206" s="17"/>
      <c r="E206" s="17"/>
      <c r="F206" s="19" t="str">
        <f t="shared" si="9"/>
        <v/>
      </c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1" t="str">
        <f t="shared" si="10"/>
        <v/>
      </c>
      <c r="AO206" s="21" t="str">
        <f t="shared" si="12"/>
        <v/>
      </c>
      <c r="AP206" s="21" t="str">
        <f t="shared" si="13"/>
        <v/>
      </c>
      <c r="AQ206" s="20"/>
      <c r="AR206" s="20" t="s">
        <v>85</v>
      </c>
      <c r="AS206" s="21" t="str">
        <f t="shared" si="11"/>
        <v/>
      </c>
    </row>
    <row r="207" spans="1:45" ht="15" customHeight="1">
      <c r="A207" s="17">
        <v>206</v>
      </c>
      <c r="B207" s="17"/>
      <c r="C207" s="18"/>
      <c r="D207" s="17"/>
      <c r="E207" s="17"/>
      <c r="F207" s="19" t="str">
        <f t="shared" si="9"/>
        <v/>
      </c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1" t="str">
        <f t="shared" si="10"/>
        <v/>
      </c>
      <c r="AO207" s="21" t="str">
        <f t="shared" si="12"/>
        <v/>
      </c>
      <c r="AP207" s="21" t="str">
        <f t="shared" si="13"/>
        <v/>
      </c>
      <c r="AQ207" s="20"/>
      <c r="AR207" s="20" t="s">
        <v>85</v>
      </c>
      <c r="AS207" s="21" t="str">
        <f t="shared" si="11"/>
        <v/>
      </c>
    </row>
    <row r="208" spans="1:45" ht="15" customHeight="1">
      <c r="A208" s="17">
        <v>207</v>
      </c>
      <c r="B208" s="17"/>
      <c r="C208" s="18"/>
      <c r="D208" s="17"/>
      <c r="E208" s="17"/>
      <c r="F208" s="19" t="str">
        <f t="shared" si="9"/>
        <v/>
      </c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1" t="str">
        <f t="shared" si="10"/>
        <v/>
      </c>
      <c r="AO208" s="21" t="str">
        <f t="shared" si="12"/>
        <v/>
      </c>
      <c r="AP208" s="21" t="str">
        <f t="shared" si="13"/>
        <v/>
      </c>
      <c r="AQ208" s="20"/>
      <c r="AR208" s="20" t="s">
        <v>85</v>
      </c>
      <c r="AS208" s="21" t="str">
        <f t="shared" si="11"/>
        <v/>
      </c>
    </row>
    <row r="209" spans="1:45" ht="15" customHeight="1">
      <c r="A209" s="17">
        <v>208</v>
      </c>
      <c r="B209" s="17"/>
      <c r="C209" s="18"/>
      <c r="D209" s="17"/>
      <c r="E209" s="17"/>
      <c r="F209" s="19" t="str">
        <f t="shared" si="9"/>
        <v/>
      </c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1" t="str">
        <f t="shared" si="10"/>
        <v/>
      </c>
      <c r="AO209" s="21" t="str">
        <f t="shared" si="12"/>
        <v/>
      </c>
      <c r="AP209" s="21" t="str">
        <f t="shared" si="13"/>
        <v/>
      </c>
      <c r="AQ209" s="20"/>
      <c r="AR209" s="20" t="s">
        <v>85</v>
      </c>
      <c r="AS209" s="21" t="str">
        <f t="shared" si="11"/>
        <v/>
      </c>
    </row>
    <row r="210" spans="1:45" ht="15" customHeight="1">
      <c r="A210" s="17">
        <v>209</v>
      </c>
      <c r="B210" s="17"/>
      <c r="C210" s="18"/>
      <c r="D210" s="17"/>
      <c r="E210" s="17"/>
      <c r="F210" s="19" t="str">
        <f t="shared" si="9"/>
        <v/>
      </c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1" t="str">
        <f t="shared" si="10"/>
        <v/>
      </c>
      <c r="AO210" s="21" t="str">
        <f t="shared" si="12"/>
        <v/>
      </c>
      <c r="AP210" s="21" t="str">
        <f t="shared" si="13"/>
        <v/>
      </c>
      <c r="AQ210" s="20"/>
      <c r="AR210" s="20" t="s">
        <v>85</v>
      </c>
      <c r="AS210" s="21" t="str">
        <f t="shared" si="11"/>
        <v/>
      </c>
    </row>
    <row r="211" spans="1:45" ht="15" customHeight="1">
      <c r="A211" s="17">
        <v>210</v>
      </c>
      <c r="B211" s="17"/>
      <c r="C211" s="18"/>
      <c r="D211" s="17"/>
      <c r="E211" s="17"/>
      <c r="F211" s="19" t="str">
        <f t="shared" si="9"/>
        <v/>
      </c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1" t="str">
        <f t="shared" si="10"/>
        <v/>
      </c>
      <c r="AO211" s="21" t="str">
        <f t="shared" si="12"/>
        <v/>
      </c>
      <c r="AP211" s="21" t="str">
        <f t="shared" si="13"/>
        <v/>
      </c>
      <c r="AQ211" s="20"/>
      <c r="AR211" s="20" t="s">
        <v>85</v>
      </c>
      <c r="AS211" s="21" t="str">
        <f t="shared" si="11"/>
        <v/>
      </c>
    </row>
    <row r="212" spans="1:45" ht="15" customHeight="1">
      <c r="A212" s="17">
        <v>211</v>
      </c>
      <c r="B212" s="17"/>
      <c r="C212" s="18"/>
      <c r="D212" s="17"/>
      <c r="E212" s="17"/>
      <c r="F212" s="19" t="str">
        <f t="shared" si="9"/>
        <v/>
      </c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1" t="str">
        <f t="shared" si="10"/>
        <v/>
      </c>
      <c r="AO212" s="21" t="str">
        <f t="shared" si="12"/>
        <v/>
      </c>
      <c r="AP212" s="21" t="str">
        <f t="shared" si="13"/>
        <v/>
      </c>
      <c r="AQ212" s="20"/>
      <c r="AR212" s="20" t="s">
        <v>85</v>
      </c>
      <c r="AS212" s="21" t="str">
        <f t="shared" si="11"/>
        <v/>
      </c>
    </row>
    <row r="213" spans="1:45" ht="15" customHeight="1">
      <c r="A213" s="17">
        <v>212</v>
      </c>
      <c r="B213" s="17"/>
      <c r="C213" s="18"/>
      <c r="D213" s="17"/>
      <c r="E213" s="17"/>
      <c r="F213" s="19" t="str">
        <f t="shared" si="9"/>
        <v/>
      </c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1" t="str">
        <f t="shared" si="10"/>
        <v/>
      </c>
      <c r="AO213" s="21" t="str">
        <f t="shared" si="12"/>
        <v/>
      </c>
      <c r="AP213" s="21" t="str">
        <f t="shared" si="13"/>
        <v/>
      </c>
      <c r="AQ213" s="20"/>
      <c r="AR213" s="20" t="s">
        <v>85</v>
      </c>
      <c r="AS213" s="21" t="str">
        <f t="shared" si="11"/>
        <v/>
      </c>
    </row>
    <row r="214" spans="1:45" ht="15" customHeight="1">
      <c r="A214" s="17">
        <v>213</v>
      </c>
      <c r="B214" s="17"/>
      <c r="C214" s="18"/>
      <c r="D214" s="17"/>
      <c r="E214" s="17"/>
      <c r="F214" s="19" t="str">
        <f t="shared" si="9"/>
        <v/>
      </c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1" t="str">
        <f t="shared" si="10"/>
        <v/>
      </c>
      <c r="AO214" s="21" t="str">
        <f t="shared" si="12"/>
        <v/>
      </c>
      <c r="AP214" s="21" t="str">
        <f t="shared" si="13"/>
        <v/>
      </c>
      <c r="AQ214" s="20"/>
      <c r="AR214" s="20" t="s">
        <v>85</v>
      </c>
      <c r="AS214" s="21" t="str">
        <f t="shared" si="11"/>
        <v/>
      </c>
    </row>
    <row r="215" spans="1:45" ht="15" customHeight="1">
      <c r="A215" s="17">
        <v>214</v>
      </c>
      <c r="B215" s="17"/>
      <c r="C215" s="18"/>
      <c r="D215" s="17"/>
      <c r="E215" s="17"/>
      <c r="F215" s="19" t="str">
        <f t="shared" si="9"/>
        <v/>
      </c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1" t="str">
        <f t="shared" si="10"/>
        <v/>
      </c>
      <c r="AO215" s="21" t="str">
        <f t="shared" si="12"/>
        <v/>
      </c>
      <c r="AP215" s="21" t="str">
        <f t="shared" si="13"/>
        <v/>
      </c>
      <c r="AQ215" s="20"/>
      <c r="AR215" s="20" t="s">
        <v>85</v>
      </c>
      <c r="AS215" s="21" t="str">
        <f t="shared" si="11"/>
        <v/>
      </c>
    </row>
    <row r="216" spans="1:45" ht="15" customHeight="1">
      <c r="A216" s="17">
        <v>215</v>
      </c>
      <c r="B216" s="17"/>
      <c r="C216" s="18"/>
      <c r="D216" s="17"/>
      <c r="E216" s="17"/>
      <c r="F216" s="19" t="str">
        <f t="shared" si="9"/>
        <v/>
      </c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1" t="str">
        <f t="shared" si="10"/>
        <v/>
      </c>
      <c r="AO216" s="21" t="str">
        <f t="shared" si="12"/>
        <v/>
      </c>
      <c r="AP216" s="21" t="str">
        <f t="shared" si="13"/>
        <v/>
      </c>
      <c r="AQ216" s="20"/>
      <c r="AR216" s="20" t="s">
        <v>85</v>
      </c>
      <c r="AS216" s="21" t="str">
        <f t="shared" si="11"/>
        <v/>
      </c>
    </row>
    <row r="217" spans="1:45" ht="15" customHeight="1">
      <c r="A217" s="17">
        <v>216</v>
      </c>
      <c r="B217" s="17"/>
      <c r="C217" s="18"/>
      <c r="D217" s="17"/>
      <c r="E217" s="17"/>
      <c r="F217" s="19" t="str">
        <f t="shared" si="9"/>
        <v/>
      </c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1" t="str">
        <f t="shared" si="10"/>
        <v/>
      </c>
      <c r="AO217" s="21" t="str">
        <f t="shared" si="12"/>
        <v/>
      </c>
      <c r="AP217" s="21" t="str">
        <f t="shared" si="13"/>
        <v/>
      </c>
      <c r="AQ217" s="20"/>
      <c r="AR217" s="20" t="s">
        <v>85</v>
      </c>
      <c r="AS217" s="21" t="str">
        <f t="shared" si="11"/>
        <v/>
      </c>
    </row>
    <row r="218" spans="1:45" ht="15" customHeight="1">
      <c r="A218" s="17">
        <v>217</v>
      </c>
      <c r="B218" s="17"/>
      <c r="C218" s="18"/>
      <c r="D218" s="17"/>
      <c r="E218" s="17"/>
      <c r="F218" s="19" t="str">
        <f t="shared" si="9"/>
        <v/>
      </c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1" t="str">
        <f t="shared" si="10"/>
        <v/>
      </c>
      <c r="AO218" s="21" t="str">
        <f t="shared" si="12"/>
        <v/>
      </c>
      <c r="AP218" s="21" t="str">
        <f t="shared" si="13"/>
        <v/>
      </c>
      <c r="AQ218" s="20"/>
      <c r="AR218" s="20" t="s">
        <v>85</v>
      </c>
      <c r="AS218" s="21" t="str">
        <f t="shared" si="11"/>
        <v/>
      </c>
    </row>
    <row r="219" spans="1:45" ht="15" customHeight="1">
      <c r="A219" s="17">
        <v>218</v>
      </c>
      <c r="B219" s="17"/>
      <c r="C219" s="18"/>
      <c r="D219" s="17"/>
      <c r="E219" s="17"/>
      <c r="F219" s="19" t="str">
        <f t="shared" si="9"/>
        <v/>
      </c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1" t="str">
        <f t="shared" si="10"/>
        <v/>
      </c>
      <c r="AO219" s="21" t="str">
        <f t="shared" si="12"/>
        <v/>
      </c>
      <c r="AP219" s="21" t="str">
        <f t="shared" si="13"/>
        <v/>
      </c>
      <c r="AQ219" s="20"/>
      <c r="AR219" s="20" t="s">
        <v>85</v>
      </c>
      <c r="AS219" s="21" t="str">
        <f t="shared" si="11"/>
        <v/>
      </c>
    </row>
    <row r="220" spans="1:45" ht="15" customHeight="1">
      <c r="A220" s="17">
        <v>219</v>
      </c>
      <c r="B220" s="17"/>
      <c r="C220" s="18"/>
      <c r="D220" s="17"/>
      <c r="E220" s="17"/>
      <c r="F220" s="19" t="str">
        <f t="shared" si="9"/>
        <v/>
      </c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1" t="str">
        <f t="shared" si="10"/>
        <v/>
      </c>
      <c r="AO220" s="21" t="str">
        <f t="shared" si="12"/>
        <v/>
      </c>
      <c r="AP220" s="21" t="str">
        <f t="shared" si="13"/>
        <v/>
      </c>
      <c r="AQ220" s="20"/>
      <c r="AR220" s="20" t="s">
        <v>85</v>
      </c>
      <c r="AS220" s="21" t="str">
        <f t="shared" si="11"/>
        <v/>
      </c>
    </row>
    <row r="221" spans="1:45" ht="15" customHeight="1">
      <c r="A221" s="17">
        <v>220</v>
      </c>
      <c r="B221" s="17"/>
      <c r="C221" s="18"/>
      <c r="D221" s="17"/>
      <c r="E221" s="17"/>
      <c r="F221" s="19" t="str">
        <f t="shared" si="9"/>
        <v/>
      </c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1" t="str">
        <f t="shared" si="10"/>
        <v/>
      </c>
      <c r="AO221" s="21" t="str">
        <f t="shared" si="12"/>
        <v/>
      </c>
      <c r="AP221" s="21" t="str">
        <f t="shared" si="13"/>
        <v/>
      </c>
      <c r="AQ221" s="20"/>
      <c r="AR221" s="20" t="s">
        <v>85</v>
      </c>
      <c r="AS221" s="21" t="str">
        <f t="shared" si="11"/>
        <v/>
      </c>
    </row>
    <row r="222" spans="1:45" ht="15" customHeight="1">
      <c r="A222" s="17">
        <v>221</v>
      </c>
      <c r="B222" s="17"/>
      <c r="C222" s="18"/>
      <c r="D222" s="17"/>
      <c r="E222" s="17"/>
      <c r="F222" s="19" t="str">
        <f t="shared" si="9"/>
        <v/>
      </c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1" t="str">
        <f t="shared" si="10"/>
        <v/>
      </c>
      <c r="AO222" s="21" t="str">
        <f t="shared" si="12"/>
        <v/>
      </c>
      <c r="AP222" s="21" t="str">
        <f t="shared" si="13"/>
        <v/>
      </c>
      <c r="AQ222" s="20"/>
      <c r="AR222" s="20" t="s">
        <v>85</v>
      </c>
      <c r="AS222" s="21" t="str">
        <f t="shared" si="11"/>
        <v/>
      </c>
    </row>
    <row r="223" spans="1:45" ht="15" customHeight="1">
      <c r="A223" s="17">
        <v>222</v>
      </c>
      <c r="B223" s="17"/>
      <c r="C223" s="18"/>
      <c r="D223" s="17"/>
      <c r="E223" s="17"/>
      <c r="F223" s="19" t="str">
        <f t="shared" si="9"/>
        <v/>
      </c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1" t="str">
        <f t="shared" si="10"/>
        <v/>
      </c>
      <c r="AO223" s="21" t="str">
        <f t="shared" si="12"/>
        <v/>
      </c>
      <c r="AP223" s="21" t="str">
        <f t="shared" si="13"/>
        <v/>
      </c>
      <c r="AQ223" s="20"/>
      <c r="AR223" s="20" t="s">
        <v>85</v>
      </c>
      <c r="AS223" s="21" t="str">
        <f t="shared" si="11"/>
        <v/>
      </c>
    </row>
    <row r="224" spans="1:45" ht="15" customHeight="1">
      <c r="A224" s="17">
        <v>223</v>
      </c>
      <c r="B224" s="17"/>
      <c r="C224" s="18"/>
      <c r="D224" s="17"/>
      <c r="E224" s="17"/>
      <c r="F224" s="19" t="str">
        <f t="shared" si="9"/>
        <v/>
      </c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1" t="str">
        <f t="shared" si="10"/>
        <v/>
      </c>
      <c r="AO224" s="21" t="str">
        <f t="shared" si="12"/>
        <v/>
      </c>
      <c r="AP224" s="21" t="str">
        <f t="shared" si="13"/>
        <v/>
      </c>
      <c r="AQ224" s="20"/>
      <c r="AR224" s="20" t="s">
        <v>85</v>
      </c>
      <c r="AS224" s="21" t="str">
        <f t="shared" si="11"/>
        <v/>
      </c>
    </row>
    <row r="225" spans="1:45" ht="15" customHeight="1">
      <c r="A225" s="17">
        <v>224</v>
      </c>
      <c r="B225" s="17"/>
      <c r="C225" s="18"/>
      <c r="D225" s="17"/>
      <c r="E225" s="17"/>
      <c r="F225" s="19" t="str">
        <f t="shared" si="9"/>
        <v/>
      </c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1" t="str">
        <f t="shared" si="10"/>
        <v/>
      </c>
      <c r="AO225" s="21" t="str">
        <f t="shared" si="12"/>
        <v/>
      </c>
      <c r="AP225" s="21" t="str">
        <f t="shared" si="13"/>
        <v/>
      </c>
      <c r="AQ225" s="20"/>
      <c r="AR225" s="20" t="s">
        <v>85</v>
      </c>
      <c r="AS225" s="21" t="str">
        <f t="shared" si="11"/>
        <v/>
      </c>
    </row>
    <row r="226" spans="1:45" ht="15" customHeight="1">
      <c r="A226" s="17">
        <v>225</v>
      </c>
      <c r="B226" s="17"/>
      <c r="C226" s="18"/>
      <c r="D226" s="17"/>
      <c r="E226" s="17"/>
      <c r="F226" s="19" t="str">
        <f t="shared" si="9"/>
        <v/>
      </c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1" t="str">
        <f t="shared" si="10"/>
        <v/>
      </c>
      <c r="AO226" s="21" t="str">
        <f t="shared" si="12"/>
        <v/>
      </c>
      <c r="AP226" s="21" t="str">
        <f t="shared" si="13"/>
        <v/>
      </c>
      <c r="AQ226" s="20"/>
      <c r="AR226" s="20" t="s">
        <v>85</v>
      </c>
      <c r="AS226" s="21" t="str">
        <f t="shared" si="11"/>
        <v/>
      </c>
    </row>
    <row r="227" spans="1:45" ht="15" customHeight="1">
      <c r="A227" s="17">
        <v>226</v>
      </c>
      <c r="B227" s="17"/>
      <c r="C227" s="18"/>
      <c r="D227" s="17"/>
      <c r="E227" s="17"/>
      <c r="F227" s="19" t="str">
        <f t="shared" si="9"/>
        <v/>
      </c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1" t="str">
        <f t="shared" si="10"/>
        <v/>
      </c>
      <c r="AO227" s="21" t="str">
        <f t="shared" si="12"/>
        <v/>
      </c>
      <c r="AP227" s="21" t="str">
        <f t="shared" si="13"/>
        <v/>
      </c>
      <c r="AQ227" s="20"/>
      <c r="AR227" s="20" t="s">
        <v>85</v>
      </c>
      <c r="AS227" s="21" t="str">
        <f t="shared" si="11"/>
        <v/>
      </c>
    </row>
    <row r="228" spans="1:45" ht="15" customHeight="1">
      <c r="A228" s="17">
        <v>227</v>
      </c>
      <c r="B228" s="17"/>
      <c r="C228" s="18"/>
      <c r="D228" s="17"/>
      <c r="E228" s="17"/>
      <c r="F228" s="19" t="str">
        <f t="shared" si="9"/>
        <v/>
      </c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1" t="str">
        <f t="shared" si="10"/>
        <v/>
      </c>
      <c r="AO228" s="21" t="str">
        <f t="shared" si="12"/>
        <v/>
      </c>
      <c r="AP228" s="21" t="str">
        <f t="shared" si="13"/>
        <v/>
      </c>
      <c r="AQ228" s="20"/>
      <c r="AR228" s="20" t="s">
        <v>85</v>
      </c>
      <c r="AS228" s="21" t="str">
        <f t="shared" si="11"/>
        <v/>
      </c>
    </row>
    <row r="229" spans="1:45" ht="15" customHeight="1">
      <c r="A229" s="17">
        <v>228</v>
      </c>
      <c r="B229" s="17"/>
      <c r="C229" s="18"/>
      <c r="D229" s="17"/>
      <c r="E229" s="17"/>
      <c r="F229" s="19" t="str">
        <f t="shared" si="9"/>
        <v/>
      </c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1" t="str">
        <f t="shared" si="10"/>
        <v/>
      </c>
      <c r="AO229" s="21" t="str">
        <f t="shared" si="12"/>
        <v/>
      </c>
      <c r="AP229" s="21" t="str">
        <f t="shared" si="13"/>
        <v/>
      </c>
      <c r="AQ229" s="20"/>
      <c r="AR229" s="20" t="s">
        <v>85</v>
      </c>
      <c r="AS229" s="21" t="str">
        <f t="shared" si="11"/>
        <v/>
      </c>
    </row>
    <row r="230" spans="1:45" ht="15" customHeight="1">
      <c r="A230" s="17">
        <v>229</v>
      </c>
      <c r="B230" s="17"/>
      <c r="C230" s="18"/>
      <c r="D230" s="17"/>
      <c r="E230" s="17"/>
      <c r="F230" s="19" t="str">
        <f t="shared" si="9"/>
        <v/>
      </c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1" t="str">
        <f t="shared" si="10"/>
        <v/>
      </c>
      <c r="AO230" s="21" t="str">
        <f t="shared" si="12"/>
        <v/>
      </c>
      <c r="AP230" s="21" t="str">
        <f t="shared" si="13"/>
        <v/>
      </c>
      <c r="AQ230" s="20"/>
      <c r="AR230" s="20" t="s">
        <v>85</v>
      </c>
      <c r="AS230" s="21" t="str">
        <f t="shared" si="11"/>
        <v/>
      </c>
    </row>
    <row r="231" spans="1:45" ht="15" customHeight="1">
      <c r="A231" s="17">
        <v>230</v>
      </c>
      <c r="B231" s="17"/>
      <c r="C231" s="18"/>
      <c r="D231" s="17"/>
      <c r="E231" s="17"/>
      <c r="F231" s="19" t="str">
        <f t="shared" si="9"/>
        <v/>
      </c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1" t="str">
        <f t="shared" si="10"/>
        <v/>
      </c>
      <c r="AO231" s="21" t="str">
        <f t="shared" si="12"/>
        <v/>
      </c>
      <c r="AP231" s="21" t="str">
        <f t="shared" si="13"/>
        <v/>
      </c>
      <c r="AQ231" s="20"/>
      <c r="AR231" s="20" t="s">
        <v>85</v>
      </c>
      <c r="AS231" s="21" t="str">
        <f t="shared" si="11"/>
        <v/>
      </c>
    </row>
    <row r="232" spans="1:45" ht="15" customHeight="1">
      <c r="A232" s="17">
        <v>231</v>
      </c>
      <c r="B232" s="17"/>
      <c r="C232" s="18"/>
      <c r="D232" s="17"/>
      <c r="E232" s="17"/>
      <c r="F232" s="19" t="str">
        <f t="shared" si="9"/>
        <v/>
      </c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1" t="str">
        <f t="shared" si="10"/>
        <v/>
      </c>
      <c r="AO232" s="21" t="str">
        <f t="shared" si="12"/>
        <v/>
      </c>
      <c r="AP232" s="21" t="str">
        <f t="shared" si="13"/>
        <v/>
      </c>
      <c r="AQ232" s="20"/>
      <c r="AR232" s="20" t="s">
        <v>85</v>
      </c>
      <c r="AS232" s="21" t="str">
        <f t="shared" si="11"/>
        <v/>
      </c>
    </row>
    <row r="233" spans="1:45" ht="15" customHeight="1">
      <c r="A233" s="17">
        <v>232</v>
      </c>
      <c r="B233" s="17"/>
      <c r="C233" s="18"/>
      <c r="D233" s="17"/>
      <c r="E233" s="17"/>
      <c r="F233" s="19" t="str">
        <f t="shared" si="9"/>
        <v/>
      </c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1" t="str">
        <f t="shared" si="10"/>
        <v/>
      </c>
      <c r="AO233" s="21" t="str">
        <f t="shared" si="12"/>
        <v/>
      </c>
      <c r="AP233" s="21" t="str">
        <f t="shared" si="13"/>
        <v/>
      </c>
      <c r="AQ233" s="20"/>
      <c r="AR233" s="20" t="s">
        <v>85</v>
      </c>
      <c r="AS233" s="21" t="str">
        <f t="shared" si="11"/>
        <v/>
      </c>
    </row>
    <row r="234" spans="1:45" ht="15" customHeight="1">
      <c r="A234" s="17">
        <v>233</v>
      </c>
      <c r="B234" s="17"/>
      <c r="C234" s="18"/>
      <c r="D234" s="17"/>
      <c r="E234" s="17"/>
      <c r="F234" s="19" t="str">
        <f t="shared" si="9"/>
        <v/>
      </c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1" t="str">
        <f t="shared" si="10"/>
        <v/>
      </c>
      <c r="AO234" s="21" t="str">
        <f t="shared" ref="AO234:AO265" si="14">IF(COUNTA(AE234:AJ234)=0,"",SUM(AE234:AJ234))</f>
        <v/>
      </c>
      <c r="AP234" s="21" t="str">
        <f t="shared" ref="AP234:AP265" si="15">IF(COUNTA(AK234:AM234)=0,"",SUM(AK234:AM234))</f>
        <v/>
      </c>
      <c r="AQ234" s="20"/>
      <c r="AR234" s="20" t="s">
        <v>85</v>
      </c>
      <c r="AS234" s="21" t="str">
        <f t="shared" si="11"/>
        <v/>
      </c>
    </row>
    <row r="235" spans="1:45" ht="15" customHeight="1">
      <c r="A235" s="17">
        <v>234</v>
      </c>
      <c r="B235" s="17"/>
      <c r="C235" s="18"/>
      <c r="D235" s="17"/>
      <c r="E235" s="17"/>
      <c r="F235" s="19" t="str">
        <f t="shared" si="9"/>
        <v/>
      </c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1" t="str">
        <f t="shared" si="10"/>
        <v/>
      </c>
      <c r="AO235" s="21" t="str">
        <f t="shared" si="14"/>
        <v/>
      </c>
      <c r="AP235" s="21" t="str">
        <f t="shared" si="15"/>
        <v/>
      </c>
      <c r="AQ235" s="20"/>
      <c r="AR235" s="20" t="s">
        <v>85</v>
      </c>
      <c r="AS235" s="21" t="str">
        <f t="shared" si="11"/>
        <v/>
      </c>
    </row>
    <row r="236" spans="1:45" ht="15" customHeight="1">
      <c r="A236" s="17">
        <v>235</v>
      </c>
      <c r="B236" s="17"/>
      <c r="C236" s="18"/>
      <c r="D236" s="17"/>
      <c r="E236" s="17"/>
      <c r="F236" s="19" t="str">
        <f t="shared" si="9"/>
        <v/>
      </c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1" t="str">
        <f t="shared" si="10"/>
        <v/>
      </c>
      <c r="AO236" s="21" t="str">
        <f t="shared" si="14"/>
        <v/>
      </c>
      <c r="AP236" s="21" t="str">
        <f t="shared" si="15"/>
        <v/>
      </c>
      <c r="AQ236" s="20"/>
      <c r="AR236" s="20" t="s">
        <v>85</v>
      </c>
      <c r="AS236" s="21" t="str">
        <f t="shared" si="11"/>
        <v/>
      </c>
    </row>
    <row r="237" spans="1:45" ht="15" customHeight="1">
      <c r="A237" s="17">
        <v>236</v>
      </c>
      <c r="B237" s="17"/>
      <c r="C237" s="18"/>
      <c r="D237" s="17"/>
      <c r="E237" s="17"/>
      <c r="F237" s="19" t="str">
        <f t="shared" si="9"/>
        <v/>
      </c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1" t="str">
        <f t="shared" si="10"/>
        <v/>
      </c>
      <c r="AO237" s="21" t="str">
        <f t="shared" si="14"/>
        <v/>
      </c>
      <c r="AP237" s="21" t="str">
        <f t="shared" si="15"/>
        <v/>
      </c>
      <c r="AQ237" s="20"/>
      <c r="AR237" s="20" t="s">
        <v>85</v>
      </c>
      <c r="AS237" s="21" t="str">
        <f t="shared" si="11"/>
        <v/>
      </c>
    </row>
    <row r="238" spans="1:45" ht="15" customHeight="1">
      <c r="A238" s="17">
        <v>237</v>
      </c>
      <c r="B238" s="17"/>
      <c r="C238" s="18"/>
      <c r="D238" s="17"/>
      <c r="E238" s="17"/>
      <c r="F238" s="19" t="str">
        <f t="shared" si="9"/>
        <v/>
      </c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1" t="str">
        <f t="shared" si="10"/>
        <v/>
      </c>
      <c r="AO238" s="21" t="str">
        <f t="shared" si="14"/>
        <v/>
      </c>
      <c r="AP238" s="21" t="str">
        <f t="shared" si="15"/>
        <v/>
      </c>
      <c r="AQ238" s="20"/>
      <c r="AR238" s="20" t="s">
        <v>85</v>
      </c>
      <c r="AS238" s="21" t="str">
        <f t="shared" si="11"/>
        <v/>
      </c>
    </row>
    <row r="239" spans="1:45" ht="15" customHeight="1">
      <c r="A239" s="17">
        <v>238</v>
      </c>
      <c r="B239" s="17"/>
      <c r="C239" s="18"/>
      <c r="D239" s="17"/>
      <c r="E239" s="17"/>
      <c r="F239" s="19" t="str">
        <f t="shared" si="9"/>
        <v/>
      </c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1" t="str">
        <f t="shared" si="10"/>
        <v/>
      </c>
      <c r="AO239" s="21" t="str">
        <f t="shared" si="14"/>
        <v/>
      </c>
      <c r="AP239" s="21" t="str">
        <f t="shared" si="15"/>
        <v/>
      </c>
      <c r="AQ239" s="20"/>
      <c r="AR239" s="20" t="s">
        <v>85</v>
      </c>
      <c r="AS239" s="21" t="str">
        <f t="shared" si="11"/>
        <v/>
      </c>
    </row>
    <row r="240" spans="1:45" ht="15" customHeight="1">
      <c r="A240" s="17">
        <v>239</v>
      </c>
      <c r="B240" s="17"/>
      <c r="C240" s="18"/>
      <c r="D240" s="17"/>
      <c r="E240" s="17"/>
      <c r="F240" s="19" t="str">
        <f t="shared" si="9"/>
        <v/>
      </c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1" t="str">
        <f t="shared" si="10"/>
        <v/>
      </c>
      <c r="AO240" s="21" t="str">
        <f t="shared" si="14"/>
        <v/>
      </c>
      <c r="AP240" s="21" t="str">
        <f t="shared" si="15"/>
        <v/>
      </c>
      <c r="AQ240" s="20"/>
      <c r="AR240" s="20" t="s">
        <v>85</v>
      </c>
      <c r="AS240" s="21" t="str">
        <f t="shared" si="11"/>
        <v/>
      </c>
    </row>
    <row r="241" spans="1:45" ht="15" customHeight="1">
      <c r="A241" s="17">
        <v>240</v>
      </c>
      <c r="B241" s="17"/>
      <c r="C241" s="18"/>
      <c r="D241" s="17"/>
      <c r="E241" s="17"/>
      <c r="F241" s="19" t="str">
        <f t="shared" si="9"/>
        <v/>
      </c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1" t="str">
        <f t="shared" si="10"/>
        <v/>
      </c>
      <c r="AO241" s="21" t="str">
        <f t="shared" si="14"/>
        <v/>
      </c>
      <c r="AP241" s="21" t="str">
        <f t="shared" si="15"/>
        <v/>
      </c>
      <c r="AQ241" s="20"/>
      <c r="AR241" s="20" t="s">
        <v>85</v>
      </c>
      <c r="AS241" s="21" t="str">
        <f t="shared" si="11"/>
        <v/>
      </c>
    </row>
    <row r="242" spans="1:45" ht="15" customHeight="1">
      <c r="A242" s="17">
        <v>241</v>
      </c>
      <c r="B242" s="17"/>
      <c r="C242" s="18"/>
      <c r="D242" s="17"/>
      <c r="E242" s="17"/>
      <c r="F242" s="19" t="str">
        <f t="shared" si="9"/>
        <v/>
      </c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1" t="str">
        <f t="shared" si="10"/>
        <v/>
      </c>
      <c r="AO242" s="21" t="str">
        <f t="shared" si="14"/>
        <v/>
      </c>
      <c r="AP242" s="21" t="str">
        <f t="shared" si="15"/>
        <v/>
      </c>
      <c r="AQ242" s="20"/>
      <c r="AR242" s="20" t="s">
        <v>85</v>
      </c>
      <c r="AS242" s="21" t="str">
        <f t="shared" si="11"/>
        <v/>
      </c>
    </row>
    <row r="243" spans="1:45" ht="15" customHeight="1">
      <c r="A243" s="17">
        <v>242</v>
      </c>
      <c r="B243" s="17"/>
      <c r="C243" s="18"/>
      <c r="D243" s="17"/>
      <c r="E243" s="17"/>
      <c r="F243" s="19" t="str">
        <f t="shared" si="9"/>
        <v/>
      </c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1" t="str">
        <f t="shared" si="10"/>
        <v/>
      </c>
      <c r="AO243" s="21" t="str">
        <f t="shared" si="14"/>
        <v/>
      </c>
      <c r="AP243" s="21" t="str">
        <f t="shared" si="15"/>
        <v/>
      </c>
      <c r="AQ243" s="20"/>
      <c r="AR243" s="20" t="s">
        <v>85</v>
      </c>
      <c r="AS243" s="21" t="str">
        <f t="shared" si="11"/>
        <v/>
      </c>
    </row>
    <row r="244" spans="1:45" ht="15" customHeight="1">
      <c r="A244" s="17">
        <v>243</v>
      </c>
      <c r="B244" s="17"/>
      <c r="C244" s="18"/>
      <c r="D244" s="17"/>
      <c r="E244" s="17"/>
      <c r="F244" s="19" t="str">
        <f t="shared" si="9"/>
        <v/>
      </c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1" t="str">
        <f t="shared" si="10"/>
        <v/>
      </c>
      <c r="AO244" s="21" t="str">
        <f t="shared" si="14"/>
        <v/>
      </c>
      <c r="AP244" s="21" t="str">
        <f t="shared" si="15"/>
        <v/>
      </c>
      <c r="AQ244" s="20"/>
      <c r="AR244" s="20" t="s">
        <v>85</v>
      </c>
      <c r="AS244" s="21" t="str">
        <f t="shared" si="11"/>
        <v/>
      </c>
    </row>
    <row r="245" spans="1:45" ht="15" customHeight="1">
      <c r="A245" s="17">
        <v>244</v>
      </c>
      <c r="B245" s="17"/>
      <c r="C245" s="18"/>
      <c r="D245" s="17"/>
      <c r="E245" s="17"/>
      <c r="F245" s="19" t="str">
        <f t="shared" si="9"/>
        <v/>
      </c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1" t="str">
        <f t="shared" si="10"/>
        <v/>
      </c>
      <c r="AO245" s="21" t="str">
        <f t="shared" si="14"/>
        <v/>
      </c>
      <c r="AP245" s="21" t="str">
        <f t="shared" si="15"/>
        <v/>
      </c>
      <c r="AQ245" s="20"/>
      <c r="AR245" s="20" t="s">
        <v>85</v>
      </c>
      <c r="AS245" s="21" t="str">
        <f t="shared" si="11"/>
        <v/>
      </c>
    </row>
    <row r="246" spans="1:45" ht="15" customHeight="1">
      <c r="A246" s="17">
        <v>245</v>
      </c>
      <c r="B246" s="17"/>
      <c r="C246" s="18"/>
      <c r="D246" s="17"/>
      <c r="E246" s="17"/>
      <c r="F246" s="19" t="str">
        <f t="shared" si="9"/>
        <v/>
      </c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1" t="str">
        <f t="shared" si="10"/>
        <v/>
      </c>
      <c r="AO246" s="21" t="str">
        <f t="shared" si="14"/>
        <v/>
      </c>
      <c r="AP246" s="21" t="str">
        <f t="shared" si="15"/>
        <v/>
      </c>
      <c r="AQ246" s="20"/>
      <c r="AR246" s="20" t="s">
        <v>85</v>
      </c>
      <c r="AS246" s="21" t="str">
        <f t="shared" si="11"/>
        <v/>
      </c>
    </row>
    <row r="247" spans="1:45" ht="15" customHeight="1">
      <c r="A247" s="17">
        <v>246</v>
      </c>
      <c r="B247" s="17"/>
      <c r="C247" s="18"/>
      <c r="D247" s="17"/>
      <c r="E247" s="17"/>
      <c r="F247" s="19" t="str">
        <f t="shared" si="9"/>
        <v/>
      </c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1" t="str">
        <f t="shared" si="10"/>
        <v/>
      </c>
      <c r="AO247" s="21" t="str">
        <f t="shared" si="14"/>
        <v/>
      </c>
      <c r="AP247" s="21" t="str">
        <f t="shared" si="15"/>
        <v/>
      </c>
      <c r="AQ247" s="20"/>
      <c r="AR247" s="20" t="s">
        <v>85</v>
      </c>
      <c r="AS247" s="21" t="str">
        <f t="shared" si="11"/>
        <v/>
      </c>
    </row>
    <row r="248" spans="1:45" ht="15" customHeight="1">
      <c r="A248" s="17">
        <v>247</v>
      </c>
      <c r="B248" s="17"/>
      <c r="C248" s="18"/>
      <c r="D248" s="17"/>
      <c r="E248" s="17"/>
      <c r="F248" s="19" t="str">
        <f t="shared" si="9"/>
        <v/>
      </c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1" t="str">
        <f t="shared" si="10"/>
        <v/>
      </c>
      <c r="AO248" s="21" t="str">
        <f t="shared" si="14"/>
        <v/>
      </c>
      <c r="AP248" s="21" t="str">
        <f t="shared" si="15"/>
        <v/>
      </c>
      <c r="AQ248" s="20"/>
      <c r="AR248" s="20" t="s">
        <v>85</v>
      </c>
      <c r="AS248" s="21" t="str">
        <f t="shared" si="11"/>
        <v/>
      </c>
    </row>
    <row r="249" spans="1:45" ht="15" customHeight="1">
      <c r="A249" s="17">
        <v>248</v>
      </c>
      <c r="B249" s="17"/>
      <c r="C249" s="18"/>
      <c r="D249" s="17"/>
      <c r="E249" s="17"/>
      <c r="F249" s="19" t="str">
        <f t="shared" si="9"/>
        <v/>
      </c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1" t="str">
        <f t="shared" si="10"/>
        <v/>
      </c>
      <c r="AO249" s="21" t="str">
        <f t="shared" si="14"/>
        <v/>
      </c>
      <c r="AP249" s="21" t="str">
        <f t="shared" si="15"/>
        <v/>
      </c>
      <c r="AQ249" s="20"/>
      <c r="AR249" s="20" t="s">
        <v>85</v>
      </c>
      <c r="AS249" s="21" t="str">
        <f t="shared" si="11"/>
        <v/>
      </c>
    </row>
    <row r="250" spans="1:45" ht="15" customHeight="1">
      <c r="A250" s="17">
        <v>249</v>
      </c>
      <c r="B250" s="17"/>
      <c r="C250" s="18"/>
      <c r="D250" s="17"/>
      <c r="E250" s="17"/>
      <c r="F250" s="19" t="str">
        <f t="shared" si="9"/>
        <v/>
      </c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1" t="str">
        <f t="shared" si="10"/>
        <v/>
      </c>
      <c r="AO250" s="21" t="str">
        <f t="shared" si="14"/>
        <v/>
      </c>
      <c r="AP250" s="21" t="str">
        <f t="shared" si="15"/>
        <v/>
      </c>
      <c r="AQ250" s="20"/>
      <c r="AR250" s="20" t="s">
        <v>85</v>
      </c>
      <c r="AS250" s="21" t="str">
        <f t="shared" si="11"/>
        <v/>
      </c>
    </row>
    <row r="251" spans="1:45" ht="15" customHeight="1">
      <c r="A251" s="17">
        <v>250</v>
      </c>
      <c r="B251" s="17"/>
      <c r="C251" s="18"/>
      <c r="D251" s="17"/>
      <c r="E251" s="17"/>
      <c r="F251" s="19" t="str">
        <f t="shared" si="9"/>
        <v/>
      </c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1" t="str">
        <f t="shared" si="10"/>
        <v/>
      </c>
      <c r="AO251" s="21" t="str">
        <f t="shared" si="14"/>
        <v/>
      </c>
      <c r="AP251" s="21" t="str">
        <f t="shared" si="15"/>
        <v/>
      </c>
      <c r="AQ251" s="20"/>
      <c r="AR251" s="20" t="s">
        <v>85</v>
      </c>
      <c r="AS251" s="21" t="str">
        <f t="shared" si="11"/>
        <v/>
      </c>
    </row>
    <row r="252" spans="1:45" ht="15" customHeight="1">
      <c r="A252" s="17">
        <v>251</v>
      </c>
      <c r="B252" s="17"/>
      <c r="C252" s="18"/>
      <c r="D252" s="17"/>
      <c r="E252" s="17"/>
      <c r="F252" s="19" t="str">
        <f t="shared" si="9"/>
        <v/>
      </c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1" t="str">
        <f t="shared" si="10"/>
        <v/>
      </c>
      <c r="AO252" s="21" t="str">
        <f t="shared" si="14"/>
        <v/>
      </c>
      <c r="AP252" s="21" t="str">
        <f t="shared" si="15"/>
        <v/>
      </c>
      <c r="AQ252" s="20"/>
      <c r="AR252" s="20" t="s">
        <v>85</v>
      </c>
      <c r="AS252" s="21" t="str">
        <f t="shared" si="11"/>
        <v/>
      </c>
    </row>
    <row r="253" spans="1:45" ht="15" customHeight="1">
      <c r="A253" s="17">
        <v>252</v>
      </c>
      <c r="B253" s="17"/>
      <c r="C253" s="18"/>
      <c r="D253" s="17"/>
      <c r="E253" s="17"/>
      <c r="F253" s="19" t="str">
        <f t="shared" si="9"/>
        <v/>
      </c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1" t="str">
        <f t="shared" si="10"/>
        <v/>
      </c>
      <c r="AO253" s="21" t="str">
        <f t="shared" si="14"/>
        <v/>
      </c>
      <c r="AP253" s="21" t="str">
        <f t="shared" si="15"/>
        <v/>
      </c>
      <c r="AQ253" s="20"/>
      <c r="AR253" s="20" t="s">
        <v>85</v>
      </c>
      <c r="AS253" s="21" t="str">
        <f t="shared" si="11"/>
        <v/>
      </c>
    </row>
    <row r="254" spans="1:45" ht="15" customHeight="1">
      <c r="A254" s="17">
        <v>253</v>
      </c>
      <c r="B254" s="17"/>
      <c r="C254" s="18"/>
      <c r="D254" s="17"/>
      <c r="E254" s="17"/>
      <c r="F254" s="19" t="str">
        <f t="shared" si="9"/>
        <v/>
      </c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1" t="str">
        <f t="shared" si="10"/>
        <v/>
      </c>
      <c r="AO254" s="21" t="str">
        <f t="shared" si="14"/>
        <v/>
      </c>
      <c r="AP254" s="21" t="str">
        <f t="shared" si="15"/>
        <v/>
      </c>
      <c r="AQ254" s="20"/>
      <c r="AR254" s="20" t="s">
        <v>85</v>
      </c>
      <c r="AS254" s="21" t="str">
        <f t="shared" si="11"/>
        <v/>
      </c>
    </row>
    <row r="255" spans="1:45" ht="15" customHeight="1">
      <c r="A255" s="17">
        <v>254</v>
      </c>
      <c r="B255" s="17"/>
      <c r="C255" s="18"/>
      <c r="D255" s="17"/>
      <c r="E255" s="17"/>
      <c r="F255" s="19" t="str">
        <f t="shared" si="9"/>
        <v/>
      </c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1" t="str">
        <f t="shared" si="10"/>
        <v/>
      </c>
      <c r="AO255" s="21" t="str">
        <f t="shared" si="14"/>
        <v/>
      </c>
      <c r="AP255" s="21" t="str">
        <f t="shared" si="15"/>
        <v/>
      </c>
      <c r="AQ255" s="20"/>
      <c r="AR255" s="20" t="s">
        <v>85</v>
      </c>
      <c r="AS255" s="21" t="str">
        <f t="shared" si="11"/>
        <v/>
      </c>
    </row>
    <row r="256" spans="1:45" ht="15" customHeight="1">
      <c r="A256" s="17">
        <v>255</v>
      </c>
      <c r="B256" s="17"/>
      <c r="C256" s="18"/>
      <c r="D256" s="17"/>
      <c r="E256" s="17"/>
      <c r="F256" s="19" t="str">
        <f t="shared" si="9"/>
        <v/>
      </c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1" t="str">
        <f t="shared" si="10"/>
        <v/>
      </c>
      <c r="AO256" s="21" t="str">
        <f t="shared" si="14"/>
        <v/>
      </c>
      <c r="AP256" s="21" t="str">
        <f t="shared" si="15"/>
        <v/>
      </c>
      <c r="AQ256" s="20"/>
      <c r="AR256" s="20" t="s">
        <v>85</v>
      </c>
      <c r="AS256" s="21" t="str">
        <f t="shared" si="11"/>
        <v/>
      </c>
    </row>
    <row r="257" spans="1:45" ht="15" customHeight="1">
      <c r="A257" s="17">
        <v>256</v>
      </c>
      <c r="B257" s="17"/>
      <c r="C257" s="18"/>
      <c r="D257" s="17"/>
      <c r="E257" s="17"/>
      <c r="F257" s="19" t="str">
        <f t="shared" si="9"/>
        <v/>
      </c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1" t="str">
        <f t="shared" si="10"/>
        <v/>
      </c>
      <c r="AO257" s="21" t="str">
        <f t="shared" si="14"/>
        <v/>
      </c>
      <c r="AP257" s="21" t="str">
        <f t="shared" si="15"/>
        <v/>
      </c>
      <c r="AQ257" s="20"/>
      <c r="AR257" s="20" t="s">
        <v>85</v>
      </c>
      <c r="AS257" s="21" t="str">
        <f t="shared" si="11"/>
        <v/>
      </c>
    </row>
    <row r="258" spans="1:45" ht="15" customHeight="1">
      <c r="A258" s="17">
        <v>257</v>
      </c>
      <c r="B258" s="17"/>
      <c r="C258" s="18"/>
      <c r="D258" s="17"/>
      <c r="E258" s="17"/>
      <c r="F258" s="19" t="str">
        <f t="shared" ref="F258:F321" si="16">IF(E258="","",IF(E258&lt;70,0,1))</f>
        <v/>
      </c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1" t="str">
        <f t="shared" ref="AN258:AN301" si="17">IF(COUNTA(AB258:AD258)=0,"",SUM(AB258:AD258))</f>
        <v/>
      </c>
      <c r="AO258" s="21" t="str">
        <f t="shared" si="14"/>
        <v/>
      </c>
      <c r="AP258" s="21" t="str">
        <f t="shared" si="15"/>
        <v/>
      </c>
      <c r="AQ258" s="20"/>
      <c r="AR258" s="20" t="s">
        <v>85</v>
      </c>
      <c r="AS258" s="21" t="str">
        <f t="shared" ref="AS258:AS321" si="18">IF(AQ258="","",IF(AR258="cm",AQ258,IF(AR258="inch",AQ258*2.54,"")))</f>
        <v/>
      </c>
    </row>
    <row r="259" spans="1:45" ht="15" customHeight="1">
      <c r="A259" s="17">
        <v>258</v>
      </c>
      <c r="B259" s="17"/>
      <c r="C259" s="18"/>
      <c r="D259" s="17"/>
      <c r="E259" s="17"/>
      <c r="F259" s="19" t="str">
        <f t="shared" si="16"/>
        <v/>
      </c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1" t="str">
        <f t="shared" si="17"/>
        <v/>
      </c>
      <c r="AO259" s="21" t="str">
        <f t="shared" si="14"/>
        <v/>
      </c>
      <c r="AP259" s="21" t="str">
        <f t="shared" si="15"/>
        <v/>
      </c>
      <c r="AQ259" s="20"/>
      <c r="AR259" s="20" t="s">
        <v>85</v>
      </c>
      <c r="AS259" s="21" t="str">
        <f t="shared" si="18"/>
        <v/>
      </c>
    </row>
    <row r="260" spans="1:45" ht="15" customHeight="1">
      <c r="A260" s="17">
        <v>259</v>
      </c>
      <c r="B260" s="17"/>
      <c r="C260" s="18"/>
      <c r="D260" s="17"/>
      <c r="E260" s="17"/>
      <c r="F260" s="19" t="str">
        <f t="shared" si="16"/>
        <v/>
      </c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1" t="str">
        <f t="shared" si="17"/>
        <v/>
      </c>
      <c r="AO260" s="21" t="str">
        <f t="shared" si="14"/>
        <v/>
      </c>
      <c r="AP260" s="21" t="str">
        <f t="shared" si="15"/>
        <v/>
      </c>
      <c r="AQ260" s="20"/>
      <c r="AR260" s="20" t="s">
        <v>85</v>
      </c>
      <c r="AS260" s="21" t="str">
        <f t="shared" si="18"/>
        <v/>
      </c>
    </row>
    <row r="261" spans="1:45" ht="15" customHeight="1">
      <c r="A261" s="17">
        <v>260</v>
      </c>
      <c r="B261" s="17"/>
      <c r="C261" s="18"/>
      <c r="D261" s="17"/>
      <c r="E261" s="17"/>
      <c r="F261" s="19" t="str">
        <f t="shared" si="16"/>
        <v/>
      </c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1" t="str">
        <f t="shared" si="17"/>
        <v/>
      </c>
      <c r="AO261" s="21" t="str">
        <f t="shared" si="14"/>
        <v/>
      </c>
      <c r="AP261" s="21" t="str">
        <f t="shared" si="15"/>
        <v/>
      </c>
      <c r="AQ261" s="20"/>
      <c r="AR261" s="20" t="s">
        <v>85</v>
      </c>
      <c r="AS261" s="21" t="str">
        <f t="shared" si="18"/>
        <v/>
      </c>
    </row>
    <row r="262" spans="1:45" ht="15" customHeight="1">
      <c r="A262" s="17">
        <v>261</v>
      </c>
      <c r="B262" s="17"/>
      <c r="C262" s="18"/>
      <c r="D262" s="17"/>
      <c r="E262" s="17"/>
      <c r="F262" s="19" t="str">
        <f t="shared" si="16"/>
        <v/>
      </c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1" t="str">
        <f t="shared" si="17"/>
        <v/>
      </c>
      <c r="AO262" s="21" t="str">
        <f t="shared" si="14"/>
        <v/>
      </c>
      <c r="AP262" s="21" t="str">
        <f t="shared" si="15"/>
        <v/>
      </c>
      <c r="AQ262" s="20"/>
      <c r="AR262" s="20" t="s">
        <v>85</v>
      </c>
      <c r="AS262" s="21" t="str">
        <f t="shared" si="18"/>
        <v/>
      </c>
    </row>
    <row r="263" spans="1:45" ht="15" customHeight="1">
      <c r="A263" s="17">
        <v>262</v>
      </c>
      <c r="B263" s="17"/>
      <c r="C263" s="18"/>
      <c r="D263" s="17"/>
      <c r="E263" s="17"/>
      <c r="F263" s="19" t="str">
        <f t="shared" si="16"/>
        <v/>
      </c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1" t="str">
        <f t="shared" si="17"/>
        <v/>
      </c>
      <c r="AO263" s="21" t="str">
        <f t="shared" si="14"/>
        <v/>
      </c>
      <c r="AP263" s="21" t="str">
        <f t="shared" si="15"/>
        <v/>
      </c>
      <c r="AQ263" s="20"/>
      <c r="AR263" s="20" t="s">
        <v>85</v>
      </c>
      <c r="AS263" s="21" t="str">
        <f t="shared" si="18"/>
        <v/>
      </c>
    </row>
    <row r="264" spans="1:45" ht="15" customHeight="1">
      <c r="A264" s="17">
        <v>263</v>
      </c>
      <c r="B264" s="17"/>
      <c r="C264" s="18"/>
      <c r="D264" s="17"/>
      <c r="E264" s="17"/>
      <c r="F264" s="19" t="str">
        <f t="shared" si="16"/>
        <v/>
      </c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1" t="str">
        <f t="shared" si="17"/>
        <v/>
      </c>
      <c r="AO264" s="21" t="str">
        <f t="shared" si="14"/>
        <v/>
      </c>
      <c r="AP264" s="21" t="str">
        <f t="shared" si="15"/>
        <v/>
      </c>
      <c r="AQ264" s="20"/>
      <c r="AR264" s="20" t="s">
        <v>85</v>
      </c>
      <c r="AS264" s="21" t="str">
        <f t="shared" si="18"/>
        <v/>
      </c>
    </row>
    <row r="265" spans="1:45" ht="15" customHeight="1">
      <c r="A265" s="17">
        <v>264</v>
      </c>
      <c r="B265" s="17"/>
      <c r="C265" s="18"/>
      <c r="D265" s="17"/>
      <c r="E265" s="17"/>
      <c r="F265" s="19" t="str">
        <f t="shared" si="16"/>
        <v/>
      </c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1" t="str">
        <f t="shared" si="17"/>
        <v/>
      </c>
      <c r="AO265" s="21" t="str">
        <f t="shared" si="14"/>
        <v/>
      </c>
      <c r="AP265" s="21" t="str">
        <f t="shared" si="15"/>
        <v/>
      </c>
      <c r="AQ265" s="20"/>
      <c r="AR265" s="20" t="s">
        <v>85</v>
      </c>
      <c r="AS265" s="21" t="str">
        <f t="shared" si="18"/>
        <v/>
      </c>
    </row>
    <row r="266" spans="1:45" ht="15" customHeight="1">
      <c r="A266" s="17">
        <v>265</v>
      </c>
      <c r="B266" s="17"/>
      <c r="C266" s="18"/>
      <c r="D266" s="17"/>
      <c r="E266" s="17"/>
      <c r="F266" s="19" t="str">
        <f t="shared" si="16"/>
        <v/>
      </c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1" t="str">
        <f t="shared" si="17"/>
        <v/>
      </c>
      <c r="AO266" s="21" t="str">
        <f t="shared" ref="AO266:AO301" si="19">IF(COUNTA(AE266:AJ266)=0,"",SUM(AE266:AJ266))</f>
        <v/>
      </c>
      <c r="AP266" s="21" t="str">
        <f t="shared" ref="AP266:AP301" si="20">IF(COUNTA(AK266:AM266)=0,"",SUM(AK266:AM266))</f>
        <v/>
      </c>
      <c r="AQ266" s="20"/>
      <c r="AR266" s="20" t="s">
        <v>85</v>
      </c>
      <c r="AS266" s="21" t="str">
        <f t="shared" si="18"/>
        <v/>
      </c>
    </row>
    <row r="267" spans="1:45" ht="15" customHeight="1">
      <c r="A267" s="17">
        <v>266</v>
      </c>
      <c r="B267" s="17"/>
      <c r="C267" s="18"/>
      <c r="D267" s="17"/>
      <c r="E267" s="17"/>
      <c r="F267" s="19" t="str">
        <f t="shared" si="16"/>
        <v/>
      </c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1" t="str">
        <f t="shared" si="17"/>
        <v/>
      </c>
      <c r="AO267" s="21" t="str">
        <f t="shared" si="19"/>
        <v/>
      </c>
      <c r="AP267" s="21" t="str">
        <f t="shared" si="20"/>
        <v/>
      </c>
      <c r="AQ267" s="20"/>
      <c r="AR267" s="20" t="s">
        <v>85</v>
      </c>
      <c r="AS267" s="21" t="str">
        <f t="shared" si="18"/>
        <v/>
      </c>
    </row>
    <row r="268" spans="1:45" ht="15" customHeight="1">
      <c r="A268" s="17">
        <v>267</v>
      </c>
      <c r="B268" s="17"/>
      <c r="C268" s="18"/>
      <c r="D268" s="17"/>
      <c r="E268" s="17"/>
      <c r="F268" s="19" t="str">
        <f t="shared" si="16"/>
        <v/>
      </c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1" t="str">
        <f t="shared" si="17"/>
        <v/>
      </c>
      <c r="AO268" s="21" t="str">
        <f t="shared" si="19"/>
        <v/>
      </c>
      <c r="AP268" s="21" t="str">
        <f t="shared" si="20"/>
        <v/>
      </c>
      <c r="AQ268" s="20"/>
      <c r="AR268" s="20" t="s">
        <v>85</v>
      </c>
      <c r="AS268" s="21" t="str">
        <f t="shared" si="18"/>
        <v/>
      </c>
    </row>
    <row r="269" spans="1:45" ht="15" customHeight="1">
      <c r="A269" s="17">
        <v>268</v>
      </c>
      <c r="B269" s="17"/>
      <c r="C269" s="18"/>
      <c r="D269" s="17"/>
      <c r="E269" s="17"/>
      <c r="F269" s="19" t="str">
        <f t="shared" si="16"/>
        <v/>
      </c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1" t="str">
        <f t="shared" si="17"/>
        <v/>
      </c>
      <c r="AO269" s="21" t="str">
        <f t="shared" si="19"/>
        <v/>
      </c>
      <c r="AP269" s="21" t="str">
        <f t="shared" si="20"/>
        <v/>
      </c>
      <c r="AQ269" s="20"/>
      <c r="AR269" s="20" t="s">
        <v>85</v>
      </c>
      <c r="AS269" s="21" t="str">
        <f t="shared" si="18"/>
        <v/>
      </c>
    </row>
    <row r="270" spans="1:45" ht="15" customHeight="1">
      <c r="A270" s="17">
        <v>269</v>
      </c>
      <c r="B270" s="17"/>
      <c r="C270" s="18"/>
      <c r="D270" s="17"/>
      <c r="E270" s="17"/>
      <c r="F270" s="19" t="str">
        <f t="shared" si="16"/>
        <v/>
      </c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1" t="str">
        <f t="shared" si="17"/>
        <v/>
      </c>
      <c r="AO270" s="21" t="str">
        <f t="shared" si="19"/>
        <v/>
      </c>
      <c r="AP270" s="21" t="str">
        <f t="shared" si="20"/>
        <v/>
      </c>
      <c r="AQ270" s="20"/>
      <c r="AR270" s="20" t="s">
        <v>85</v>
      </c>
      <c r="AS270" s="21" t="str">
        <f t="shared" si="18"/>
        <v/>
      </c>
    </row>
    <row r="271" spans="1:45" ht="15" customHeight="1">
      <c r="A271" s="17">
        <v>270</v>
      </c>
      <c r="B271" s="17"/>
      <c r="C271" s="18"/>
      <c r="D271" s="17"/>
      <c r="E271" s="17"/>
      <c r="F271" s="19" t="str">
        <f t="shared" si="16"/>
        <v/>
      </c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1" t="str">
        <f t="shared" si="17"/>
        <v/>
      </c>
      <c r="AO271" s="21" t="str">
        <f t="shared" si="19"/>
        <v/>
      </c>
      <c r="AP271" s="21" t="str">
        <f t="shared" si="20"/>
        <v/>
      </c>
      <c r="AQ271" s="20"/>
      <c r="AR271" s="20" t="s">
        <v>85</v>
      </c>
      <c r="AS271" s="21" t="str">
        <f t="shared" si="18"/>
        <v/>
      </c>
    </row>
    <row r="272" spans="1:45" ht="15" customHeight="1">
      <c r="A272" s="17">
        <v>271</v>
      </c>
      <c r="B272" s="17"/>
      <c r="C272" s="18"/>
      <c r="D272" s="17"/>
      <c r="E272" s="17"/>
      <c r="F272" s="19" t="str">
        <f t="shared" si="16"/>
        <v/>
      </c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1" t="str">
        <f t="shared" si="17"/>
        <v/>
      </c>
      <c r="AO272" s="21" t="str">
        <f t="shared" si="19"/>
        <v/>
      </c>
      <c r="AP272" s="21" t="str">
        <f t="shared" si="20"/>
        <v/>
      </c>
      <c r="AQ272" s="20"/>
      <c r="AR272" s="20" t="s">
        <v>85</v>
      </c>
      <c r="AS272" s="21" t="str">
        <f t="shared" si="18"/>
        <v/>
      </c>
    </row>
    <row r="273" spans="1:45" ht="15" customHeight="1">
      <c r="A273" s="17">
        <v>272</v>
      </c>
      <c r="B273" s="17"/>
      <c r="C273" s="18"/>
      <c r="D273" s="17"/>
      <c r="E273" s="17"/>
      <c r="F273" s="19" t="str">
        <f t="shared" si="16"/>
        <v/>
      </c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1" t="str">
        <f t="shared" si="17"/>
        <v/>
      </c>
      <c r="AO273" s="21" t="str">
        <f t="shared" si="19"/>
        <v/>
      </c>
      <c r="AP273" s="21" t="str">
        <f t="shared" si="20"/>
        <v/>
      </c>
      <c r="AQ273" s="20"/>
      <c r="AR273" s="20" t="s">
        <v>85</v>
      </c>
      <c r="AS273" s="21" t="str">
        <f t="shared" si="18"/>
        <v/>
      </c>
    </row>
    <row r="274" spans="1:45" ht="15" customHeight="1">
      <c r="A274" s="17">
        <v>273</v>
      </c>
      <c r="B274" s="17"/>
      <c r="C274" s="18"/>
      <c r="D274" s="17"/>
      <c r="E274" s="17"/>
      <c r="F274" s="19" t="str">
        <f t="shared" si="16"/>
        <v/>
      </c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1" t="str">
        <f t="shared" si="17"/>
        <v/>
      </c>
      <c r="AO274" s="21" t="str">
        <f t="shared" si="19"/>
        <v/>
      </c>
      <c r="AP274" s="21" t="str">
        <f t="shared" si="20"/>
        <v/>
      </c>
      <c r="AQ274" s="20"/>
      <c r="AR274" s="20" t="s">
        <v>85</v>
      </c>
      <c r="AS274" s="21" t="str">
        <f t="shared" si="18"/>
        <v/>
      </c>
    </row>
    <row r="275" spans="1:45" ht="15" customHeight="1">
      <c r="A275" s="17">
        <v>274</v>
      </c>
      <c r="B275" s="17"/>
      <c r="C275" s="18"/>
      <c r="D275" s="17"/>
      <c r="E275" s="17"/>
      <c r="F275" s="19" t="str">
        <f t="shared" si="16"/>
        <v/>
      </c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1" t="str">
        <f t="shared" si="17"/>
        <v/>
      </c>
      <c r="AO275" s="21" t="str">
        <f t="shared" si="19"/>
        <v/>
      </c>
      <c r="AP275" s="21" t="str">
        <f t="shared" si="20"/>
        <v/>
      </c>
      <c r="AQ275" s="20"/>
      <c r="AR275" s="20" t="s">
        <v>85</v>
      </c>
      <c r="AS275" s="21" t="str">
        <f t="shared" si="18"/>
        <v/>
      </c>
    </row>
    <row r="276" spans="1:45" ht="15" customHeight="1">
      <c r="A276" s="17">
        <v>275</v>
      </c>
      <c r="B276" s="17"/>
      <c r="C276" s="18"/>
      <c r="D276" s="17"/>
      <c r="E276" s="17"/>
      <c r="F276" s="19" t="str">
        <f t="shared" si="16"/>
        <v/>
      </c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1" t="str">
        <f t="shared" si="17"/>
        <v/>
      </c>
      <c r="AO276" s="21" t="str">
        <f t="shared" si="19"/>
        <v/>
      </c>
      <c r="AP276" s="21" t="str">
        <f t="shared" si="20"/>
        <v/>
      </c>
      <c r="AQ276" s="20"/>
      <c r="AR276" s="20" t="s">
        <v>85</v>
      </c>
      <c r="AS276" s="21" t="str">
        <f t="shared" si="18"/>
        <v/>
      </c>
    </row>
    <row r="277" spans="1:45" ht="15" customHeight="1">
      <c r="A277" s="17">
        <v>276</v>
      </c>
      <c r="B277" s="17"/>
      <c r="C277" s="18"/>
      <c r="D277" s="17"/>
      <c r="E277" s="17"/>
      <c r="F277" s="19" t="str">
        <f t="shared" si="16"/>
        <v/>
      </c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1" t="str">
        <f t="shared" si="17"/>
        <v/>
      </c>
      <c r="AO277" s="21" t="str">
        <f t="shared" si="19"/>
        <v/>
      </c>
      <c r="AP277" s="21" t="str">
        <f t="shared" si="20"/>
        <v/>
      </c>
      <c r="AQ277" s="20"/>
      <c r="AR277" s="20" t="s">
        <v>85</v>
      </c>
      <c r="AS277" s="21" t="str">
        <f t="shared" si="18"/>
        <v/>
      </c>
    </row>
    <row r="278" spans="1:45" ht="15" customHeight="1">
      <c r="A278" s="17">
        <v>277</v>
      </c>
      <c r="B278" s="17"/>
      <c r="C278" s="18"/>
      <c r="D278" s="17"/>
      <c r="E278" s="17"/>
      <c r="F278" s="19" t="str">
        <f t="shared" si="16"/>
        <v/>
      </c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1" t="str">
        <f t="shared" si="17"/>
        <v/>
      </c>
      <c r="AO278" s="21" t="str">
        <f t="shared" si="19"/>
        <v/>
      </c>
      <c r="AP278" s="21" t="str">
        <f t="shared" si="20"/>
        <v/>
      </c>
      <c r="AQ278" s="20"/>
      <c r="AR278" s="20" t="s">
        <v>85</v>
      </c>
      <c r="AS278" s="21" t="str">
        <f t="shared" si="18"/>
        <v/>
      </c>
    </row>
    <row r="279" spans="1:45" ht="15" customHeight="1">
      <c r="A279" s="17">
        <v>278</v>
      </c>
      <c r="B279" s="17"/>
      <c r="C279" s="18"/>
      <c r="D279" s="17"/>
      <c r="E279" s="17"/>
      <c r="F279" s="19" t="str">
        <f t="shared" si="16"/>
        <v/>
      </c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1" t="str">
        <f t="shared" si="17"/>
        <v/>
      </c>
      <c r="AO279" s="21" t="str">
        <f t="shared" si="19"/>
        <v/>
      </c>
      <c r="AP279" s="21" t="str">
        <f t="shared" si="20"/>
        <v/>
      </c>
      <c r="AQ279" s="20"/>
      <c r="AR279" s="20" t="s">
        <v>85</v>
      </c>
      <c r="AS279" s="21" t="str">
        <f t="shared" si="18"/>
        <v/>
      </c>
    </row>
    <row r="280" spans="1:45" ht="15" customHeight="1">
      <c r="A280" s="17">
        <v>279</v>
      </c>
      <c r="B280" s="17"/>
      <c r="C280" s="18"/>
      <c r="D280" s="17"/>
      <c r="E280" s="17"/>
      <c r="F280" s="19" t="str">
        <f t="shared" si="16"/>
        <v/>
      </c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1" t="str">
        <f t="shared" si="17"/>
        <v/>
      </c>
      <c r="AO280" s="21" t="str">
        <f t="shared" si="19"/>
        <v/>
      </c>
      <c r="AP280" s="21" t="str">
        <f t="shared" si="20"/>
        <v/>
      </c>
      <c r="AQ280" s="20"/>
      <c r="AR280" s="20" t="s">
        <v>85</v>
      </c>
      <c r="AS280" s="21" t="str">
        <f t="shared" si="18"/>
        <v/>
      </c>
    </row>
    <row r="281" spans="1:45" ht="15" customHeight="1">
      <c r="A281" s="17">
        <v>280</v>
      </c>
      <c r="B281" s="17"/>
      <c r="C281" s="18"/>
      <c r="D281" s="17"/>
      <c r="E281" s="17"/>
      <c r="F281" s="19" t="str">
        <f t="shared" si="16"/>
        <v/>
      </c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1" t="str">
        <f t="shared" si="17"/>
        <v/>
      </c>
      <c r="AO281" s="21" t="str">
        <f t="shared" si="19"/>
        <v/>
      </c>
      <c r="AP281" s="21" t="str">
        <f t="shared" si="20"/>
        <v/>
      </c>
      <c r="AQ281" s="20"/>
      <c r="AR281" s="20" t="s">
        <v>85</v>
      </c>
      <c r="AS281" s="21" t="str">
        <f t="shared" si="18"/>
        <v/>
      </c>
    </row>
    <row r="282" spans="1:45" ht="15" customHeight="1">
      <c r="A282" s="17">
        <v>281</v>
      </c>
      <c r="B282" s="17"/>
      <c r="C282" s="18"/>
      <c r="D282" s="17"/>
      <c r="E282" s="17"/>
      <c r="F282" s="19" t="str">
        <f t="shared" si="16"/>
        <v/>
      </c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1" t="str">
        <f t="shared" si="17"/>
        <v/>
      </c>
      <c r="AO282" s="21" t="str">
        <f t="shared" si="19"/>
        <v/>
      </c>
      <c r="AP282" s="21" t="str">
        <f t="shared" si="20"/>
        <v/>
      </c>
      <c r="AQ282" s="20"/>
      <c r="AR282" s="20" t="s">
        <v>85</v>
      </c>
      <c r="AS282" s="21" t="str">
        <f t="shared" si="18"/>
        <v/>
      </c>
    </row>
    <row r="283" spans="1:45" ht="15" customHeight="1">
      <c r="A283" s="17">
        <v>282</v>
      </c>
      <c r="B283" s="17"/>
      <c r="C283" s="18"/>
      <c r="D283" s="17"/>
      <c r="E283" s="17"/>
      <c r="F283" s="19" t="str">
        <f t="shared" si="16"/>
        <v/>
      </c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1" t="str">
        <f t="shared" si="17"/>
        <v/>
      </c>
      <c r="AO283" s="21" t="str">
        <f t="shared" si="19"/>
        <v/>
      </c>
      <c r="AP283" s="21" t="str">
        <f t="shared" si="20"/>
        <v/>
      </c>
      <c r="AQ283" s="20"/>
      <c r="AR283" s="20" t="s">
        <v>85</v>
      </c>
      <c r="AS283" s="21" t="str">
        <f t="shared" si="18"/>
        <v/>
      </c>
    </row>
    <row r="284" spans="1:45" ht="15" customHeight="1">
      <c r="A284" s="17">
        <v>283</v>
      </c>
      <c r="B284" s="17"/>
      <c r="C284" s="18"/>
      <c r="D284" s="17"/>
      <c r="E284" s="17"/>
      <c r="F284" s="19" t="str">
        <f t="shared" si="16"/>
        <v/>
      </c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1" t="str">
        <f t="shared" si="17"/>
        <v/>
      </c>
      <c r="AO284" s="21" t="str">
        <f t="shared" si="19"/>
        <v/>
      </c>
      <c r="AP284" s="21" t="str">
        <f t="shared" si="20"/>
        <v/>
      </c>
      <c r="AQ284" s="20"/>
      <c r="AR284" s="20" t="s">
        <v>85</v>
      </c>
      <c r="AS284" s="21" t="str">
        <f t="shared" si="18"/>
        <v/>
      </c>
    </row>
    <row r="285" spans="1:45" ht="15" customHeight="1">
      <c r="A285" s="17">
        <v>284</v>
      </c>
      <c r="B285" s="17"/>
      <c r="C285" s="18"/>
      <c r="D285" s="17"/>
      <c r="E285" s="17"/>
      <c r="F285" s="19" t="str">
        <f t="shared" si="16"/>
        <v/>
      </c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1" t="str">
        <f t="shared" si="17"/>
        <v/>
      </c>
      <c r="AO285" s="21" t="str">
        <f t="shared" si="19"/>
        <v/>
      </c>
      <c r="AP285" s="21" t="str">
        <f t="shared" si="20"/>
        <v/>
      </c>
      <c r="AQ285" s="20"/>
      <c r="AR285" s="20" t="s">
        <v>85</v>
      </c>
      <c r="AS285" s="21" t="str">
        <f t="shared" si="18"/>
        <v/>
      </c>
    </row>
    <row r="286" spans="1:45" ht="15" customHeight="1">
      <c r="A286" s="17">
        <v>285</v>
      </c>
      <c r="B286" s="17"/>
      <c r="C286" s="18"/>
      <c r="D286" s="17"/>
      <c r="E286" s="17"/>
      <c r="F286" s="19" t="str">
        <f t="shared" si="16"/>
        <v/>
      </c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1" t="str">
        <f t="shared" si="17"/>
        <v/>
      </c>
      <c r="AO286" s="21" t="str">
        <f t="shared" si="19"/>
        <v/>
      </c>
      <c r="AP286" s="21" t="str">
        <f t="shared" si="20"/>
        <v/>
      </c>
      <c r="AQ286" s="20"/>
      <c r="AR286" s="20" t="s">
        <v>85</v>
      </c>
      <c r="AS286" s="21" t="str">
        <f t="shared" si="18"/>
        <v/>
      </c>
    </row>
    <row r="287" spans="1:45" ht="15" customHeight="1">
      <c r="A287" s="17">
        <v>286</v>
      </c>
      <c r="B287" s="17"/>
      <c r="C287" s="18"/>
      <c r="D287" s="17"/>
      <c r="E287" s="17"/>
      <c r="F287" s="19" t="str">
        <f t="shared" si="16"/>
        <v/>
      </c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1" t="str">
        <f t="shared" si="17"/>
        <v/>
      </c>
      <c r="AO287" s="21" t="str">
        <f t="shared" si="19"/>
        <v/>
      </c>
      <c r="AP287" s="21" t="str">
        <f t="shared" si="20"/>
        <v/>
      </c>
      <c r="AQ287" s="20"/>
      <c r="AR287" s="20" t="s">
        <v>85</v>
      </c>
      <c r="AS287" s="21" t="str">
        <f t="shared" si="18"/>
        <v/>
      </c>
    </row>
    <row r="288" spans="1:45" ht="15" customHeight="1">
      <c r="A288" s="17">
        <v>287</v>
      </c>
      <c r="B288" s="17"/>
      <c r="C288" s="18"/>
      <c r="D288" s="17"/>
      <c r="E288" s="17"/>
      <c r="F288" s="19" t="str">
        <f t="shared" si="16"/>
        <v/>
      </c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1" t="str">
        <f t="shared" si="17"/>
        <v/>
      </c>
      <c r="AO288" s="21" t="str">
        <f t="shared" si="19"/>
        <v/>
      </c>
      <c r="AP288" s="21" t="str">
        <f t="shared" si="20"/>
        <v/>
      </c>
      <c r="AQ288" s="20"/>
      <c r="AR288" s="20" t="s">
        <v>85</v>
      </c>
      <c r="AS288" s="21" t="str">
        <f t="shared" si="18"/>
        <v/>
      </c>
    </row>
    <row r="289" spans="1:45" ht="15" customHeight="1">
      <c r="A289" s="17">
        <v>288</v>
      </c>
      <c r="B289" s="17"/>
      <c r="C289" s="18"/>
      <c r="D289" s="17"/>
      <c r="E289" s="17"/>
      <c r="F289" s="19" t="str">
        <f t="shared" si="16"/>
        <v/>
      </c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1" t="str">
        <f t="shared" si="17"/>
        <v/>
      </c>
      <c r="AO289" s="21" t="str">
        <f t="shared" si="19"/>
        <v/>
      </c>
      <c r="AP289" s="21" t="str">
        <f t="shared" si="20"/>
        <v/>
      </c>
      <c r="AQ289" s="20"/>
      <c r="AR289" s="20" t="s">
        <v>85</v>
      </c>
      <c r="AS289" s="21" t="str">
        <f t="shared" si="18"/>
        <v/>
      </c>
    </row>
    <row r="290" spans="1:45" ht="15" customHeight="1">
      <c r="A290" s="17">
        <v>289</v>
      </c>
      <c r="B290" s="17"/>
      <c r="C290" s="18"/>
      <c r="D290" s="17"/>
      <c r="E290" s="17"/>
      <c r="F290" s="19" t="str">
        <f t="shared" si="16"/>
        <v/>
      </c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1" t="str">
        <f t="shared" si="17"/>
        <v/>
      </c>
      <c r="AO290" s="21" t="str">
        <f t="shared" si="19"/>
        <v/>
      </c>
      <c r="AP290" s="21" t="str">
        <f t="shared" si="20"/>
        <v/>
      </c>
      <c r="AQ290" s="20"/>
      <c r="AR290" s="20" t="s">
        <v>85</v>
      </c>
      <c r="AS290" s="21" t="str">
        <f t="shared" si="18"/>
        <v/>
      </c>
    </row>
    <row r="291" spans="1:45" ht="15" customHeight="1">
      <c r="A291" s="17">
        <v>290</v>
      </c>
      <c r="B291" s="17"/>
      <c r="C291" s="18"/>
      <c r="D291" s="17"/>
      <c r="E291" s="17"/>
      <c r="F291" s="19" t="str">
        <f t="shared" si="16"/>
        <v/>
      </c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1" t="str">
        <f t="shared" si="17"/>
        <v/>
      </c>
      <c r="AO291" s="21" t="str">
        <f t="shared" si="19"/>
        <v/>
      </c>
      <c r="AP291" s="21" t="str">
        <f t="shared" si="20"/>
        <v/>
      </c>
      <c r="AQ291" s="20"/>
      <c r="AR291" s="20" t="s">
        <v>85</v>
      </c>
      <c r="AS291" s="21" t="str">
        <f t="shared" si="18"/>
        <v/>
      </c>
    </row>
    <row r="292" spans="1:45" ht="15" customHeight="1">
      <c r="A292" s="17">
        <v>291</v>
      </c>
      <c r="B292" s="17"/>
      <c r="C292" s="18"/>
      <c r="D292" s="17"/>
      <c r="E292" s="17"/>
      <c r="F292" s="19" t="str">
        <f t="shared" si="16"/>
        <v/>
      </c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1" t="str">
        <f t="shared" si="17"/>
        <v/>
      </c>
      <c r="AO292" s="21" t="str">
        <f t="shared" si="19"/>
        <v/>
      </c>
      <c r="AP292" s="21" t="str">
        <f t="shared" si="20"/>
        <v/>
      </c>
      <c r="AQ292" s="20"/>
      <c r="AR292" s="20" t="s">
        <v>85</v>
      </c>
      <c r="AS292" s="21" t="str">
        <f t="shared" si="18"/>
        <v/>
      </c>
    </row>
    <row r="293" spans="1:45" ht="15" customHeight="1">
      <c r="A293" s="17">
        <v>292</v>
      </c>
      <c r="B293" s="17"/>
      <c r="C293" s="18"/>
      <c r="D293" s="17"/>
      <c r="E293" s="17"/>
      <c r="F293" s="19" t="str">
        <f t="shared" si="16"/>
        <v/>
      </c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1" t="str">
        <f t="shared" si="17"/>
        <v/>
      </c>
      <c r="AO293" s="21" t="str">
        <f t="shared" si="19"/>
        <v/>
      </c>
      <c r="AP293" s="21" t="str">
        <f t="shared" si="20"/>
        <v/>
      </c>
      <c r="AQ293" s="20"/>
      <c r="AR293" s="20" t="s">
        <v>85</v>
      </c>
      <c r="AS293" s="21" t="str">
        <f t="shared" si="18"/>
        <v/>
      </c>
    </row>
    <row r="294" spans="1:45" ht="15" customHeight="1">
      <c r="A294" s="17">
        <v>293</v>
      </c>
      <c r="B294" s="17"/>
      <c r="C294" s="18"/>
      <c r="D294" s="17"/>
      <c r="E294" s="17"/>
      <c r="F294" s="19" t="str">
        <f t="shared" si="16"/>
        <v/>
      </c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1" t="str">
        <f t="shared" si="17"/>
        <v/>
      </c>
      <c r="AO294" s="21" t="str">
        <f t="shared" si="19"/>
        <v/>
      </c>
      <c r="AP294" s="21" t="str">
        <f t="shared" si="20"/>
        <v/>
      </c>
      <c r="AQ294" s="20"/>
      <c r="AR294" s="20" t="s">
        <v>85</v>
      </c>
      <c r="AS294" s="21" t="str">
        <f t="shared" si="18"/>
        <v/>
      </c>
    </row>
    <row r="295" spans="1:45" ht="15" customHeight="1">
      <c r="A295" s="17">
        <v>294</v>
      </c>
      <c r="B295" s="17"/>
      <c r="C295" s="18"/>
      <c r="D295" s="17"/>
      <c r="E295" s="17"/>
      <c r="F295" s="19" t="str">
        <f t="shared" si="16"/>
        <v/>
      </c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1" t="str">
        <f t="shared" si="17"/>
        <v/>
      </c>
      <c r="AO295" s="21" t="str">
        <f t="shared" si="19"/>
        <v/>
      </c>
      <c r="AP295" s="21" t="str">
        <f t="shared" si="20"/>
        <v/>
      </c>
      <c r="AQ295" s="20"/>
      <c r="AR295" s="20" t="s">
        <v>85</v>
      </c>
      <c r="AS295" s="21" t="str">
        <f t="shared" si="18"/>
        <v/>
      </c>
    </row>
    <row r="296" spans="1:45" ht="15" customHeight="1">
      <c r="A296" s="17">
        <v>295</v>
      </c>
      <c r="B296" s="17"/>
      <c r="C296" s="18"/>
      <c r="D296" s="17"/>
      <c r="E296" s="17"/>
      <c r="F296" s="19" t="str">
        <f t="shared" si="16"/>
        <v/>
      </c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1" t="str">
        <f t="shared" si="17"/>
        <v/>
      </c>
      <c r="AO296" s="21" t="str">
        <f t="shared" si="19"/>
        <v/>
      </c>
      <c r="AP296" s="21" t="str">
        <f t="shared" si="20"/>
        <v/>
      </c>
      <c r="AQ296" s="20"/>
      <c r="AR296" s="20" t="s">
        <v>85</v>
      </c>
      <c r="AS296" s="21" t="str">
        <f t="shared" si="18"/>
        <v/>
      </c>
    </row>
    <row r="297" spans="1:45" ht="15" customHeight="1">
      <c r="A297" s="17">
        <v>296</v>
      </c>
      <c r="B297" s="17"/>
      <c r="C297" s="18"/>
      <c r="D297" s="17"/>
      <c r="E297" s="17"/>
      <c r="F297" s="19" t="str">
        <f t="shared" si="16"/>
        <v/>
      </c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1" t="str">
        <f t="shared" si="17"/>
        <v/>
      </c>
      <c r="AO297" s="21" t="str">
        <f t="shared" si="19"/>
        <v/>
      </c>
      <c r="AP297" s="21" t="str">
        <f t="shared" si="20"/>
        <v/>
      </c>
      <c r="AQ297" s="20"/>
      <c r="AR297" s="20" t="s">
        <v>85</v>
      </c>
      <c r="AS297" s="21" t="str">
        <f t="shared" si="18"/>
        <v/>
      </c>
    </row>
    <row r="298" spans="1:45" ht="15" customHeight="1">
      <c r="A298" s="17">
        <v>297</v>
      </c>
      <c r="B298" s="17"/>
      <c r="C298" s="18"/>
      <c r="D298" s="17"/>
      <c r="E298" s="17"/>
      <c r="F298" s="19" t="str">
        <f t="shared" si="16"/>
        <v/>
      </c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1" t="str">
        <f t="shared" si="17"/>
        <v/>
      </c>
      <c r="AO298" s="21" t="str">
        <f t="shared" si="19"/>
        <v/>
      </c>
      <c r="AP298" s="21" t="str">
        <f t="shared" si="20"/>
        <v/>
      </c>
      <c r="AQ298" s="20"/>
      <c r="AR298" s="20" t="s">
        <v>85</v>
      </c>
      <c r="AS298" s="21" t="str">
        <f t="shared" si="18"/>
        <v/>
      </c>
    </row>
    <row r="299" spans="1:45" ht="15" customHeight="1">
      <c r="A299" s="17">
        <v>298</v>
      </c>
      <c r="B299" s="17"/>
      <c r="C299" s="18"/>
      <c r="D299" s="17"/>
      <c r="E299" s="17"/>
      <c r="F299" s="19" t="str">
        <f t="shared" si="16"/>
        <v/>
      </c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1" t="str">
        <f t="shared" si="17"/>
        <v/>
      </c>
      <c r="AO299" s="21" t="str">
        <f t="shared" si="19"/>
        <v/>
      </c>
      <c r="AP299" s="21" t="str">
        <f t="shared" si="20"/>
        <v/>
      </c>
      <c r="AQ299" s="20"/>
      <c r="AR299" s="20" t="s">
        <v>85</v>
      </c>
      <c r="AS299" s="21" t="str">
        <f t="shared" si="18"/>
        <v/>
      </c>
    </row>
    <row r="300" spans="1:45" ht="15" customHeight="1">
      <c r="A300" s="17">
        <v>299</v>
      </c>
      <c r="B300" s="17"/>
      <c r="C300" s="18"/>
      <c r="D300" s="17"/>
      <c r="E300" s="17"/>
      <c r="F300" s="19" t="str">
        <f t="shared" si="16"/>
        <v/>
      </c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1" t="str">
        <f t="shared" si="17"/>
        <v/>
      </c>
      <c r="AO300" s="21" t="str">
        <f t="shared" si="19"/>
        <v/>
      </c>
      <c r="AP300" s="21" t="str">
        <f t="shared" si="20"/>
        <v/>
      </c>
      <c r="AQ300" s="20"/>
      <c r="AR300" s="20" t="s">
        <v>85</v>
      </c>
      <c r="AS300" s="21" t="str">
        <f t="shared" si="18"/>
        <v/>
      </c>
    </row>
    <row r="301" spans="1:45" ht="15" customHeight="1">
      <c r="A301" s="17">
        <v>300</v>
      </c>
      <c r="B301" s="17"/>
      <c r="C301" s="18"/>
      <c r="D301" s="17"/>
      <c r="E301" s="17"/>
      <c r="F301" s="19" t="str">
        <f t="shared" si="16"/>
        <v/>
      </c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1" t="str">
        <f t="shared" si="17"/>
        <v/>
      </c>
      <c r="AO301" s="21" t="str">
        <f t="shared" si="19"/>
        <v/>
      </c>
      <c r="AP301" s="21" t="str">
        <f t="shared" si="20"/>
        <v/>
      </c>
      <c r="AQ301" s="20"/>
      <c r="AR301" s="20" t="s">
        <v>85</v>
      </c>
      <c r="AS301" s="21" t="str">
        <f t="shared" si="18"/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1"/>
  <sheetViews>
    <sheetView topLeftCell="F1" workbookViewId="0">
      <selection activeCell="R5" sqref="R5"/>
    </sheetView>
  </sheetViews>
  <sheetFormatPr baseColWidth="10" defaultColWidth="8.83203125" defaultRowHeight="15"/>
  <cols>
    <col min="1" max="2" width="16" customWidth="1"/>
    <col min="3" max="3" width="19.6640625" customWidth="1"/>
    <col min="4" max="15" width="14" customWidth="1"/>
    <col min="16" max="16" width="18.6640625" customWidth="1"/>
  </cols>
  <sheetData>
    <row r="1" spans="1:16" ht="32" customHeight="1">
      <c r="A1" s="1" t="s">
        <v>0</v>
      </c>
      <c r="B1" s="1" t="s">
        <v>1</v>
      </c>
      <c r="C1" s="1" t="s">
        <v>2</v>
      </c>
      <c r="D1" s="1" t="s">
        <v>44</v>
      </c>
      <c r="E1" s="6" t="s">
        <v>79</v>
      </c>
      <c r="F1" s="6" t="s">
        <v>80</v>
      </c>
      <c r="G1" s="1" t="s">
        <v>83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246</v>
      </c>
      <c r="P1" s="1" t="s">
        <v>126</v>
      </c>
    </row>
    <row r="2" spans="1:16">
      <c r="A2" s="2">
        <f>IF(Participant_Data!A2="","",Participant_Data!A2)</f>
        <v>1</v>
      </c>
      <c r="B2" s="2" t="str">
        <f>IF(Participant_Data!B2="","",Participant_Data!B2)</f>
        <v/>
      </c>
      <c r="C2" s="3" t="str">
        <f>IF(Participant_Data!C2="","",Participant_Data!C2)</f>
        <v/>
      </c>
      <c r="D2" s="2">
        <f>IF(Participant_Data!F2="","",Participant_Data!F2)</f>
        <v>0</v>
      </c>
      <c r="E2" s="2">
        <f>IF(Participant_Data!AO2="","",Participant_Data!AO2)</f>
        <v>8</v>
      </c>
      <c r="F2" s="2">
        <f>IF(Participant_Data!AP2="","",Participant_Data!AP2)</f>
        <v>4</v>
      </c>
      <c r="G2" s="2">
        <f>IF(Participant_Data!AS2="","",Participant_Data!AS2)</f>
        <v>97</v>
      </c>
      <c r="H2" s="4">
        <f t="shared" ref="H2:H65" si="0">IF(OR(D2="",E2="",F2="",G2=""),"", -23.625 + 0.019*E2 - 0.377*F2 + 0.349*G2 - 2.336*D2)</f>
        <v>8.8719999999999963</v>
      </c>
      <c r="I2" s="4">
        <f t="shared" ref="I2:I65" si="1">IF(OR(D2="",E2="",F2="",G2=""),"", -9.655 + 0.039*E2 - 0.507*F2 + 0.189*G2 - 2.489*D2)</f>
        <v>6.961999999999998</v>
      </c>
      <c r="J2" s="4">
        <f t="shared" ref="J2:J65" si="2">IF(H2="","",EXP(H2))</f>
        <v>7129.5257751698282</v>
      </c>
      <c r="K2" s="4">
        <f t="shared" ref="K2:K65" si="3">IF(I2="","",EXP(I2))</f>
        <v>1055.742933029464</v>
      </c>
      <c r="L2" s="4">
        <f t="shared" ref="L2:L65" si="4">IF(OR(J2="",K2=""),"",1+J2+K2)</f>
        <v>8186.2687081992917</v>
      </c>
      <c r="M2" s="25">
        <f t="shared" ref="M2:M65" si="5">IF(L2="","",1/L2)</f>
        <v>1.2215577519443128E-4</v>
      </c>
      <c r="N2" s="25">
        <f t="shared" ref="N2:N65" si="6">IF(L2="","",J2/L2)</f>
        <v>0.87091274783454886</v>
      </c>
      <c r="O2" s="25">
        <f t="shared" ref="O2:O65" si="7">IF(L2="","",K2/L2)</f>
        <v>0.12896509639025672</v>
      </c>
      <c r="P2" s="2" t="str">
        <f t="shared" ref="P2:P65" si="8">IF(OR(M2="",N2="",O2=""),"",IF(M2=MAX(M2:O2),"Under",IF(N2=MAX(M2:O2),"Over","Normal")))</f>
        <v>Over</v>
      </c>
    </row>
    <row r="3" spans="1:16">
      <c r="A3" s="2">
        <f>IF(Participant_Data!A3="","",Participant_Data!A3)</f>
        <v>2</v>
      </c>
      <c r="B3" s="2" t="str">
        <f>IF(Participant_Data!B3="","",Participant_Data!B3)</f>
        <v/>
      </c>
      <c r="C3" s="3" t="str">
        <f>IF(Participant_Data!C3="","",Participant_Data!C3)</f>
        <v/>
      </c>
      <c r="D3" s="2">
        <f>IF(Participant_Data!F3="","",Participant_Data!F3)</f>
        <v>0</v>
      </c>
      <c r="E3" s="2">
        <f>IF(Participant_Data!AO3="","",Participant_Data!AO3)</f>
        <v>12</v>
      </c>
      <c r="F3" s="2">
        <f>IF(Participant_Data!AP3="","",Participant_Data!AP3)</f>
        <v>4</v>
      </c>
      <c r="G3" s="2">
        <f>IF(Participant_Data!AS3="","",Participant_Data!AS3)</f>
        <v>72</v>
      </c>
      <c r="H3" s="4">
        <f t="shared" si="0"/>
        <v>0.22300000000000253</v>
      </c>
      <c r="I3" s="4">
        <f t="shared" si="1"/>
        <v>2.3930000000000007</v>
      </c>
      <c r="J3" s="4">
        <f t="shared" si="2"/>
        <v>1.2498205737359871</v>
      </c>
      <c r="K3" s="4">
        <f t="shared" si="3"/>
        <v>10.946283584741428</v>
      </c>
      <c r="L3" s="4">
        <f t="shared" si="4"/>
        <v>13.196104158477414</v>
      </c>
      <c r="M3" s="25">
        <f t="shared" si="5"/>
        <v>7.5779941412297963E-2</v>
      </c>
      <c r="N3" s="25">
        <f t="shared" si="6"/>
        <v>9.4711329853597731E-2</v>
      </c>
      <c r="O3" s="25">
        <f t="shared" si="7"/>
        <v>0.82950872873410431</v>
      </c>
      <c r="P3" s="2" t="str">
        <f t="shared" si="8"/>
        <v>Normal</v>
      </c>
    </row>
    <row r="4" spans="1:16">
      <c r="A4" s="2">
        <f>IF(Participant_Data!A4="","",Participant_Data!A4)</f>
        <v>3</v>
      </c>
      <c r="B4" s="2" t="str">
        <f>IF(Participant_Data!B4="","",Participant_Data!B4)</f>
        <v/>
      </c>
      <c r="C4" s="3" t="str">
        <f>IF(Participant_Data!C4="","",Participant_Data!C4)</f>
        <v/>
      </c>
      <c r="D4" s="2">
        <f>IF(Participant_Data!F4="","",Participant_Data!F4)</f>
        <v>0</v>
      </c>
      <c r="E4" s="2">
        <f>IF(Participant_Data!AO4="","",Participant_Data!AO4)</f>
        <v>4</v>
      </c>
      <c r="F4" s="2">
        <f>IF(Participant_Data!AP4="","",Participant_Data!AP4)</f>
        <v>6</v>
      </c>
      <c r="G4" s="2">
        <f>IF(Participant_Data!AS4="","",Participant_Data!AS4)</f>
        <v>68</v>
      </c>
      <c r="H4" s="4">
        <f t="shared" si="0"/>
        <v>-2.0790000000000006</v>
      </c>
      <c r="I4" s="4">
        <f t="shared" si="1"/>
        <v>0.31100000000000172</v>
      </c>
      <c r="J4" s="4">
        <f t="shared" si="2"/>
        <v>0.12505520489671393</v>
      </c>
      <c r="K4" s="4">
        <f t="shared" si="3"/>
        <v>1.3647892211861636</v>
      </c>
      <c r="L4" s="4">
        <f t="shared" si="4"/>
        <v>2.4898444260828776</v>
      </c>
      <c r="M4" s="25">
        <f t="shared" si="5"/>
        <v>0.40163151943322012</v>
      </c>
      <c r="N4" s="25">
        <f t="shared" si="6"/>
        <v>5.0226111955699884E-2</v>
      </c>
      <c r="O4" s="25">
        <f t="shared" si="7"/>
        <v>0.54814236861108001</v>
      </c>
      <c r="P4" s="2" t="str">
        <f t="shared" si="8"/>
        <v>Normal</v>
      </c>
    </row>
    <row r="5" spans="1:16">
      <c r="A5" s="2">
        <f>IF(Participant_Data!A5="","",Participant_Data!A5)</f>
        <v>4</v>
      </c>
      <c r="B5" s="2" t="str">
        <f>IF(Participant_Data!B5="","",Participant_Data!B5)</f>
        <v/>
      </c>
      <c r="C5" s="3" t="str">
        <f>IF(Participant_Data!C5="","",Participant_Data!C5)</f>
        <v/>
      </c>
      <c r="D5" s="2">
        <f>IF(Participant_Data!F5="","",Participant_Data!F5)</f>
        <v>0</v>
      </c>
      <c r="E5" s="2">
        <f>IF(Participant_Data!AO5="","",Participant_Data!AO5)</f>
        <v>4</v>
      </c>
      <c r="F5" s="2">
        <f>IF(Participant_Data!AP5="","",Participant_Data!AP5)</f>
        <v>6</v>
      </c>
      <c r="G5" s="2">
        <f>IF(Participant_Data!AS5="","",Participant_Data!AS5)</f>
        <v>59</v>
      </c>
      <c r="H5" s="4">
        <f t="shared" si="0"/>
        <v>-5.2200000000000024</v>
      </c>
      <c r="I5" s="4">
        <f t="shared" si="1"/>
        <v>-1.3899999999999988</v>
      </c>
      <c r="J5" s="4">
        <f t="shared" si="2"/>
        <v>5.4073291264409452E-3</v>
      </c>
      <c r="K5" s="4">
        <f t="shared" si="3"/>
        <v>0.24907530463166849</v>
      </c>
      <c r="L5" s="4">
        <f t="shared" si="4"/>
        <v>1.2544826337581094</v>
      </c>
      <c r="M5" s="25">
        <f t="shared" si="5"/>
        <v>0.79714136576307604</v>
      </c>
      <c r="N5" s="25">
        <f t="shared" si="6"/>
        <v>4.3104057249815954E-3</v>
      </c>
      <c r="O5" s="25">
        <f t="shared" si="7"/>
        <v>0.19854822851194243</v>
      </c>
      <c r="P5" s="2" t="str">
        <f t="shared" si="8"/>
        <v>Under</v>
      </c>
    </row>
    <row r="6" spans="1:16">
      <c r="A6" s="2">
        <f>IF(Participant_Data!A6="","",Participant_Data!A6)</f>
        <v>5</v>
      </c>
      <c r="B6" s="2" t="str">
        <f>IF(Participant_Data!B6="","",Participant_Data!B6)</f>
        <v/>
      </c>
      <c r="C6" s="3" t="str">
        <f>IF(Participant_Data!C6="","",Participant_Data!C6)</f>
        <v/>
      </c>
      <c r="D6" s="2">
        <f>IF(Participant_Data!F6="","",Participant_Data!F6)</f>
        <v>0</v>
      </c>
      <c r="E6" s="2">
        <f>IF(Participant_Data!AO6="","",Participant_Data!AO6)</f>
        <v>8</v>
      </c>
      <c r="F6" s="2">
        <f>IF(Participant_Data!AP6="","",Participant_Data!AP6)</f>
        <v>4</v>
      </c>
      <c r="G6" s="2">
        <f>IF(Participant_Data!AS6="","",Participant_Data!AS6)</f>
        <v>88</v>
      </c>
      <c r="H6" s="4">
        <f t="shared" si="0"/>
        <v>5.7309999999999981</v>
      </c>
      <c r="I6" s="4">
        <f t="shared" si="1"/>
        <v>5.261000000000001</v>
      </c>
      <c r="J6" s="4">
        <f t="shared" si="2"/>
        <v>308.27739168176294</v>
      </c>
      <c r="K6" s="4">
        <f t="shared" si="3"/>
        <v>192.67406906137703</v>
      </c>
      <c r="L6" s="4">
        <f t="shared" si="4"/>
        <v>501.95146074313993</v>
      </c>
      <c r="M6" s="25">
        <f t="shared" si="5"/>
        <v>1.9922245041771539E-3</v>
      </c>
      <c r="N6" s="25">
        <f t="shared" si="6"/>
        <v>0.61415777379222636</v>
      </c>
      <c r="O6" s="25">
        <f t="shared" si="7"/>
        <v>0.38385000170359651</v>
      </c>
      <c r="P6" s="2" t="str">
        <f t="shared" si="8"/>
        <v>Over</v>
      </c>
    </row>
    <row r="7" spans="1:16">
      <c r="A7" s="2">
        <f>IF(Participant_Data!A7="","",Participant_Data!A7)</f>
        <v>6</v>
      </c>
      <c r="B7" s="2" t="str">
        <f>IF(Participant_Data!B7="","",Participant_Data!B7)</f>
        <v/>
      </c>
      <c r="C7" s="3" t="str">
        <f>IF(Participant_Data!C7="","",Participant_Data!C7)</f>
        <v/>
      </c>
      <c r="D7" s="2">
        <f>IF(Participant_Data!F7="","",Participant_Data!F7)</f>
        <v>0</v>
      </c>
      <c r="E7" s="2">
        <f>IF(Participant_Data!AO7="","",Participant_Data!AO7)</f>
        <v>2</v>
      </c>
      <c r="F7" s="2">
        <f>IF(Participant_Data!AP7="","",Participant_Data!AP7)</f>
        <v>4</v>
      </c>
      <c r="G7" s="2">
        <f>IF(Participant_Data!AS7="","",Participant_Data!AS7)</f>
        <v>77</v>
      </c>
      <c r="H7" s="4">
        <f t="shared" si="0"/>
        <v>1.7779999999999987</v>
      </c>
      <c r="I7" s="4">
        <f t="shared" si="1"/>
        <v>2.9480000000000004</v>
      </c>
      <c r="J7" s="4">
        <f t="shared" si="2"/>
        <v>5.9180085575642698</v>
      </c>
      <c r="K7" s="4">
        <f t="shared" si="3"/>
        <v>19.067780007220776</v>
      </c>
      <c r="L7" s="4">
        <f t="shared" si="4"/>
        <v>25.985788564785047</v>
      </c>
      <c r="M7" s="25">
        <f t="shared" si="5"/>
        <v>3.8482572791928356E-2</v>
      </c>
      <c r="N7" s="25">
        <f t="shared" si="6"/>
        <v>0.22774019509972193</v>
      </c>
      <c r="O7" s="25">
        <f t="shared" si="7"/>
        <v>0.73377723210834966</v>
      </c>
      <c r="P7" s="2" t="str">
        <f t="shared" si="8"/>
        <v>Normal</v>
      </c>
    </row>
    <row r="8" spans="1:16">
      <c r="A8" s="2">
        <f>IF(Participant_Data!A8="","",Participant_Data!A8)</f>
        <v>7</v>
      </c>
      <c r="B8" s="2" t="str">
        <f>IF(Participant_Data!B8="","",Participant_Data!B8)</f>
        <v/>
      </c>
      <c r="C8" s="3" t="str">
        <f>IF(Participant_Data!C8="","",Participant_Data!C8)</f>
        <v/>
      </c>
      <c r="D8" s="2">
        <f>IF(Participant_Data!F8="","",Participant_Data!F8)</f>
        <v>0</v>
      </c>
      <c r="E8" s="2">
        <f>IF(Participant_Data!AO8="","",Participant_Data!AO8)</f>
        <v>6</v>
      </c>
      <c r="F8" s="2">
        <f>IF(Participant_Data!AP8="","",Participant_Data!AP8)</f>
        <v>4</v>
      </c>
      <c r="G8" s="2">
        <f>IF(Participant_Data!AS8="","",Participant_Data!AS8)</f>
        <v>94.5</v>
      </c>
      <c r="H8" s="4">
        <f t="shared" si="0"/>
        <v>7.9615000000000009</v>
      </c>
      <c r="I8" s="4">
        <f t="shared" si="1"/>
        <v>6.411500000000002</v>
      </c>
      <c r="J8" s="4">
        <f t="shared" si="2"/>
        <v>2868.3722856289396</v>
      </c>
      <c r="K8" s="4">
        <f t="shared" si="3"/>
        <v>608.80620580552704</v>
      </c>
      <c r="L8" s="4">
        <f t="shared" si="4"/>
        <v>3478.1784914344667</v>
      </c>
      <c r="M8" s="25">
        <f t="shared" si="5"/>
        <v>2.8750680922863769E-4</v>
      </c>
      <c r="N8" s="25">
        <f t="shared" si="6"/>
        <v>0.82467656352103091</v>
      </c>
      <c r="O8" s="25">
        <f t="shared" si="7"/>
        <v>0.17503592966974038</v>
      </c>
      <c r="P8" s="2" t="str">
        <f t="shared" si="8"/>
        <v>Over</v>
      </c>
    </row>
    <row r="9" spans="1:16">
      <c r="A9" s="2">
        <f>IF(Participant_Data!A9="","",Participant_Data!A9)</f>
        <v>8</v>
      </c>
      <c r="B9" s="2" t="str">
        <f>IF(Participant_Data!B9="","",Participant_Data!B9)</f>
        <v/>
      </c>
      <c r="C9" s="3" t="str">
        <f>IF(Participant_Data!C9="","",Participant_Data!C9)</f>
        <v/>
      </c>
      <c r="D9" s="2">
        <f>IF(Participant_Data!F9="","",Participant_Data!F9)</f>
        <v>0</v>
      </c>
      <c r="E9" s="2">
        <f>IF(Participant_Data!AO9="","",Participant_Data!AO9)</f>
        <v>4</v>
      </c>
      <c r="F9" s="2">
        <f>IF(Participant_Data!AP9="","",Participant_Data!AP9)</f>
        <v>6</v>
      </c>
      <c r="G9" s="2">
        <f>IF(Participant_Data!AS9="","",Participant_Data!AS9)</f>
        <v>95.5</v>
      </c>
      <c r="H9" s="4">
        <f t="shared" si="0"/>
        <v>7.518499999999996</v>
      </c>
      <c r="I9" s="4">
        <f t="shared" si="1"/>
        <v>5.5085000000000033</v>
      </c>
      <c r="J9" s="4">
        <f t="shared" si="2"/>
        <v>1841.802517213225</v>
      </c>
      <c r="K9" s="4">
        <f t="shared" si="3"/>
        <v>246.78067828307067</v>
      </c>
      <c r="L9" s="4">
        <f t="shared" si="4"/>
        <v>2089.5831954962955</v>
      </c>
      <c r="M9" s="25">
        <f t="shared" si="5"/>
        <v>4.7856433864672742E-4</v>
      </c>
      <c r="N9" s="25">
        <f t="shared" si="6"/>
        <v>0.88142100356802477</v>
      </c>
      <c r="O9" s="25">
        <f t="shared" si="7"/>
        <v>0.11810043209332853</v>
      </c>
      <c r="P9" s="2" t="str">
        <f t="shared" si="8"/>
        <v>Over</v>
      </c>
    </row>
    <row r="10" spans="1:16">
      <c r="A10" s="2">
        <f>IF(Participant_Data!A10="","",Participant_Data!A10)</f>
        <v>9</v>
      </c>
      <c r="B10" s="2" t="str">
        <f>IF(Participant_Data!B10="","",Participant_Data!B10)</f>
        <v/>
      </c>
      <c r="C10" s="3" t="str">
        <f>IF(Participant_Data!C10="","",Participant_Data!C10)</f>
        <v/>
      </c>
      <c r="D10" s="2">
        <f>IF(Participant_Data!F10="","",Participant_Data!F10)</f>
        <v>0</v>
      </c>
      <c r="E10" s="2">
        <f>IF(Participant_Data!AO10="","",Participant_Data!AO10)</f>
        <v>8</v>
      </c>
      <c r="F10" s="2">
        <f>IF(Participant_Data!AP10="","",Participant_Data!AP10)</f>
        <v>4</v>
      </c>
      <c r="G10" s="2">
        <f>IF(Participant_Data!AS10="","",Participant_Data!AS10)</f>
        <v>80</v>
      </c>
      <c r="H10" s="4">
        <f t="shared" si="0"/>
        <v>2.9390000000000001</v>
      </c>
      <c r="I10" s="4">
        <f t="shared" si="1"/>
        <v>3.7490000000000006</v>
      </c>
      <c r="J10" s="4">
        <f t="shared" si="2"/>
        <v>18.89693992071409</v>
      </c>
      <c r="K10" s="4">
        <f t="shared" si="3"/>
        <v>42.478582171518667</v>
      </c>
      <c r="L10" s="4">
        <f t="shared" si="4"/>
        <v>62.375522092232757</v>
      </c>
      <c r="M10" s="25">
        <f t="shared" si="5"/>
        <v>1.6031929937537531E-2</v>
      </c>
      <c r="N10" s="25">
        <f t="shared" si="6"/>
        <v>0.30295441684274432</v>
      </c>
      <c r="O10" s="25">
        <f t="shared" si="7"/>
        <v>0.68101365321971818</v>
      </c>
      <c r="P10" s="2" t="str">
        <f t="shared" si="8"/>
        <v>Normal</v>
      </c>
    </row>
    <row r="11" spans="1:16">
      <c r="A11" s="2">
        <f>IF(Participant_Data!A11="","",Participant_Data!A11)</f>
        <v>10</v>
      </c>
      <c r="B11" s="2" t="str">
        <f>IF(Participant_Data!B11="","",Participant_Data!B11)</f>
        <v/>
      </c>
      <c r="C11" s="3" t="str">
        <f>IF(Participant_Data!C11="","",Participant_Data!C11)</f>
        <v/>
      </c>
      <c r="D11" s="2">
        <f>IF(Participant_Data!F11="","",Participant_Data!F11)</f>
        <v>0</v>
      </c>
      <c r="E11" s="2">
        <f>IF(Participant_Data!AO11="","",Participant_Data!AO11)</f>
        <v>4</v>
      </c>
      <c r="F11" s="2">
        <f>IF(Participant_Data!AP11="","",Participant_Data!AP11)</f>
        <v>4</v>
      </c>
      <c r="G11" s="2">
        <f>IF(Participant_Data!AS11="","",Participant_Data!AS11)</f>
        <v>79.5</v>
      </c>
      <c r="H11" s="4">
        <f t="shared" si="0"/>
        <v>2.6885000000000012</v>
      </c>
      <c r="I11" s="4">
        <f t="shared" si="1"/>
        <v>3.4985000000000017</v>
      </c>
      <c r="J11" s="4">
        <f t="shared" si="2"/>
        <v>14.709594971413875</v>
      </c>
      <c r="K11" s="4">
        <f t="shared" si="3"/>
        <v>33.065816017017326</v>
      </c>
      <c r="L11" s="4">
        <f t="shared" si="4"/>
        <v>48.775410988431204</v>
      </c>
      <c r="M11" s="25">
        <f t="shared" si="5"/>
        <v>2.0502133754181692E-2</v>
      </c>
      <c r="N11" s="25">
        <f t="shared" si="6"/>
        <v>0.3015780835737657</v>
      </c>
      <c r="O11" s="25">
        <f t="shared" si="7"/>
        <v>0.67791978267205255</v>
      </c>
      <c r="P11" s="2" t="str">
        <f t="shared" si="8"/>
        <v>Normal</v>
      </c>
    </row>
    <row r="12" spans="1:16">
      <c r="A12" s="2">
        <f>IF(Participant_Data!A12="","",Participant_Data!A12)</f>
        <v>11</v>
      </c>
      <c r="B12" s="2" t="str">
        <f>IF(Participant_Data!B12="","",Participant_Data!B12)</f>
        <v/>
      </c>
      <c r="C12" s="3" t="str">
        <f>IF(Participant_Data!C12="","",Participant_Data!C12)</f>
        <v/>
      </c>
      <c r="D12" s="2">
        <f>IF(Participant_Data!F12="","",Participant_Data!F12)</f>
        <v>0</v>
      </c>
      <c r="E12" s="2">
        <f>IF(Participant_Data!AO12="","",Participant_Data!AO12)</f>
        <v>8</v>
      </c>
      <c r="F12" s="2">
        <f>IF(Participant_Data!AP12="","",Participant_Data!AP12)</f>
        <v>4</v>
      </c>
      <c r="G12" s="2">
        <f>IF(Participant_Data!AS12="","",Participant_Data!AS12)</f>
        <v>84</v>
      </c>
      <c r="H12" s="4">
        <f t="shared" si="0"/>
        <v>4.3350000000000009</v>
      </c>
      <c r="I12" s="4">
        <f t="shared" si="1"/>
        <v>4.504999999999999</v>
      </c>
      <c r="J12" s="4">
        <f t="shared" si="2"/>
        <v>76.324958889767771</v>
      </c>
      <c r="K12" s="4">
        <f t="shared" si="3"/>
        <v>90.468344048869028</v>
      </c>
      <c r="L12" s="4">
        <f t="shared" si="4"/>
        <v>167.7933029386368</v>
      </c>
      <c r="M12" s="25">
        <f t="shared" si="5"/>
        <v>5.9597134241150679E-3</v>
      </c>
      <c r="N12" s="25">
        <f t="shared" si="6"/>
        <v>0.45487488209037968</v>
      </c>
      <c r="O12" s="25">
        <f t="shared" si="7"/>
        <v>0.53916540448550521</v>
      </c>
      <c r="P12" s="2" t="str">
        <f t="shared" si="8"/>
        <v>Normal</v>
      </c>
    </row>
    <row r="13" spans="1:16">
      <c r="A13" s="2">
        <f>IF(Participant_Data!A13="","",Participant_Data!A13)</f>
        <v>12</v>
      </c>
      <c r="B13" s="2" t="str">
        <f>IF(Participant_Data!B13="","",Participant_Data!B13)</f>
        <v/>
      </c>
      <c r="C13" s="3" t="str">
        <f>IF(Participant_Data!C13="","",Participant_Data!C13)</f>
        <v/>
      </c>
      <c r="D13" s="2">
        <f>IF(Participant_Data!F13="","",Participant_Data!F13)</f>
        <v>0</v>
      </c>
      <c r="E13" s="2">
        <f>IF(Participant_Data!AO13="","",Participant_Data!AO13)</f>
        <v>10</v>
      </c>
      <c r="F13" s="2">
        <f>IF(Participant_Data!AP13="","",Participant_Data!AP13)</f>
        <v>4</v>
      </c>
      <c r="G13" s="2">
        <f>IF(Participant_Data!AS13="","",Participant_Data!AS13)</f>
        <v>83</v>
      </c>
      <c r="H13" s="4">
        <f t="shared" si="0"/>
        <v>4.0240000000000009</v>
      </c>
      <c r="I13" s="4">
        <f t="shared" si="1"/>
        <v>4.3940000000000001</v>
      </c>
      <c r="J13" s="4">
        <f t="shared" si="2"/>
        <v>55.924356453689214</v>
      </c>
      <c r="K13" s="4">
        <f t="shared" si="3"/>
        <v>80.963626640776084</v>
      </c>
      <c r="L13" s="4">
        <f t="shared" si="4"/>
        <v>137.88798309446531</v>
      </c>
      <c r="M13" s="25">
        <f t="shared" si="5"/>
        <v>7.252263595116281E-3</v>
      </c>
      <c r="N13" s="25">
        <f t="shared" si="6"/>
        <v>0.40557817438939653</v>
      </c>
      <c r="O13" s="25">
        <f t="shared" si="7"/>
        <v>0.58716956201548709</v>
      </c>
      <c r="P13" s="2" t="str">
        <f t="shared" si="8"/>
        <v>Normal</v>
      </c>
    </row>
    <row r="14" spans="1:16">
      <c r="A14" s="2">
        <f>IF(Participant_Data!A14="","",Participant_Data!A14)</f>
        <v>13</v>
      </c>
      <c r="B14" s="2" t="str">
        <f>IF(Participant_Data!B14="","",Participant_Data!B14)</f>
        <v/>
      </c>
      <c r="C14" s="3" t="str">
        <f>IF(Participant_Data!C14="","",Participant_Data!C14)</f>
        <v/>
      </c>
      <c r="D14" s="2">
        <f>IF(Participant_Data!F14="","",Participant_Data!F14)</f>
        <v>0</v>
      </c>
      <c r="E14" s="2">
        <f>IF(Participant_Data!AO14="","",Participant_Data!AO14)</f>
        <v>2</v>
      </c>
      <c r="F14" s="2">
        <f>IF(Participant_Data!AP14="","",Participant_Data!AP14)</f>
        <v>4</v>
      </c>
      <c r="G14" s="2">
        <f>IF(Participant_Data!AS14="","",Participant_Data!AS14)</f>
        <v>64</v>
      </c>
      <c r="H14" s="4">
        <f t="shared" si="0"/>
        <v>-2.7590000000000003</v>
      </c>
      <c r="I14" s="4">
        <f t="shared" si="1"/>
        <v>0.49099999999999966</v>
      </c>
      <c r="J14" s="4">
        <f t="shared" si="2"/>
        <v>6.3355091784435782E-2</v>
      </c>
      <c r="K14" s="4">
        <f t="shared" si="3"/>
        <v>1.6339493526055644</v>
      </c>
      <c r="L14" s="4">
        <f t="shared" si="4"/>
        <v>2.6973044443900003</v>
      </c>
      <c r="M14" s="25">
        <f t="shared" si="5"/>
        <v>0.3707405006060232</v>
      </c>
      <c r="N14" s="25">
        <f t="shared" si="6"/>
        <v>2.348829844410227E-2</v>
      </c>
      <c r="O14" s="25">
        <f t="shared" si="7"/>
        <v>0.60577120094987447</v>
      </c>
      <c r="P14" s="2" t="str">
        <f t="shared" si="8"/>
        <v>Normal</v>
      </c>
    </row>
    <row r="15" spans="1:16">
      <c r="A15" s="2">
        <f>IF(Participant_Data!A15="","",Participant_Data!A15)</f>
        <v>14</v>
      </c>
      <c r="B15" s="2" t="str">
        <f>IF(Participant_Data!B15="","",Participant_Data!B15)</f>
        <v/>
      </c>
      <c r="C15" s="3" t="str">
        <f>IF(Participant_Data!C15="","",Participant_Data!C15)</f>
        <v/>
      </c>
      <c r="D15" s="2">
        <f>IF(Participant_Data!F15="","",Participant_Data!F15)</f>
        <v>0</v>
      </c>
      <c r="E15" s="2">
        <f>IF(Participant_Data!AO15="","",Participant_Data!AO15)</f>
        <v>0</v>
      </c>
      <c r="F15" s="2">
        <f>IF(Participant_Data!AP15="","",Participant_Data!AP15)</f>
        <v>4</v>
      </c>
      <c r="G15" s="2">
        <f>IF(Participant_Data!AS15="","",Participant_Data!AS15)</f>
        <v>59</v>
      </c>
      <c r="H15" s="4">
        <f t="shared" si="0"/>
        <v>-4.5420000000000016</v>
      </c>
      <c r="I15" s="4">
        <f t="shared" si="1"/>
        <v>-0.53200000000000003</v>
      </c>
      <c r="J15" s="4">
        <f t="shared" si="2"/>
        <v>1.0652081073004874E-2</v>
      </c>
      <c r="K15" s="4">
        <f t="shared" si="3"/>
        <v>0.58742893616452341</v>
      </c>
      <c r="L15" s="4">
        <f t="shared" si="4"/>
        <v>1.5980810172375284</v>
      </c>
      <c r="M15" s="25">
        <f t="shared" si="5"/>
        <v>0.62575050276776201</v>
      </c>
      <c r="N15" s="25">
        <f t="shared" si="6"/>
        <v>6.6655450869557622E-3</v>
      </c>
      <c r="O15" s="25">
        <f t="shared" si="7"/>
        <v>0.36758395214528211</v>
      </c>
      <c r="P15" s="2" t="str">
        <f t="shared" si="8"/>
        <v>Under</v>
      </c>
    </row>
    <row r="16" spans="1:16">
      <c r="A16" s="2">
        <f>IF(Participant_Data!A16="","",Participant_Data!A16)</f>
        <v>15</v>
      </c>
      <c r="B16" s="2" t="str">
        <f>IF(Participant_Data!B16="","",Participant_Data!B16)</f>
        <v/>
      </c>
      <c r="C16" s="3" t="str">
        <f>IF(Participant_Data!C16="","",Participant_Data!C16)</f>
        <v/>
      </c>
      <c r="D16" s="2">
        <f>IF(Participant_Data!F16="","",Participant_Data!F16)</f>
        <v>0</v>
      </c>
      <c r="E16" s="2">
        <f>IF(Participant_Data!AO16="","",Participant_Data!AO16)</f>
        <v>8</v>
      </c>
      <c r="F16" s="2">
        <f>IF(Participant_Data!AP16="","",Participant_Data!AP16)</f>
        <v>4</v>
      </c>
      <c r="G16" s="2">
        <f>IF(Participant_Data!AS16="","",Participant_Data!AS16)</f>
        <v>68.5</v>
      </c>
      <c r="H16" s="4">
        <f t="shared" si="0"/>
        <v>-1.0745000000000005</v>
      </c>
      <c r="I16" s="4">
        <f t="shared" si="1"/>
        <v>1.5754999999999999</v>
      </c>
      <c r="J16" s="4">
        <f t="shared" si="2"/>
        <v>0.34146844684797467</v>
      </c>
      <c r="K16" s="4">
        <f t="shared" si="3"/>
        <v>4.8331575928626886</v>
      </c>
      <c r="L16" s="4">
        <f t="shared" si="4"/>
        <v>6.1746260397106632</v>
      </c>
      <c r="M16" s="25">
        <f t="shared" si="5"/>
        <v>0.16195312777951795</v>
      </c>
      <c r="N16" s="25">
        <f t="shared" si="6"/>
        <v>5.530188300504358E-2</v>
      </c>
      <c r="O16" s="25">
        <f t="shared" si="7"/>
        <v>0.78274498921543845</v>
      </c>
      <c r="P16" s="2" t="str">
        <f t="shared" si="8"/>
        <v>Normal</v>
      </c>
    </row>
    <row r="17" spans="1:16">
      <c r="A17" s="2">
        <f>IF(Participant_Data!A17="","",Participant_Data!A17)</f>
        <v>16</v>
      </c>
      <c r="B17" s="2" t="str">
        <f>IF(Participant_Data!B17="","",Participant_Data!B17)</f>
        <v/>
      </c>
      <c r="C17" s="3" t="str">
        <f>IF(Participant_Data!C17="","",Participant_Data!C17)</f>
        <v/>
      </c>
      <c r="D17" s="2">
        <f>IF(Participant_Data!F17="","",Participant_Data!F17)</f>
        <v>0</v>
      </c>
      <c r="E17" s="2">
        <f>IF(Participant_Data!AO17="","",Participant_Data!AO17)</f>
        <v>12</v>
      </c>
      <c r="F17" s="2">
        <f>IF(Participant_Data!AP17="","",Participant_Data!AP17)</f>
        <v>8</v>
      </c>
      <c r="G17" s="2">
        <f>IF(Participant_Data!AS17="","",Participant_Data!AS17)</f>
        <v>85.5</v>
      </c>
      <c r="H17" s="4">
        <f t="shared" si="0"/>
        <v>3.4265000000000008</v>
      </c>
      <c r="I17" s="4">
        <f t="shared" si="1"/>
        <v>2.9165000000000028</v>
      </c>
      <c r="J17" s="4">
        <f t="shared" si="2"/>
        <v>30.768763399043618</v>
      </c>
      <c r="K17" s="4">
        <f t="shared" si="3"/>
        <v>18.476506386646399</v>
      </c>
      <c r="L17" s="4">
        <f t="shared" si="4"/>
        <v>50.245269785690013</v>
      </c>
      <c r="M17" s="25">
        <f t="shared" si="5"/>
        <v>1.9902370994628486E-2</v>
      </c>
      <c r="N17" s="25">
        <f t="shared" si="6"/>
        <v>0.61237134421371231</v>
      </c>
      <c r="O17" s="25">
        <f t="shared" si="7"/>
        <v>0.36772628479165931</v>
      </c>
      <c r="P17" s="2" t="str">
        <f t="shared" si="8"/>
        <v>Over</v>
      </c>
    </row>
    <row r="18" spans="1:16">
      <c r="A18" s="2">
        <f>IF(Participant_Data!A18="","",Participant_Data!A18)</f>
        <v>17</v>
      </c>
      <c r="B18" s="2" t="str">
        <f>IF(Participant_Data!B18="","",Participant_Data!B18)</f>
        <v/>
      </c>
      <c r="C18" s="3" t="str">
        <f>IF(Participant_Data!C18="","",Participant_Data!C18)</f>
        <v/>
      </c>
      <c r="D18" s="2">
        <f>IF(Participant_Data!F18="","",Participant_Data!F18)</f>
        <v>0</v>
      </c>
      <c r="E18" s="2">
        <f>IF(Participant_Data!AO18="","",Participant_Data!AO18)</f>
        <v>8</v>
      </c>
      <c r="F18" s="2">
        <f>IF(Participant_Data!AP18="","",Participant_Data!AP18)</f>
        <v>4</v>
      </c>
      <c r="G18" s="2">
        <f>IF(Participant_Data!AS18="","",Participant_Data!AS18)</f>
        <v>96</v>
      </c>
      <c r="H18" s="4">
        <f t="shared" si="0"/>
        <v>8.5229999999999997</v>
      </c>
      <c r="I18" s="4">
        <f t="shared" si="1"/>
        <v>6.7729999999999979</v>
      </c>
      <c r="J18" s="4">
        <f t="shared" si="2"/>
        <v>5029.1185038873846</v>
      </c>
      <c r="K18" s="4">
        <f t="shared" si="3"/>
        <v>873.92975450011204</v>
      </c>
      <c r="L18" s="4">
        <f t="shared" si="4"/>
        <v>5904.0482583874964</v>
      </c>
      <c r="M18" s="25">
        <f t="shared" si="5"/>
        <v>1.6937530931922264E-4</v>
      </c>
      <c r="N18" s="25">
        <f t="shared" si="6"/>
        <v>0.85180850219895199</v>
      </c>
      <c r="O18" s="25">
        <f t="shared" si="7"/>
        <v>0.1480221224917288</v>
      </c>
      <c r="P18" s="2" t="str">
        <f t="shared" si="8"/>
        <v>Over</v>
      </c>
    </row>
    <row r="19" spans="1:16">
      <c r="A19" s="2">
        <f>IF(Participant_Data!A19="","",Participant_Data!A19)</f>
        <v>18</v>
      </c>
      <c r="B19" s="2" t="str">
        <f>IF(Participant_Data!B19="","",Participant_Data!B19)</f>
        <v/>
      </c>
      <c r="C19" s="3" t="str">
        <f>IF(Participant_Data!C19="","",Participant_Data!C19)</f>
        <v/>
      </c>
      <c r="D19" s="2">
        <f>IF(Participant_Data!F19="","",Participant_Data!F19)</f>
        <v>0</v>
      </c>
      <c r="E19" s="2">
        <f>IF(Participant_Data!AO19="","",Participant_Data!AO19)</f>
        <v>4</v>
      </c>
      <c r="F19" s="2">
        <f>IF(Participant_Data!AP19="","",Participant_Data!AP19)</f>
        <v>4</v>
      </c>
      <c r="G19" s="2">
        <f>IF(Participant_Data!AS19="","",Participant_Data!AS19)</f>
        <v>95</v>
      </c>
      <c r="H19" s="4">
        <f t="shared" si="0"/>
        <v>8.0980000000000025</v>
      </c>
      <c r="I19" s="4">
        <f t="shared" si="1"/>
        <v>6.4280000000000026</v>
      </c>
      <c r="J19" s="4">
        <f t="shared" si="2"/>
        <v>3287.8857236790041</v>
      </c>
      <c r="K19" s="4">
        <f t="shared" si="3"/>
        <v>618.9348396380999</v>
      </c>
      <c r="L19" s="4">
        <f t="shared" si="4"/>
        <v>3907.8205633171037</v>
      </c>
      <c r="M19" s="25">
        <f t="shared" si="5"/>
        <v>2.5589711292965884E-4</v>
      </c>
      <c r="N19" s="25">
        <f t="shared" si="6"/>
        <v>0.84136046433209921</v>
      </c>
      <c r="O19" s="25">
        <f t="shared" si="7"/>
        <v>0.15838363855497115</v>
      </c>
      <c r="P19" s="2" t="str">
        <f t="shared" si="8"/>
        <v>Over</v>
      </c>
    </row>
    <row r="20" spans="1:16">
      <c r="A20" s="2">
        <f>IF(Participant_Data!A20="","",Participant_Data!A20)</f>
        <v>19</v>
      </c>
      <c r="B20" s="2" t="str">
        <f>IF(Participant_Data!B20="","",Participant_Data!B20)</f>
        <v/>
      </c>
      <c r="C20" s="3" t="str">
        <f>IF(Participant_Data!C20="","",Participant_Data!C20)</f>
        <v/>
      </c>
      <c r="D20" s="2">
        <f>IF(Participant_Data!F20="","",Participant_Data!F20)</f>
        <v>0</v>
      </c>
      <c r="E20" s="2">
        <f>IF(Participant_Data!AO20="","",Participant_Data!AO20)</f>
        <v>2</v>
      </c>
      <c r="F20" s="2">
        <f>IF(Participant_Data!AP20="","",Participant_Data!AP20)</f>
        <v>8</v>
      </c>
      <c r="G20" s="2">
        <f>IF(Participant_Data!AS20="","",Participant_Data!AS20)</f>
        <v>93</v>
      </c>
      <c r="H20" s="4">
        <f t="shared" si="0"/>
        <v>5.8539999999999992</v>
      </c>
      <c r="I20" s="4">
        <f t="shared" si="1"/>
        <v>3.9440000000000026</v>
      </c>
      <c r="J20" s="4">
        <f t="shared" si="2"/>
        <v>348.62609958323327</v>
      </c>
      <c r="K20" s="4">
        <f t="shared" si="3"/>
        <v>51.624687603553546</v>
      </c>
      <c r="L20" s="4">
        <f t="shared" si="4"/>
        <v>401.25078718678679</v>
      </c>
      <c r="M20" s="25">
        <f t="shared" si="5"/>
        <v>2.4922069487043489E-3</v>
      </c>
      <c r="N20" s="25">
        <f t="shared" si="6"/>
        <v>0.86884838788102825</v>
      </c>
      <c r="O20" s="25">
        <f t="shared" si="7"/>
        <v>0.12865940517026742</v>
      </c>
      <c r="P20" s="2" t="str">
        <f t="shared" si="8"/>
        <v>Over</v>
      </c>
    </row>
    <row r="21" spans="1:16">
      <c r="A21" s="2">
        <f>IF(Participant_Data!A21="","",Participant_Data!A21)</f>
        <v>20</v>
      </c>
      <c r="B21" s="2" t="str">
        <f>IF(Participant_Data!B21="","",Participant_Data!B21)</f>
        <v/>
      </c>
      <c r="C21" s="3" t="str">
        <f>IF(Participant_Data!C21="","",Participant_Data!C21)</f>
        <v/>
      </c>
      <c r="D21" s="2">
        <f>IF(Participant_Data!F21="","",Participant_Data!F21)</f>
        <v>0</v>
      </c>
      <c r="E21" s="2">
        <f>IF(Participant_Data!AO21="","",Participant_Data!AO21)</f>
        <v>2</v>
      </c>
      <c r="F21" s="2">
        <f>IF(Participant_Data!AP21="","",Participant_Data!AP21)</f>
        <v>6</v>
      </c>
      <c r="G21" s="2">
        <f>IF(Participant_Data!AS21="","",Participant_Data!AS21)</f>
        <v>81.5</v>
      </c>
      <c r="H21" s="4">
        <f t="shared" si="0"/>
        <v>2.5944999999999965</v>
      </c>
      <c r="I21" s="4">
        <f t="shared" si="1"/>
        <v>2.7844999999999995</v>
      </c>
      <c r="J21" s="4">
        <f t="shared" si="2"/>
        <v>13.389890742021453</v>
      </c>
      <c r="K21" s="4">
        <f t="shared" si="3"/>
        <v>16.191719992464048</v>
      </c>
      <c r="L21" s="4">
        <f t="shared" si="4"/>
        <v>30.581610734485501</v>
      </c>
      <c r="M21" s="25">
        <f t="shared" si="5"/>
        <v>3.269938946912123E-2</v>
      </c>
      <c r="N21" s="25">
        <f t="shared" si="6"/>
        <v>0.43784125232234017</v>
      </c>
      <c r="O21" s="25">
        <f t="shared" si="7"/>
        <v>0.52945935820853862</v>
      </c>
      <c r="P21" s="2" t="str">
        <f t="shared" si="8"/>
        <v>Normal</v>
      </c>
    </row>
    <row r="22" spans="1:16">
      <c r="A22" s="2">
        <f>IF(Participant_Data!A22="","",Participant_Data!A22)</f>
        <v>21</v>
      </c>
      <c r="B22" s="2" t="str">
        <f>IF(Participant_Data!B22="","",Participant_Data!B22)</f>
        <v/>
      </c>
      <c r="C22" s="3" t="str">
        <f>IF(Participant_Data!C22="","",Participant_Data!C22)</f>
        <v/>
      </c>
      <c r="D22" s="2">
        <f>IF(Participant_Data!F22="","",Participant_Data!F22)</f>
        <v>0</v>
      </c>
      <c r="E22" s="2">
        <f>IF(Participant_Data!AO22="","",Participant_Data!AO22)</f>
        <v>4</v>
      </c>
      <c r="F22" s="2">
        <f>IF(Participant_Data!AP22="","",Participant_Data!AP22)</f>
        <v>4</v>
      </c>
      <c r="G22" s="2">
        <f>IF(Participant_Data!AS22="","",Participant_Data!AS22)</f>
        <v>96</v>
      </c>
      <c r="H22" s="4">
        <f t="shared" si="0"/>
        <v>8.4469999999999992</v>
      </c>
      <c r="I22" s="4">
        <f t="shared" si="1"/>
        <v>6.6169999999999991</v>
      </c>
      <c r="J22" s="4">
        <f t="shared" si="2"/>
        <v>4661.0685341104991</v>
      </c>
      <c r="K22" s="4">
        <f t="shared" si="3"/>
        <v>747.69863320125967</v>
      </c>
      <c r="L22" s="4">
        <f t="shared" si="4"/>
        <v>5409.7671673117584</v>
      </c>
      <c r="M22" s="25">
        <f t="shared" si="5"/>
        <v>1.848508390605882E-4</v>
      </c>
      <c r="N22" s="25">
        <f t="shared" si="6"/>
        <v>0.8616024294492316</v>
      </c>
      <c r="O22" s="25">
        <f t="shared" si="7"/>
        <v>0.13821271971170782</v>
      </c>
      <c r="P22" s="2" t="str">
        <f t="shared" si="8"/>
        <v>Over</v>
      </c>
    </row>
    <row r="23" spans="1:16">
      <c r="A23" s="2">
        <f>IF(Participant_Data!A23="","",Participant_Data!A23)</f>
        <v>22</v>
      </c>
      <c r="B23" s="2" t="str">
        <f>IF(Participant_Data!B23="","",Participant_Data!B23)</f>
        <v/>
      </c>
      <c r="C23" s="3" t="str">
        <f>IF(Participant_Data!C23="","",Participant_Data!C23)</f>
        <v/>
      </c>
      <c r="D23" s="2">
        <f>IF(Participant_Data!F23="","",Participant_Data!F23)</f>
        <v>0</v>
      </c>
      <c r="E23" s="2">
        <f>IF(Participant_Data!AO23="","",Participant_Data!AO23)</f>
        <v>8</v>
      </c>
      <c r="F23" s="2">
        <f>IF(Participant_Data!AP23="","",Participant_Data!AP23)</f>
        <v>4</v>
      </c>
      <c r="G23" s="2">
        <f>IF(Participant_Data!AS23="","",Participant_Data!AS23)</f>
        <v>81.5</v>
      </c>
      <c r="H23" s="4">
        <f t="shared" si="0"/>
        <v>3.4624999999999986</v>
      </c>
      <c r="I23" s="4">
        <f t="shared" si="1"/>
        <v>4.0324999999999989</v>
      </c>
      <c r="J23" s="4">
        <f t="shared" si="2"/>
        <v>31.896618466914443</v>
      </c>
      <c r="K23" s="4">
        <f t="shared" si="3"/>
        <v>56.401739487197645</v>
      </c>
      <c r="L23" s="4">
        <f t="shared" si="4"/>
        <v>89.298357954112092</v>
      </c>
      <c r="M23" s="25">
        <f t="shared" si="5"/>
        <v>1.1198414202799472E-2</v>
      </c>
      <c r="N23" s="25">
        <f t="shared" si="6"/>
        <v>0.35719154526117058</v>
      </c>
      <c r="O23" s="25">
        <f t="shared" si="7"/>
        <v>0.63161004053602987</v>
      </c>
      <c r="P23" s="2" t="str">
        <f t="shared" si="8"/>
        <v>Normal</v>
      </c>
    </row>
    <row r="24" spans="1:16">
      <c r="A24" s="2">
        <f>IF(Participant_Data!A24="","",Participant_Data!A24)</f>
        <v>23</v>
      </c>
      <c r="B24" s="2" t="str">
        <f>IF(Participant_Data!B24="","",Participant_Data!B24)</f>
        <v/>
      </c>
      <c r="C24" s="3" t="str">
        <f>IF(Participant_Data!C24="","",Participant_Data!C24)</f>
        <v/>
      </c>
      <c r="D24" s="2">
        <f>IF(Participant_Data!F24="","",Participant_Data!F24)</f>
        <v>0</v>
      </c>
      <c r="E24" s="2">
        <f>IF(Participant_Data!AO24="","",Participant_Data!AO24)</f>
        <v>6</v>
      </c>
      <c r="F24" s="2">
        <f>IF(Participant_Data!AP24="","",Participant_Data!AP24)</f>
        <v>4</v>
      </c>
      <c r="G24" s="2">
        <f>IF(Participant_Data!AS24="","",Participant_Data!AS24)</f>
        <v>77.5</v>
      </c>
      <c r="H24" s="4">
        <f t="shared" si="0"/>
        <v>2.0285000000000011</v>
      </c>
      <c r="I24" s="4">
        <f t="shared" si="1"/>
        <v>3.198500000000001</v>
      </c>
      <c r="J24" s="4">
        <f t="shared" si="2"/>
        <v>7.602673790807648</v>
      </c>
      <c r="K24" s="4">
        <f t="shared" si="3"/>
        <v>24.495758987115806</v>
      </c>
      <c r="L24" s="4">
        <f t="shared" si="4"/>
        <v>33.098432777923456</v>
      </c>
      <c r="M24" s="25">
        <f t="shared" si="5"/>
        <v>3.0212910886433169E-2</v>
      </c>
      <c r="N24" s="25">
        <f t="shared" si="6"/>
        <v>0.2296989057402925</v>
      </c>
      <c r="O24" s="25">
        <f t="shared" si="7"/>
        <v>0.74008818337327431</v>
      </c>
      <c r="P24" s="2" t="str">
        <f t="shared" si="8"/>
        <v>Normal</v>
      </c>
    </row>
    <row r="25" spans="1:16">
      <c r="A25" s="2">
        <f>IF(Participant_Data!A25="","",Participant_Data!A25)</f>
        <v>24</v>
      </c>
      <c r="B25" s="2" t="str">
        <f>IF(Participant_Data!B25="","",Participant_Data!B25)</f>
        <v/>
      </c>
      <c r="C25" s="3" t="str">
        <f>IF(Participant_Data!C25="","",Participant_Data!C25)</f>
        <v/>
      </c>
      <c r="D25" s="2">
        <f>IF(Participant_Data!F25="","",Participant_Data!F25)</f>
        <v>0</v>
      </c>
      <c r="E25" s="2">
        <f>IF(Participant_Data!AO25="","",Participant_Data!AO25)</f>
        <v>4</v>
      </c>
      <c r="F25" s="2">
        <f>IF(Participant_Data!AP25="","",Participant_Data!AP25)</f>
        <v>4</v>
      </c>
      <c r="G25" s="2">
        <f>IF(Participant_Data!AS25="","",Participant_Data!AS25)</f>
        <v>88</v>
      </c>
      <c r="H25" s="4">
        <f t="shared" si="0"/>
        <v>5.6549999999999976</v>
      </c>
      <c r="I25" s="4">
        <f t="shared" si="1"/>
        <v>5.1050000000000022</v>
      </c>
      <c r="J25" s="4">
        <f t="shared" si="2"/>
        <v>285.71648272651225</v>
      </c>
      <c r="K25" s="4">
        <f t="shared" si="3"/>
        <v>164.84407053164162</v>
      </c>
      <c r="L25" s="4">
        <f t="shared" si="4"/>
        <v>451.56055325815385</v>
      </c>
      <c r="M25" s="25">
        <f t="shared" si="5"/>
        <v>2.2145424191388732E-3</v>
      </c>
      <c r="N25" s="25">
        <f t="shared" si="6"/>
        <v>0.63273127084502057</v>
      </c>
      <c r="O25" s="25">
        <f t="shared" si="7"/>
        <v>0.36505418673584067</v>
      </c>
      <c r="P25" s="2" t="str">
        <f t="shared" si="8"/>
        <v>Over</v>
      </c>
    </row>
    <row r="26" spans="1:16">
      <c r="A26" s="2">
        <f>IF(Participant_Data!A26="","",Participant_Data!A26)</f>
        <v>25</v>
      </c>
      <c r="B26" s="2" t="str">
        <f>IF(Participant_Data!B26="","",Participant_Data!B26)</f>
        <v/>
      </c>
      <c r="C26" s="3" t="str">
        <f>IF(Participant_Data!C26="","",Participant_Data!C26)</f>
        <v/>
      </c>
      <c r="D26" s="2">
        <f>IF(Participant_Data!F26="","",Participant_Data!F26)</f>
        <v>0</v>
      </c>
      <c r="E26" s="2">
        <f>IF(Participant_Data!AO26="","",Participant_Data!AO26)</f>
        <v>10</v>
      </c>
      <c r="F26" s="2">
        <f>IF(Participant_Data!AP26="","",Participant_Data!AP26)</f>
        <v>6</v>
      </c>
      <c r="G26" s="2">
        <f>IF(Participant_Data!AS26="","",Participant_Data!AS26)</f>
        <v>98</v>
      </c>
      <c r="H26" s="4">
        <f t="shared" si="0"/>
        <v>8.504999999999999</v>
      </c>
      <c r="I26" s="4">
        <f t="shared" si="1"/>
        <v>6.2149999999999999</v>
      </c>
      <c r="J26" s="4">
        <f t="shared" si="2"/>
        <v>4939.4042216302632</v>
      </c>
      <c r="K26" s="4">
        <f t="shared" si="3"/>
        <v>500.19598919063213</v>
      </c>
      <c r="L26" s="4">
        <f t="shared" si="4"/>
        <v>5440.600210820895</v>
      </c>
      <c r="M26" s="25">
        <f t="shared" si="5"/>
        <v>1.8380324987141754E-4</v>
      </c>
      <c r="N26" s="25">
        <f t="shared" si="6"/>
        <v>0.90787854836424198</v>
      </c>
      <c r="O26" s="25">
        <f t="shared" si="7"/>
        <v>9.1937648385886639E-2</v>
      </c>
      <c r="P26" s="2" t="str">
        <f t="shared" si="8"/>
        <v>Over</v>
      </c>
    </row>
    <row r="27" spans="1:16">
      <c r="A27" s="2">
        <f>IF(Participant_Data!A27="","",Participant_Data!A27)</f>
        <v>26</v>
      </c>
      <c r="B27" s="2" t="str">
        <f>IF(Participant_Data!B27="","",Participant_Data!B27)</f>
        <v/>
      </c>
      <c r="C27" s="3" t="str">
        <f>IF(Participant_Data!C27="","",Participant_Data!C27)</f>
        <v/>
      </c>
      <c r="D27" s="2">
        <f>IF(Participant_Data!F27="","",Participant_Data!F27)</f>
        <v>0</v>
      </c>
      <c r="E27" s="2">
        <f>IF(Participant_Data!AO27="","",Participant_Data!AO27)</f>
        <v>2</v>
      </c>
      <c r="F27" s="2">
        <f>IF(Participant_Data!AP27="","",Participant_Data!AP27)</f>
        <v>4</v>
      </c>
      <c r="G27" s="2">
        <f>IF(Participant_Data!AS27="","",Participant_Data!AS27)</f>
        <v>76</v>
      </c>
      <c r="H27" s="4">
        <f t="shared" si="0"/>
        <v>1.4289999999999985</v>
      </c>
      <c r="I27" s="4">
        <f t="shared" si="1"/>
        <v>2.7590000000000003</v>
      </c>
      <c r="J27" s="4">
        <f t="shared" si="2"/>
        <v>4.1745225813846369</v>
      </c>
      <c r="K27" s="4">
        <f t="shared" si="3"/>
        <v>15.784051002600968</v>
      </c>
      <c r="L27" s="4">
        <f t="shared" si="4"/>
        <v>20.958573583985604</v>
      </c>
      <c r="M27" s="25">
        <f t="shared" si="5"/>
        <v>4.771317074574663E-2</v>
      </c>
      <c r="N27" s="25">
        <f t="shared" si="6"/>
        <v>0.19917970870758017</v>
      </c>
      <c r="O27" s="25">
        <f t="shared" si="7"/>
        <v>0.75310712054667328</v>
      </c>
      <c r="P27" s="2" t="str">
        <f t="shared" si="8"/>
        <v>Normal</v>
      </c>
    </row>
    <row r="28" spans="1:16">
      <c r="A28" s="2">
        <f>IF(Participant_Data!A28="","",Participant_Data!A28)</f>
        <v>27</v>
      </c>
      <c r="B28" s="2" t="str">
        <f>IF(Participant_Data!B28="","",Participant_Data!B28)</f>
        <v/>
      </c>
      <c r="C28" s="3" t="str">
        <f>IF(Participant_Data!C28="","",Participant_Data!C28)</f>
        <v/>
      </c>
      <c r="D28" s="2">
        <f>IF(Participant_Data!F28="","",Participant_Data!F28)</f>
        <v>0</v>
      </c>
      <c r="E28" s="2">
        <f>IF(Participant_Data!AO28="","",Participant_Data!AO28)</f>
        <v>4</v>
      </c>
      <c r="F28" s="2">
        <f>IF(Participant_Data!AP28="","",Participant_Data!AP28)</f>
        <v>4</v>
      </c>
      <c r="G28" s="2">
        <f>IF(Participant_Data!AS28="","",Participant_Data!AS28)</f>
        <v>99.5</v>
      </c>
      <c r="H28" s="4">
        <f t="shared" si="0"/>
        <v>9.6684999999999981</v>
      </c>
      <c r="I28" s="4">
        <f t="shared" si="1"/>
        <v>7.2784999999999993</v>
      </c>
      <c r="J28" s="4">
        <f t="shared" si="2"/>
        <v>15811.613805841371</v>
      </c>
      <c r="K28" s="4">
        <f t="shared" si="3"/>
        <v>1448.8131746224381</v>
      </c>
      <c r="L28" s="4">
        <f t="shared" si="4"/>
        <v>17261.42698046381</v>
      </c>
      <c r="M28" s="25">
        <f t="shared" si="5"/>
        <v>5.7932637963928654E-5</v>
      </c>
      <c r="N28" s="25">
        <f t="shared" si="6"/>
        <v>0.91600849823926422</v>
      </c>
      <c r="O28" s="25">
        <f t="shared" si="7"/>
        <v>8.3933569122771848E-2</v>
      </c>
      <c r="P28" s="2" t="str">
        <f t="shared" si="8"/>
        <v>Over</v>
      </c>
    </row>
    <row r="29" spans="1:16">
      <c r="A29" s="2">
        <f>IF(Participant_Data!A29="","",Participant_Data!A29)</f>
        <v>28</v>
      </c>
      <c r="B29" s="2" t="str">
        <f>IF(Participant_Data!B29="","",Participant_Data!B29)</f>
        <v/>
      </c>
      <c r="C29" s="3" t="str">
        <f>IF(Participant_Data!C29="","",Participant_Data!C29)</f>
        <v/>
      </c>
      <c r="D29" s="2">
        <f>IF(Participant_Data!F29="","",Participant_Data!F29)</f>
        <v>0</v>
      </c>
      <c r="E29" s="2">
        <f>IF(Participant_Data!AO29="","",Participant_Data!AO29)</f>
        <v>10</v>
      </c>
      <c r="F29" s="2">
        <f>IF(Participant_Data!AP29="","",Participant_Data!AP29)</f>
        <v>8</v>
      </c>
      <c r="G29" s="2">
        <f>IF(Participant_Data!AS29="","",Participant_Data!AS29)</f>
        <v>95</v>
      </c>
      <c r="H29" s="4">
        <f t="shared" si="0"/>
        <v>6.7040000000000006</v>
      </c>
      <c r="I29" s="4">
        <f t="shared" si="1"/>
        <v>4.6340000000000039</v>
      </c>
      <c r="J29" s="4">
        <f t="shared" si="2"/>
        <v>815.66195638914985</v>
      </c>
      <c r="K29" s="4">
        <f t="shared" si="3"/>
        <v>102.92494157402643</v>
      </c>
      <c r="L29" s="4">
        <f t="shared" si="4"/>
        <v>919.58689796317628</v>
      </c>
      <c r="M29" s="25">
        <f t="shared" si="5"/>
        <v>1.0874448105066888E-3</v>
      </c>
      <c r="N29" s="25">
        <f t="shared" si="6"/>
        <v>0.88698736160311409</v>
      </c>
      <c r="O29" s="25">
        <f t="shared" si="7"/>
        <v>0.11192519358637919</v>
      </c>
      <c r="P29" s="2" t="str">
        <f t="shared" si="8"/>
        <v>Over</v>
      </c>
    </row>
    <row r="30" spans="1:16">
      <c r="A30" s="2">
        <f>IF(Participant_Data!A30="","",Participant_Data!A30)</f>
        <v>29</v>
      </c>
      <c r="B30" s="2" t="str">
        <f>IF(Participant_Data!B30="","",Participant_Data!B30)</f>
        <v/>
      </c>
      <c r="C30" s="3" t="str">
        <f>IF(Participant_Data!C30="","",Participant_Data!C30)</f>
        <v/>
      </c>
      <c r="D30" s="2">
        <f>IF(Participant_Data!F30="","",Participant_Data!F30)</f>
        <v>0</v>
      </c>
      <c r="E30" s="2">
        <f>IF(Participant_Data!AO30="","",Participant_Data!AO30)</f>
        <v>8</v>
      </c>
      <c r="F30" s="2">
        <f>IF(Participant_Data!AP30="","",Participant_Data!AP30)</f>
        <v>8</v>
      </c>
      <c r="G30" s="2">
        <f>IF(Participant_Data!AS30="","",Participant_Data!AS30)</f>
        <v>108</v>
      </c>
      <c r="H30" s="4">
        <f t="shared" si="0"/>
        <v>11.203000000000003</v>
      </c>
      <c r="I30" s="4">
        <f t="shared" si="1"/>
        <v>7.0129999999999981</v>
      </c>
      <c r="J30" s="4">
        <f t="shared" si="2"/>
        <v>73350.162575238166</v>
      </c>
      <c r="K30" s="4">
        <f t="shared" si="3"/>
        <v>1110.9824578488615</v>
      </c>
      <c r="L30" s="4">
        <f t="shared" si="4"/>
        <v>74462.145033087028</v>
      </c>
      <c r="M30" s="25">
        <f t="shared" si="5"/>
        <v>1.3429642666829609E-5</v>
      </c>
      <c r="N30" s="25">
        <f t="shared" si="6"/>
        <v>0.98506647293930683</v>
      </c>
      <c r="O30" s="25">
        <f t="shared" si="7"/>
        <v>1.4920097418026298E-2</v>
      </c>
      <c r="P30" s="2" t="str">
        <f t="shared" si="8"/>
        <v>Over</v>
      </c>
    </row>
    <row r="31" spans="1:16">
      <c r="A31" s="2">
        <f>IF(Participant_Data!A31="","",Participant_Data!A31)</f>
        <v>30</v>
      </c>
      <c r="B31" s="2" t="str">
        <f>IF(Participant_Data!B31="","",Participant_Data!B31)</f>
        <v/>
      </c>
      <c r="C31" s="3" t="str">
        <f>IF(Participant_Data!C31="","",Participant_Data!C31)</f>
        <v/>
      </c>
      <c r="D31" s="2">
        <f>IF(Participant_Data!F31="","",Participant_Data!F31)</f>
        <v>0</v>
      </c>
      <c r="E31" s="2">
        <f>IF(Participant_Data!AO31="","",Participant_Data!AO31)</f>
        <v>8</v>
      </c>
      <c r="F31" s="2">
        <f>IF(Participant_Data!AP31="","",Participant_Data!AP31)</f>
        <v>4</v>
      </c>
      <c r="G31" s="2">
        <f>IF(Participant_Data!AS31="","",Participant_Data!AS31)</f>
        <v>99</v>
      </c>
      <c r="H31" s="4">
        <f t="shared" si="0"/>
        <v>9.5699999999999967</v>
      </c>
      <c r="I31" s="4">
        <f t="shared" si="1"/>
        <v>7.3399999999999981</v>
      </c>
      <c r="J31" s="4">
        <f t="shared" si="2"/>
        <v>14328.416324133766</v>
      </c>
      <c r="K31" s="4">
        <f t="shared" si="3"/>
        <v>1540.7121136662038</v>
      </c>
      <c r="L31" s="4">
        <f t="shared" si="4"/>
        <v>15870.128437799971</v>
      </c>
      <c r="M31" s="25">
        <f t="shared" si="5"/>
        <v>6.3011462315463592E-5</v>
      </c>
      <c r="N31" s="25">
        <f t="shared" si="6"/>
        <v>0.90285446524842827</v>
      </c>
      <c r="O31" s="25">
        <f t="shared" si="7"/>
        <v>9.7082523289256262E-2</v>
      </c>
      <c r="P31" s="2" t="str">
        <f t="shared" si="8"/>
        <v>Over</v>
      </c>
    </row>
    <row r="32" spans="1:16">
      <c r="A32" s="2">
        <f>IF(Participant_Data!A32="","",Participant_Data!A32)</f>
        <v>31</v>
      </c>
      <c r="B32" s="2" t="str">
        <f>IF(Participant_Data!B32="","",Participant_Data!B32)</f>
        <v/>
      </c>
      <c r="C32" s="3" t="str">
        <f>IF(Participant_Data!C32="","",Participant_Data!C32)</f>
        <v/>
      </c>
      <c r="D32" s="2">
        <f>IF(Participant_Data!F32="","",Participant_Data!F32)</f>
        <v>0</v>
      </c>
      <c r="E32" s="2">
        <f>IF(Participant_Data!AO32="","",Participant_Data!AO32)</f>
        <v>2</v>
      </c>
      <c r="F32" s="2">
        <f>IF(Participant_Data!AP32="","",Participant_Data!AP32)</f>
        <v>4</v>
      </c>
      <c r="G32" s="2">
        <f>IF(Participant_Data!AS32="","",Participant_Data!AS32)</f>
        <v>71</v>
      </c>
      <c r="H32" s="4">
        <f t="shared" si="0"/>
        <v>-0.31599999999999895</v>
      </c>
      <c r="I32" s="4">
        <f t="shared" si="1"/>
        <v>1.8140000000000001</v>
      </c>
      <c r="J32" s="4">
        <f t="shared" si="2"/>
        <v>0.72905945016762452</v>
      </c>
      <c r="K32" s="4">
        <f t="shared" si="3"/>
        <v>6.1349381707823269</v>
      </c>
      <c r="L32" s="4">
        <f t="shared" si="4"/>
        <v>7.8639976209499514</v>
      </c>
      <c r="M32" s="25">
        <f t="shared" si="5"/>
        <v>0.12716178821519056</v>
      </c>
      <c r="N32" s="25">
        <f t="shared" si="6"/>
        <v>9.2708503398498732E-2</v>
      </c>
      <c r="O32" s="25">
        <f t="shared" si="7"/>
        <v>0.78012970838631068</v>
      </c>
      <c r="P32" s="2" t="str">
        <f t="shared" si="8"/>
        <v>Normal</v>
      </c>
    </row>
    <row r="33" spans="1:16">
      <c r="A33" s="2">
        <f>IF(Participant_Data!A33="","",Participant_Data!A33)</f>
        <v>32</v>
      </c>
      <c r="B33" s="2" t="str">
        <f>IF(Participant_Data!B33="","",Participant_Data!B33)</f>
        <v/>
      </c>
      <c r="C33" s="3" t="str">
        <f>IF(Participant_Data!C33="","",Participant_Data!C33)</f>
        <v/>
      </c>
      <c r="D33" s="2">
        <f>IF(Participant_Data!F33="","",Participant_Data!F33)</f>
        <v>0</v>
      </c>
      <c r="E33" s="2">
        <f>IF(Participant_Data!AO33="","",Participant_Data!AO33)</f>
        <v>10</v>
      </c>
      <c r="F33" s="2">
        <f>IF(Participant_Data!AP33="","",Participant_Data!AP33)</f>
        <v>6</v>
      </c>
      <c r="G33" s="2">
        <f>IF(Participant_Data!AS33="","",Participant_Data!AS33)</f>
        <v>101</v>
      </c>
      <c r="H33" s="4">
        <f t="shared" si="0"/>
        <v>9.551999999999996</v>
      </c>
      <c r="I33" s="4">
        <f t="shared" si="1"/>
        <v>6.782</v>
      </c>
      <c r="J33" s="4">
        <f t="shared" si="2"/>
        <v>14072.81216897074</v>
      </c>
      <c r="K33" s="4">
        <f t="shared" si="3"/>
        <v>881.83062286747861</v>
      </c>
      <c r="L33" s="4">
        <f t="shared" si="4"/>
        <v>14955.64279183822</v>
      </c>
      <c r="M33" s="25">
        <f t="shared" si="5"/>
        <v>6.6864394524435448E-5</v>
      </c>
      <c r="N33" s="25">
        <f t="shared" si="6"/>
        <v>0.94097006493433577</v>
      </c>
      <c r="O33" s="25">
        <f t="shared" si="7"/>
        <v>5.896307067113974E-2</v>
      </c>
      <c r="P33" s="2" t="str">
        <f t="shared" si="8"/>
        <v>Over</v>
      </c>
    </row>
    <row r="34" spans="1:16">
      <c r="A34" s="2">
        <f>IF(Participant_Data!A34="","",Participant_Data!A34)</f>
        <v>33</v>
      </c>
      <c r="B34" s="2" t="str">
        <f>IF(Participant_Data!B34="","",Participant_Data!B34)</f>
        <v/>
      </c>
      <c r="C34" s="3" t="str">
        <f>IF(Participant_Data!C34="","",Participant_Data!C34)</f>
        <v/>
      </c>
      <c r="D34" s="2">
        <f>IF(Participant_Data!F34="","",Participant_Data!F34)</f>
        <v>0</v>
      </c>
      <c r="E34" s="2">
        <f>IF(Participant_Data!AO34="","",Participant_Data!AO34)</f>
        <v>8</v>
      </c>
      <c r="F34" s="2">
        <f>IF(Participant_Data!AP34="","",Participant_Data!AP34)</f>
        <v>8</v>
      </c>
      <c r="G34" s="2">
        <f>IF(Participant_Data!AS34="","",Participant_Data!AS34)</f>
        <v>86.5</v>
      </c>
      <c r="H34" s="4">
        <f t="shared" si="0"/>
        <v>3.6995000000000005</v>
      </c>
      <c r="I34" s="4">
        <f t="shared" si="1"/>
        <v>2.9495000000000005</v>
      </c>
      <c r="J34" s="4">
        <f t="shared" si="2"/>
        <v>40.427085762957873</v>
      </c>
      <c r="K34" s="4">
        <f t="shared" si="3"/>
        <v>19.096403139213766</v>
      </c>
      <c r="L34" s="4">
        <f t="shared" si="4"/>
        <v>60.523488902171636</v>
      </c>
      <c r="M34" s="25">
        <f t="shared" si="5"/>
        <v>1.6522510815864734E-2</v>
      </c>
      <c r="N34" s="25">
        <f t="shared" si="6"/>
        <v>0.66795696177236263</v>
      </c>
      <c r="O34" s="25">
        <f t="shared" si="7"/>
        <v>0.31552052741177272</v>
      </c>
      <c r="P34" s="2" t="str">
        <f t="shared" si="8"/>
        <v>Over</v>
      </c>
    </row>
    <row r="35" spans="1:16">
      <c r="A35" s="2">
        <f>IF(Participant_Data!A35="","",Participant_Data!A35)</f>
        <v>34</v>
      </c>
      <c r="B35" s="2" t="str">
        <f>IF(Participant_Data!B35="","",Participant_Data!B35)</f>
        <v/>
      </c>
      <c r="C35" s="3" t="str">
        <f>IF(Participant_Data!C35="","",Participant_Data!C35)</f>
        <v/>
      </c>
      <c r="D35" s="2">
        <f>IF(Participant_Data!F35="","",Participant_Data!F35)</f>
        <v>0</v>
      </c>
      <c r="E35" s="2">
        <f>IF(Participant_Data!AO35="","",Participant_Data!AO35)</f>
        <v>8</v>
      </c>
      <c r="F35" s="2">
        <f>IF(Participant_Data!AP35="","",Participant_Data!AP35)</f>
        <v>4</v>
      </c>
      <c r="G35" s="2">
        <f>IF(Participant_Data!AS35="","",Participant_Data!AS35)</f>
        <v>84</v>
      </c>
      <c r="H35" s="4">
        <f t="shared" si="0"/>
        <v>4.3350000000000009</v>
      </c>
      <c r="I35" s="4">
        <f t="shared" si="1"/>
        <v>4.504999999999999</v>
      </c>
      <c r="J35" s="4">
        <f t="shared" si="2"/>
        <v>76.324958889767771</v>
      </c>
      <c r="K35" s="4">
        <f t="shared" si="3"/>
        <v>90.468344048869028</v>
      </c>
      <c r="L35" s="4">
        <f t="shared" si="4"/>
        <v>167.7933029386368</v>
      </c>
      <c r="M35" s="25">
        <f t="shared" si="5"/>
        <v>5.9597134241150679E-3</v>
      </c>
      <c r="N35" s="25">
        <f t="shared" si="6"/>
        <v>0.45487488209037968</v>
      </c>
      <c r="O35" s="25">
        <f t="shared" si="7"/>
        <v>0.53916540448550521</v>
      </c>
      <c r="P35" s="2" t="str">
        <f t="shared" si="8"/>
        <v>Normal</v>
      </c>
    </row>
    <row r="36" spans="1:16">
      <c r="A36" s="2">
        <f>IF(Participant_Data!A36="","",Participant_Data!A36)</f>
        <v>35</v>
      </c>
      <c r="B36" s="2" t="str">
        <f>IF(Participant_Data!B36="","",Participant_Data!B36)</f>
        <v/>
      </c>
      <c r="C36" s="3" t="str">
        <f>IF(Participant_Data!C36="","",Participant_Data!C36)</f>
        <v/>
      </c>
      <c r="D36" s="2">
        <f>IF(Participant_Data!F36="","",Participant_Data!F36)</f>
        <v>0</v>
      </c>
      <c r="E36" s="2">
        <f>IF(Participant_Data!AO36="","",Participant_Data!AO36)</f>
        <v>4</v>
      </c>
      <c r="F36" s="2">
        <f>IF(Participant_Data!AP36="","",Participant_Data!AP36)</f>
        <v>6</v>
      </c>
      <c r="G36" s="2">
        <f>IF(Participant_Data!AS36="","",Participant_Data!AS36)</f>
        <v>85</v>
      </c>
      <c r="H36" s="4">
        <f t="shared" si="0"/>
        <v>3.8539999999999992</v>
      </c>
      <c r="I36" s="4">
        <f t="shared" si="1"/>
        <v>3.5240000000000027</v>
      </c>
      <c r="J36" s="4">
        <f t="shared" si="2"/>
        <v>47.181411930772413</v>
      </c>
      <c r="K36" s="4">
        <f t="shared" si="3"/>
        <v>33.919836813860648</v>
      </c>
      <c r="L36" s="4">
        <f t="shared" si="4"/>
        <v>82.101248744633068</v>
      </c>
      <c r="M36" s="25">
        <f t="shared" si="5"/>
        <v>1.2180082706298298E-2</v>
      </c>
      <c r="N36" s="25">
        <f t="shared" si="6"/>
        <v>0.57467349951673719</v>
      </c>
      <c r="O36" s="25">
        <f t="shared" si="7"/>
        <v>0.41314641777696443</v>
      </c>
      <c r="P36" s="2" t="str">
        <f t="shared" si="8"/>
        <v>Over</v>
      </c>
    </row>
    <row r="37" spans="1:16">
      <c r="A37" s="2">
        <f>IF(Participant_Data!A37="","",Participant_Data!A37)</f>
        <v>36</v>
      </c>
      <c r="B37" s="2" t="str">
        <f>IF(Participant_Data!B37="","",Participant_Data!B37)</f>
        <v/>
      </c>
      <c r="C37" s="3" t="str">
        <f>IF(Participant_Data!C37="","",Participant_Data!C37)</f>
        <v/>
      </c>
      <c r="D37" s="2">
        <f>IF(Participant_Data!F37="","",Participant_Data!F37)</f>
        <v>0</v>
      </c>
      <c r="E37" s="2">
        <f>IF(Participant_Data!AO37="","",Participant_Data!AO37)</f>
        <v>4</v>
      </c>
      <c r="F37" s="2">
        <f>IF(Participant_Data!AP37="","",Participant_Data!AP37)</f>
        <v>4</v>
      </c>
      <c r="G37" s="2">
        <f>IF(Participant_Data!AS37="","",Participant_Data!AS37)</f>
        <v>91</v>
      </c>
      <c r="H37" s="4">
        <f t="shared" si="0"/>
        <v>6.7019999999999982</v>
      </c>
      <c r="I37" s="4">
        <f t="shared" si="1"/>
        <v>5.6720000000000024</v>
      </c>
      <c r="J37" s="4">
        <f t="shared" si="2"/>
        <v>814.03226271327662</v>
      </c>
      <c r="K37" s="4">
        <f t="shared" si="3"/>
        <v>290.61518391649378</v>
      </c>
      <c r="L37" s="4">
        <f t="shared" si="4"/>
        <v>1105.6474466297705</v>
      </c>
      <c r="M37" s="25">
        <f t="shared" si="5"/>
        <v>9.0444743760607915E-4</v>
      </c>
      <c r="N37" s="25">
        <f t="shared" si="6"/>
        <v>0.7362493941397017</v>
      </c>
      <c r="O37" s="25">
        <f t="shared" si="7"/>
        <v>0.26284615842269221</v>
      </c>
      <c r="P37" s="2" t="str">
        <f t="shared" si="8"/>
        <v>Over</v>
      </c>
    </row>
    <row r="38" spans="1:16">
      <c r="A38" s="2">
        <f>IF(Participant_Data!A38="","",Participant_Data!A38)</f>
        <v>37</v>
      </c>
      <c r="B38" s="2" t="str">
        <f>IF(Participant_Data!B38="","",Participant_Data!B38)</f>
        <v/>
      </c>
      <c r="C38" s="3" t="str">
        <f>IF(Participant_Data!C38="","",Participant_Data!C38)</f>
        <v/>
      </c>
      <c r="D38" s="2">
        <f>IF(Participant_Data!F38="","",Participant_Data!F38)</f>
        <v>0</v>
      </c>
      <c r="E38" s="2">
        <f>IF(Participant_Data!AO38="","",Participant_Data!AO38)</f>
        <v>4</v>
      </c>
      <c r="F38" s="2">
        <f>IF(Participant_Data!AP38="","",Participant_Data!AP38)</f>
        <v>4</v>
      </c>
      <c r="G38" s="2">
        <f>IF(Participant_Data!AS38="","",Participant_Data!AS38)</f>
        <v>104.5</v>
      </c>
      <c r="H38" s="4">
        <f t="shared" si="0"/>
        <v>11.413499999999996</v>
      </c>
      <c r="I38" s="4">
        <f t="shared" si="1"/>
        <v>8.2234999999999996</v>
      </c>
      <c r="J38" s="4">
        <f t="shared" si="2"/>
        <v>90535.742819658757</v>
      </c>
      <c r="K38" s="4">
        <f t="shared" si="3"/>
        <v>3727.5259187436341</v>
      </c>
      <c r="L38" s="4">
        <f t="shared" si="4"/>
        <v>94264.268738402388</v>
      </c>
      <c r="M38" s="25">
        <f t="shared" si="5"/>
        <v>1.0608473532799065E-5</v>
      </c>
      <c r="N38" s="25">
        <f t="shared" si="6"/>
        <v>0.96044603147465291</v>
      </c>
      <c r="O38" s="25">
        <f t="shared" si="7"/>
        <v>3.9543360051814358E-2</v>
      </c>
      <c r="P38" s="2" t="str">
        <f t="shared" si="8"/>
        <v>Over</v>
      </c>
    </row>
    <row r="39" spans="1:16">
      <c r="A39" s="2">
        <f>IF(Participant_Data!A39="","",Participant_Data!A39)</f>
        <v>38</v>
      </c>
      <c r="B39" s="2" t="str">
        <f>IF(Participant_Data!B39="","",Participant_Data!B39)</f>
        <v/>
      </c>
      <c r="C39" s="3" t="str">
        <f>IF(Participant_Data!C39="","",Participant_Data!C39)</f>
        <v/>
      </c>
      <c r="D39" s="2">
        <f>IF(Participant_Data!F39="","",Participant_Data!F39)</f>
        <v>0</v>
      </c>
      <c r="E39" s="2">
        <f>IF(Participant_Data!AO39="","",Participant_Data!AO39)</f>
        <v>2</v>
      </c>
      <c r="F39" s="2">
        <f>IF(Participant_Data!AP39="","",Participant_Data!AP39)</f>
        <v>4</v>
      </c>
      <c r="G39" s="2">
        <f>IF(Participant_Data!AS39="","",Participant_Data!AS39)</f>
        <v>105.5</v>
      </c>
      <c r="H39" s="4">
        <f t="shared" si="0"/>
        <v>11.724499999999999</v>
      </c>
      <c r="I39" s="4">
        <f t="shared" si="1"/>
        <v>8.3344999999999985</v>
      </c>
      <c r="J39" s="4">
        <f t="shared" si="2"/>
        <v>123562.20593235311</v>
      </c>
      <c r="K39" s="4">
        <f t="shared" si="3"/>
        <v>4165.118476772117</v>
      </c>
      <c r="L39" s="4">
        <f t="shared" si="4"/>
        <v>127728.32440912523</v>
      </c>
      <c r="M39" s="25">
        <f t="shared" si="5"/>
        <v>7.8291170312147116E-6</v>
      </c>
      <c r="N39" s="25">
        <f t="shared" si="6"/>
        <v>0.96738297087944514</v>
      </c>
      <c r="O39" s="25">
        <f t="shared" si="7"/>
        <v>3.2609200003523658E-2</v>
      </c>
      <c r="P39" s="2" t="str">
        <f t="shared" si="8"/>
        <v>Over</v>
      </c>
    </row>
    <row r="40" spans="1:16">
      <c r="A40" s="2">
        <f>IF(Participant_Data!A40="","",Participant_Data!A40)</f>
        <v>39</v>
      </c>
      <c r="B40" s="2" t="str">
        <f>IF(Participant_Data!B40="","",Participant_Data!B40)</f>
        <v/>
      </c>
      <c r="C40" s="3" t="str">
        <f>IF(Participant_Data!C40="","",Participant_Data!C40)</f>
        <v/>
      </c>
      <c r="D40" s="2">
        <f>IF(Participant_Data!F40="","",Participant_Data!F40)</f>
        <v>0</v>
      </c>
      <c r="E40" s="2">
        <f>IF(Participant_Data!AO40="","",Participant_Data!AO40)</f>
        <v>0</v>
      </c>
      <c r="F40" s="2">
        <f>IF(Participant_Data!AP40="","",Participant_Data!AP40)</f>
        <v>6</v>
      </c>
      <c r="G40" s="2">
        <f>IF(Participant_Data!AS40="","",Participant_Data!AS40)</f>
        <v>79</v>
      </c>
      <c r="H40" s="4">
        <f t="shared" si="0"/>
        <v>1.6839999999999975</v>
      </c>
      <c r="I40" s="4">
        <f t="shared" si="1"/>
        <v>2.2340000000000018</v>
      </c>
      <c r="J40" s="4">
        <f t="shared" si="2"/>
        <v>5.3870611767440932</v>
      </c>
      <c r="K40" s="4">
        <f t="shared" si="3"/>
        <v>9.3371400420280217</v>
      </c>
      <c r="L40" s="4">
        <f t="shared" si="4"/>
        <v>15.724201218772116</v>
      </c>
      <c r="M40" s="25">
        <f t="shared" si="5"/>
        <v>6.359623526097874E-2</v>
      </c>
      <c r="N40" s="25">
        <f t="shared" si="6"/>
        <v>0.34259680996150227</v>
      </c>
      <c r="O40" s="25">
        <f t="shared" si="7"/>
        <v>0.59380695477751888</v>
      </c>
      <c r="P40" s="2" t="str">
        <f t="shared" si="8"/>
        <v>Normal</v>
      </c>
    </row>
    <row r="41" spans="1:16">
      <c r="A41" s="2">
        <f>IF(Participant_Data!A41="","",Participant_Data!A41)</f>
        <v>40</v>
      </c>
      <c r="B41" s="2" t="str">
        <f>IF(Participant_Data!B41="","",Participant_Data!B41)</f>
        <v/>
      </c>
      <c r="C41" s="3" t="str">
        <f>IF(Participant_Data!C41="","",Participant_Data!C41)</f>
        <v/>
      </c>
      <c r="D41" s="2">
        <f>IF(Participant_Data!F41="","",Participant_Data!F41)</f>
        <v>0</v>
      </c>
      <c r="E41" s="2">
        <f>IF(Participant_Data!AO41="","",Participant_Data!AO41)</f>
        <v>4</v>
      </c>
      <c r="F41" s="2">
        <f>IF(Participant_Data!AP41="","",Participant_Data!AP41)</f>
        <v>4</v>
      </c>
      <c r="G41" s="2">
        <f>IF(Participant_Data!AS41="","",Participant_Data!AS41)</f>
        <v>81</v>
      </c>
      <c r="H41" s="4">
        <f t="shared" si="0"/>
        <v>3.2119999999999997</v>
      </c>
      <c r="I41" s="4">
        <f t="shared" si="1"/>
        <v>3.782</v>
      </c>
      <c r="J41" s="4">
        <f t="shared" si="2"/>
        <v>24.828693988264622</v>
      </c>
      <c r="K41" s="4">
        <f t="shared" si="3"/>
        <v>43.903761509579198</v>
      </c>
      <c r="L41" s="4">
        <f t="shared" si="4"/>
        <v>69.732455497843816</v>
      </c>
      <c r="M41" s="25">
        <f t="shared" si="5"/>
        <v>1.4340524693425156E-2</v>
      </c>
      <c r="N41" s="25">
        <f t="shared" si="6"/>
        <v>0.35605649924420552</v>
      </c>
      <c r="O41" s="25">
        <f t="shared" si="7"/>
        <v>0.62960297606236937</v>
      </c>
      <c r="P41" s="2" t="str">
        <f t="shared" si="8"/>
        <v>Normal</v>
      </c>
    </row>
    <row r="42" spans="1:16">
      <c r="A42" s="2">
        <f>IF(Participant_Data!A42="","",Participant_Data!A42)</f>
        <v>41</v>
      </c>
      <c r="B42" s="2" t="str">
        <f>IF(Participant_Data!B42="","",Participant_Data!B42)</f>
        <v/>
      </c>
      <c r="C42" s="3" t="str">
        <f>IF(Participant_Data!C42="","",Participant_Data!C42)</f>
        <v/>
      </c>
      <c r="D42" s="2">
        <f>IF(Participant_Data!F42="","",Participant_Data!F42)</f>
        <v>0</v>
      </c>
      <c r="E42" s="2">
        <f>IF(Participant_Data!AO42="","",Participant_Data!AO42)</f>
        <v>4</v>
      </c>
      <c r="F42" s="2">
        <f>IF(Participant_Data!AP42="","",Participant_Data!AP42)</f>
        <v>4</v>
      </c>
      <c r="G42" s="2">
        <f>IF(Participant_Data!AS42="","",Participant_Data!AS42)</f>
        <v>77</v>
      </c>
      <c r="H42" s="4">
        <f t="shared" si="0"/>
        <v>1.8159999999999989</v>
      </c>
      <c r="I42" s="4">
        <f t="shared" si="1"/>
        <v>3.0260000000000016</v>
      </c>
      <c r="J42" s="4">
        <f t="shared" si="2"/>
        <v>6.147220325184235</v>
      </c>
      <c r="K42" s="4">
        <f t="shared" si="3"/>
        <v>20.614609016342804</v>
      </c>
      <c r="L42" s="4">
        <f t="shared" si="4"/>
        <v>27.76182934152704</v>
      </c>
      <c r="M42" s="25">
        <f t="shared" si="5"/>
        <v>3.6020681047274059E-2</v>
      </c>
      <c r="N42" s="25">
        <f t="shared" si="6"/>
        <v>0.22142706266078166</v>
      </c>
      <c r="O42" s="25">
        <f t="shared" si="7"/>
        <v>0.74255225629194421</v>
      </c>
      <c r="P42" s="2" t="str">
        <f t="shared" si="8"/>
        <v>Normal</v>
      </c>
    </row>
    <row r="43" spans="1:16">
      <c r="A43" s="2">
        <f>IF(Participant_Data!A43="","",Participant_Data!A43)</f>
        <v>42</v>
      </c>
      <c r="B43" s="2" t="str">
        <f>IF(Participant_Data!B43="","",Participant_Data!B43)</f>
        <v/>
      </c>
      <c r="C43" s="3" t="str">
        <f>IF(Participant_Data!C43="","",Participant_Data!C43)</f>
        <v/>
      </c>
      <c r="D43" s="2">
        <f>IF(Participant_Data!F43="","",Participant_Data!F43)</f>
        <v>0</v>
      </c>
      <c r="E43" s="2">
        <f>IF(Participant_Data!AO43="","",Participant_Data!AO43)</f>
        <v>4</v>
      </c>
      <c r="F43" s="2">
        <f>IF(Participant_Data!AP43="","",Participant_Data!AP43)</f>
        <v>4</v>
      </c>
      <c r="G43" s="2">
        <f>IF(Participant_Data!AS43="","",Participant_Data!AS43)</f>
        <v>89.5</v>
      </c>
      <c r="H43" s="4">
        <f t="shared" si="0"/>
        <v>6.1784999999999997</v>
      </c>
      <c r="I43" s="4">
        <f t="shared" si="1"/>
        <v>5.3885000000000023</v>
      </c>
      <c r="J43" s="4">
        <f t="shared" si="2"/>
        <v>482.26801151262606</v>
      </c>
      <c r="K43" s="4">
        <f t="shared" si="3"/>
        <v>218.87482695617717</v>
      </c>
      <c r="L43" s="4">
        <f t="shared" si="4"/>
        <v>702.14283846880323</v>
      </c>
      <c r="M43" s="25">
        <f t="shared" si="5"/>
        <v>1.4242116350296305E-3</v>
      </c>
      <c r="N43" s="25">
        <f t="shared" si="6"/>
        <v>0.68685171319888583</v>
      </c>
      <c r="O43" s="25">
        <f t="shared" si="7"/>
        <v>0.31172407516608452</v>
      </c>
      <c r="P43" s="2" t="str">
        <f t="shared" si="8"/>
        <v>Over</v>
      </c>
    </row>
    <row r="44" spans="1:16">
      <c r="A44" s="2">
        <f>IF(Participant_Data!A44="","",Participant_Data!A44)</f>
        <v>43</v>
      </c>
      <c r="B44" s="2" t="str">
        <f>IF(Participant_Data!B44="","",Participant_Data!B44)</f>
        <v/>
      </c>
      <c r="C44" s="3" t="str">
        <f>IF(Participant_Data!C44="","",Participant_Data!C44)</f>
        <v/>
      </c>
      <c r="D44" s="2">
        <f>IF(Participant_Data!F44="","",Participant_Data!F44)</f>
        <v>0</v>
      </c>
      <c r="E44" s="2">
        <f>IF(Participant_Data!AO44="","",Participant_Data!AO44)</f>
        <v>14</v>
      </c>
      <c r="F44" s="2">
        <f>IF(Participant_Data!AP44="","",Participant_Data!AP44)</f>
        <v>4</v>
      </c>
      <c r="G44" s="2">
        <f>IF(Participant_Data!AS44="","",Participant_Data!AS44)</f>
        <v>105.5</v>
      </c>
      <c r="H44" s="4">
        <f t="shared" si="0"/>
        <v>11.952499999999997</v>
      </c>
      <c r="I44" s="4">
        <f t="shared" si="1"/>
        <v>8.8024999999999984</v>
      </c>
      <c r="J44" s="4">
        <f t="shared" si="2"/>
        <v>155204.67364967777</v>
      </c>
      <c r="K44" s="4">
        <f t="shared" si="3"/>
        <v>6650.8503655935692</v>
      </c>
      <c r="L44" s="4">
        <f t="shared" si="4"/>
        <v>161856.52401527134</v>
      </c>
      <c r="M44" s="25">
        <f t="shared" si="5"/>
        <v>6.17831135373727E-6</v>
      </c>
      <c r="N44" s="25">
        <f t="shared" si="6"/>
        <v>0.95890279736289186</v>
      </c>
      <c r="O44" s="25">
        <f t="shared" si="7"/>
        <v>4.109102432575442E-2</v>
      </c>
      <c r="P44" s="2" t="str">
        <f t="shared" si="8"/>
        <v>Over</v>
      </c>
    </row>
    <row r="45" spans="1:16">
      <c r="A45" s="2">
        <f>IF(Participant_Data!A45="","",Participant_Data!A45)</f>
        <v>44</v>
      </c>
      <c r="B45" s="2" t="str">
        <f>IF(Participant_Data!B45="","",Participant_Data!B45)</f>
        <v/>
      </c>
      <c r="C45" s="3" t="str">
        <f>IF(Participant_Data!C45="","",Participant_Data!C45)</f>
        <v/>
      </c>
      <c r="D45" s="2">
        <f>IF(Participant_Data!F45="","",Participant_Data!F45)</f>
        <v>0</v>
      </c>
      <c r="E45" s="2">
        <f>IF(Participant_Data!AO45="","",Participant_Data!AO45)</f>
        <v>2</v>
      </c>
      <c r="F45" s="2">
        <f>IF(Participant_Data!AP45="","",Participant_Data!AP45)</f>
        <v>4</v>
      </c>
      <c r="G45" s="2">
        <f>IF(Participant_Data!AS45="","",Participant_Data!AS45)</f>
        <v>93.5</v>
      </c>
      <c r="H45" s="4">
        <f t="shared" si="0"/>
        <v>7.5364999999999966</v>
      </c>
      <c r="I45" s="4">
        <f t="shared" si="1"/>
        <v>6.0665000000000013</v>
      </c>
      <c r="J45" s="4">
        <f t="shared" si="2"/>
        <v>1875.2551328480329</v>
      </c>
      <c r="K45" s="4">
        <f t="shared" si="3"/>
        <v>431.16894626898022</v>
      </c>
      <c r="L45" s="4">
        <f t="shared" si="4"/>
        <v>2307.4240791170132</v>
      </c>
      <c r="M45" s="25">
        <f t="shared" si="5"/>
        <v>4.3338370655413808E-4</v>
      </c>
      <c r="N45" s="25">
        <f t="shared" si="6"/>
        <v>0.81270502020835311</v>
      </c>
      <c r="O45" s="25">
        <f t="shared" si="7"/>
        <v>0.18686159608509267</v>
      </c>
      <c r="P45" s="2" t="str">
        <f t="shared" si="8"/>
        <v>Over</v>
      </c>
    </row>
    <row r="46" spans="1:16">
      <c r="A46" s="2">
        <f>IF(Participant_Data!A46="","",Participant_Data!A46)</f>
        <v>45</v>
      </c>
      <c r="B46" s="2" t="str">
        <f>IF(Participant_Data!B46="","",Participant_Data!B46)</f>
        <v/>
      </c>
      <c r="C46" s="3" t="str">
        <f>IF(Participant_Data!C46="","",Participant_Data!C46)</f>
        <v/>
      </c>
      <c r="D46" s="2">
        <f>IF(Participant_Data!F46="","",Participant_Data!F46)</f>
        <v>0</v>
      </c>
      <c r="E46" s="2">
        <f>IF(Participant_Data!AO46="","",Participant_Data!AO46)</f>
        <v>6</v>
      </c>
      <c r="F46" s="2">
        <f>IF(Participant_Data!AP46="","",Participant_Data!AP46)</f>
        <v>4</v>
      </c>
      <c r="G46" s="2">
        <f>IF(Participant_Data!AS46="","",Participant_Data!AS46)</f>
        <v>96.5</v>
      </c>
      <c r="H46" s="4">
        <f t="shared" si="0"/>
        <v>8.6595000000000013</v>
      </c>
      <c r="I46" s="4">
        <f t="shared" si="1"/>
        <v>6.7894999999999985</v>
      </c>
      <c r="J46" s="4">
        <f t="shared" si="2"/>
        <v>5764.6516159932935</v>
      </c>
      <c r="K46" s="4">
        <f t="shared" si="3"/>
        <v>888.46921614539872</v>
      </c>
      <c r="L46" s="4">
        <f t="shared" si="4"/>
        <v>6654.1208321386921</v>
      </c>
      <c r="M46" s="25">
        <f t="shared" si="5"/>
        <v>1.5028281349657897E-4</v>
      </c>
      <c r="N46" s="25">
        <f t="shared" si="6"/>
        <v>0.86632806367907278</v>
      </c>
      <c r="O46" s="25">
        <f t="shared" si="7"/>
        <v>0.13352165350743067</v>
      </c>
      <c r="P46" s="2" t="str">
        <f t="shared" si="8"/>
        <v>Over</v>
      </c>
    </row>
    <row r="47" spans="1:16">
      <c r="A47" s="2">
        <f>IF(Participant_Data!A47="","",Participant_Data!A47)</f>
        <v>46</v>
      </c>
      <c r="B47" s="2" t="str">
        <f>IF(Participant_Data!B47="","",Participant_Data!B47)</f>
        <v/>
      </c>
      <c r="C47" s="3" t="str">
        <f>IF(Participant_Data!C47="","",Participant_Data!C47)</f>
        <v/>
      </c>
      <c r="D47" s="2">
        <f>IF(Participant_Data!F47="","",Participant_Data!F47)</f>
        <v>0</v>
      </c>
      <c r="E47" s="2">
        <f>IF(Participant_Data!AO47="","",Participant_Data!AO47)</f>
        <v>14</v>
      </c>
      <c r="F47" s="2">
        <f>IF(Participant_Data!AP47="","",Participant_Data!AP47)</f>
        <v>6</v>
      </c>
      <c r="G47" s="2">
        <f>IF(Participant_Data!AS47="","",Participant_Data!AS47)</f>
        <v>85.5</v>
      </c>
      <c r="H47" s="4">
        <f t="shared" si="0"/>
        <v>4.2184999999999953</v>
      </c>
      <c r="I47" s="4">
        <f t="shared" si="1"/>
        <v>4.0085000000000015</v>
      </c>
      <c r="J47" s="4">
        <f t="shared" si="2"/>
        <v>67.931510562400561</v>
      </c>
      <c r="K47" s="4">
        <f t="shared" si="3"/>
        <v>55.064212266839597</v>
      </c>
      <c r="L47" s="4">
        <f t="shared" si="4"/>
        <v>123.99572282924015</v>
      </c>
      <c r="M47" s="25">
        <f t="shared" si="5"/>
        <v>8.0647943105032985E-3</v>
      </c>
      <c r="N47" s="25">
        <f t="shared" si="6"/>
        <v>0.54785365988754275</v>
      </c>
      <c r="O47" s="25">
        <f t="shared" si="7"/>
        <v>0.44408154580195397</v>
      </c>
      <c r="P47" s="2" t="str">
        <f t="shared" si="8"/>
        <v>Over</v>
      </c>
    </row>
    <row r="48" spans="1:16">
      <c r="A48" s="2">
        <f>IF(Participant_Data!A48="","",Participant_Data!A48)</f>
        <v>47</v>
      </c>
      <c r="B48" s="2" t="str">
        <f>IF(Participant_Data!B48="","",Participant_Data!B48)</f>
        <v/>
      </c>
      <c r="C48" s="3" t="str">
        <f>IF(Participant_Data!C48="","",Participant_Data!C48)</f>
        <v/>
      </c>
      <c r="D48" s="2">
        <f>IF(Participant_Data!F48="","",Participant_Data!F48)</f>
        <v>0</v>
      </c>
      <c r="E48" s="2">
        <f>IF(Participant_Data!AO48="","",Participant_Data!AO48)</f>
        <v>0</v>
      </c>
      <c r="F48" s="2">
        <f>IF(Participant_Data!AP48="","",Participant_Data!AP48)</f>
        <v>4</v>
      </c>
      <c r="G48" s="2">
        <f>IF(Participant_Data!AS48="","",Participant_Data!AS48)</f>
        <v>90</v>
      </c>
      <c r="H48" s="4">
        <f t="shared" si="0"/>
        <v>6.2769999999999975</v>
      </c>
      <c r="I48" s="4">
        <f t="shared" si="1"/>
        <v>5.3270000000000017</v>
      </c>
      <c r="J48" s="4">
        <f t="shared" si="2"/>
        <v>532.18969748282188</v>
      </c>
      <c r="K48" s="4">
        <f t="shared" si="3"/>
        <v>205.8195882764488</v>
      </c>
      <c r="L48" s="4">
        <f t="shared" si="4"/>
        <v>739.00928575927071</v>
      </c>
      <c r="M48" s="25">
        <f t="shared" si="5"/>
        <v>1.3531629700330261E-3</v>
      </c>
      <c r="N48" s="25">
        <f t="shared" si="6"/>
        <v>0.72013939166683294</v>
      </c>
      <c r="O48" s="25">
        <f t="shared" si="7"/>
        <v>0.27850744536313404</v>
      </c>
      <c r="P48" s="2" t="str">
        <f t="shared" si="8"/>
        <v>Over</v>
      </c>
    </row>
    <row r="49" spans="1:16">
      <c r="A49" s="2">
        <f>IF(Participant_Data!A49="","",Participant_Data!A49)</f>
        <v>48</v>
      </c>
      <c r="B49" s="2" t="str">
        <f>IF(Participant_Data!B49="","",Participant_Data!B49)</f>
        <v/>
      </c>
      <c r="C49" s="3" t="str">
        <f>IF(Participant_Data!C49="","",Participant_Data!C49)</f>
        <v/>
      </c>
      <c r="D49" s="2">
        <f>IF(Participant_Data!F49="","",Participant_Data!F49)</f>
        <v>0</v>
      </c>
      <c r="E49" s="2">
        <f>IF(Participant_Data!AO49="","",Participant_Data!AO49)</f>
        <v>4</v>
      </c>
      <c r="F49" s="2">
        <f>IF(Participant_Data!AP49="","",Participant_Data!AP49)</f>
        <v>4</v>
      </c>
      <c r="G49" s="2">
        <f>IF(Participant_Data!AS49="","",Participant_Data!AS49)</f>
        <v>102</v>
      </c>
      <c r="H49" s="4">
        <f t="shared" si="0"/>
        <v>10.541</v>
      </c>
      <c r="I49" s="4">
        <f t="shared" si="1"/>
        <v>7.7509999999999994</v>
      </c>
      <c r="J49" s="4">
        <f t="shared" si="2"/>
        <v>37835.382925106365</v>
      </c>
      <c r="K49" s="4">
        <f t="shared" si="3"/>
        <v>2323.8951481988993</v>
      </c>
      <c r="L49" s="4">
        <f t="shared" si="4"/>
        <v>40160.278073305264</v>
      </c>
      <c r="M49" s="25">
        <f t="shared" si="5"/>
        <v>2.4900225993821119E-5</v>
      </c>
      <c r="N49" s="25">
        <f t="shared" si="6"/>
        <v>0.94210958539790923</v>
      </c>
      <c r="O49" s="25">
        <f t="shared" si="7"/>
        <v>5.7865514376097008E-2</v>
      </c>
      <c r="P49" s="2" t="str">
        <f t="shared" si="8"/>
        <v>Over</v>
      </c>
    </row>
    <row r="50" spans="1:16">
      <c r="A50" s="2">
        <f>IF(Participant_Data!A50="","",Participant_Data!A50)</f>
        <v>49</v>
      </c>
      <c r="B50" s="2" t="str">
        <f>IF(Participant_Data!B50="","",Participant_Data!B50)</f>
        <v/>
      </c>
      <c r="C50" s="3" t="str">
        <f>IF(Participant_Data!C50="","",Participant_Data!C50)</f>
        <v/>
      </c>
      <c r="D50" s="2">
        <f>IF(Participant_Data!F50="","",Participant_Data!F50)</f>
        <v>0</v>
      </c>
      <c r="E50" s="2">
        <f>IF(Participant_Data!AO50="","",Participant_Data!AO50)</f>
        <v>12</v>
      </c>
      <c r="F50" s="2">
        <f>IF(Participant_Data!AP50="","",Participant_Data!AP50)</f>
        <v>4</v>
      </c>
      <c r="G50" s="2">
        <f>IF(Participant_Data!AS50="","",Participant_Data!AS50)</f>
        <v>73</v>
      </c>
      <c r="H50" s="4">
        <f t="shared" si="0"/>
        <v>0.57199999999999918</v>
      </c>
      <c r="I50" s="4">
        <f t="shared" si="1"/>
        <v>2.5820000000000007</v>
      </c>
      <c r="J50" s="4">
        <f t="shared" si="2"/>
        <v>1.7718071244295728</v>
      </c>
      <c r="K50" s="4">
        <f t="shared" si="3"/>
        <v>13.223558847858989</v>
      </c>
      <c r="L50" s="4">
        <f t="shared" si="4"/>
        <v>15.995365972288562</v>
      </c>
      <c r="M50" s="25">
        <f t="shared" si="5"/>
        <v>6.2518106914994417E-2</v>
      </c>
      <c r="N50" s="25">
        <f t="shared" si="6"/>
        <v>0.11077002723783685</v>
      </c>
      <c r="O50" s="25">
        <f t="shared" si="7"/>
        <v>0.82671186584716871</v>
      </c>
      <c r="P50" s="2" t="str">
        <f t="shared" si="8"/>
        <v>Normal</v>
      </c>
    </row>
    <row r="51" spans="1:16">
      <c r="A51" s="2">
        <f>IF(Participant_Data!A51="","",Participant_Data!A51)</f>
        <v>50</v>
      </c>
      <c r="B51" s="2" t="str">
        <f>IF(Participant_Data!B51="","",Participant_Data!B51)</f>
        <v/>
      </c>
      <c r="C51" s="3" t="str">
        <f>IF(Participant_Data!C51="","",Participant_Data!C51)</f>
        <v/>
      </c>
      <c r="D51" s="2">
        <f>IF(Participant_Data!F51="","",Participant_Data!F51)</f>
        <v>0</v>
      </c>
      <c r="E51" s="2">
        <f>IF(Participant_Data!AO51="","",Participant_Data!AO51)</f>
        <v>0</v>
      </c>
      <c r="F51" s="2">
        <f>IF(Participant_Data!AP51="","",Participant_Data!AP51)</f>
        <v>4</v>
      </c>
      <c r="G51" s="2">
        <f>IF(Participant_Data!AS51="","",Participant_Data!AS51)</f>
        <v>86.5</v>
      </c>
      <c r="H51" s="4">
        <f t="shared" si="0"/>
        <v>5.0554999999999986</v>
      </c>
      <c r="I51" s="4">
        <f t="shared" si="1"/>
        <v>4.6655000000000015</v>
      </c>
      <c r="J51" s="4">
        <f t="shared" si="2"/>
        <v>156.88295221317352</v>
      </c>
      <c r="K51" s="4">
        <f t="shared" si="3"/>
        <v>106.21868128749652</v>
      </c>
      <c r="L51" s="4">
        <f t="shared" si="4"/>
        <v>264.10163350067006</v>
      </c>
      <c r="M51" s="25">
        <f t="shared" si="5"/>
        <v>3.7864211089685021E-3</v>
      </c>
      <c r="N51" s="25">
        <f t="shared" si="6"/>
        <v>0.59402492189725697</v>
      </c>
      <c r="O51" s="25">
        <f t="shared" si="7"/>
        <v>0.40218865699377443</v>
      </c>
      <c r="P51" s="2" t="str">
        <f t="shared" si="8"/>
        <v>Over</v>
      </c>
    </row>
    <row r="52" spans="1:16">
      <c r="A52" s="2">
        <f>IF(Participant_Data!A52="","",Participant_Data!A52)</f>
        <v>51</v>
      </c>
      <c r="B52" s="2" t="str">
        <f>IF(Participant_Data!B52="","",Participant_Data!B52)</f>
        <v/>
      </c>
      <c r="C52" s="3" t="str">
        <f>IF(Participant_Data!C52="","",Participant_Data!C52)</f>
        <v/>
      </c>
      <c r="D52" s="2">
        <f>IF(Participant_Data!F52="","",Participant_Data!F52)</f>
        <v>0</v>
      </c>
      <c r="E52" s="2">
        <f>IF(Participant_Data!AO52="","",Participant_Data!AO52)</f>
        <v>6</v>
      </c>
      <c r="F52" s="2">
        <f>IF(Participant_Data!AP52="","",Participant_Data!AP52)</f>
        <v>4</v>
      </c>
      <c r="G52" s="2">
        <f>IF(Participant_Data!AS52="","",Participant_Data!AS52)</f>
        <v>69</v>
      </c>
      <c r="H52" s="4">
        <f t="shared" si="0"/>
        <v>-0.93799999999999883</v>
      </c>
      <c r="I52" s="4">
        <f t="shared" si="1"/>
        <v>1.5920000000000005</v>
      </c>
      <c r="J52" s="4">
        <f t="shared" si="2"/>
        <v>0.39140987280600698</v>
      </c>
      <c r="K52" s="4">
        <f t="shared" si="3"/>
        <v>4.9135662402227371</v>
      </c>
      <c r="L52" s="4">
        <f t="shared" si="4"/>
        <v>6.3049761130287436</v>
      </c>
      <c r="M52" s="25">
        <f t="shared" si="5"/>
        <v>0.15860488320226585</v>
      </c>
      <c r="N52" s="25">
        <f t="shared" si="6"/>
        <v>6.207951716061047E-2</v>
      </c>
      <c r="O52" s="25">
        <f t="shared" si="7"/>
        <v>0.77931559963712371</v>
      </c>
      <c r="P52" s="2" t="str">
        <f t="shared" si="8"/>
        <v>Normal</v>
      </c>
    </row>
    <row r="53" spans="1:16">
      <c r="A53" s="2">
        <f>IF(Participant_Data!A53="","",Participant_Data!A53)</f>
        <v>52</v>
      </c>
      <c r="B53" s="2" t="str">
        <f>IF(Participant_Data!B53="","",Participant_Data!B53)</f>
        <v/>
      </c>
      <c r="C53" s="3" t="str">
        <f>IF(Participant_Data!C53="","",Participant_Data!C53)</f>
        <v/>
      </c>
      <c r="D53" s="2">
        <f>IF(Participant_Data!F53="","",Participant_Data!F53)</f>
        <v>0</v>
      </c>
      <c r="E53" s="2">
        <f>IF(Participant_Data!AO53="","",Participant_Data!AO53)</f>
        <v>6</v>
      </c>
      <c r="F53" s="2">
        <f>IF(Participant_Data!AP53="","",Participant_Data!AP53)</f>
        <v>6</v>
      </c>
      <c r="G53" s="2">
        <f>IF(Participant_Data!AS53="","",Participant_Data!AS53)</f>
        <v>97</v>
      </c>
      <c r="H53" s="4">
        <f t="shared" si="0"/>
        <v>8.0799999999999947</v>
      </c>
      <c r="I53" s="4">
        <f t="shared" si="1"/>
        <v>5.8699999999999992</v>
      </c>
      <c r="J53" s="4">
        <f t="shared" si="2"/>
        <v>3229.233236644664</v>
      </c>
      <c r="K53" s="4">
        <f t="shared" si="3"/>
        <v>354.24898026776509</v>
      </c>
      <c r="L53" s="4">
        <f t="shared" si="4"/>
        <v>3584.4822169124291</v>
      </c>
      <c r="M53" s="25">
        <f t="shared" si="5"/>
        <v>2.7898032114143713E-4</v>
      </c>
      <c r="N53" s="25">
        <f t="shared" si="6"/>
        <v>0.90089252539973086</v>
      </c>
      <c r="O53" s="25">
        <f t="shared" si="7"/>
        <v>9.8828494279127738E-2</v>
      </c>
      <c r="P53" s="2" t="str">
        <f t="shared" si="8"/>
        <v>Over</v>
      </c>
    </row>
    <row r="54" spans="1:16">
      <c r="A54" s="2">
        <f>IF(Participant_Data!A54="","",Participant_Data!A54)</f>
        <v>53</v>
      </c>
      <c r="B54" s="2" t="str">
        <f>IF(Participant_Data!B54="","",Participant_Data!B54)</f>
        <v/>
      </c>
      <c r="C54" s="3" t="str">
        <f>IF(Participant_Data!C54="","",Participant_Data!C54)</f>
        <v/>
      </c>
      <c r="D54" s="2">
        <f>IF(Participant_Data!F54="","",Participant_Data!F54)</f>
        <v>0</v>
      </c>
      <c r="E54" s="2">
        <f>IF(Participant_Data!AO54="","",Participant_Data!AO54)</f>
        <v>6</v>
      </c>
      <c r="F54" s="2">
        <f>IF(Participant_Data!AP54="","",Participant_Data!AP54)</f>
        <v>4</v>
      </c>
      <c r="G54" s="2">
        <f>IF(Participant_Data!AS54="","",Participant_Data!AS54)</f>
        <v>93</v>
      </c>
      <c r="H54" s="4">
        <f t="shared" si="0"/>
        <v>7.4380000000000024</v>
      </c>
      <c r="I54" s="4">
        <f t="shared" si="1"/>
        <v>6.1280000000000019</v>
      </c>
      <c r="J54" s="4">
        <f t="shared" si="2"/>
        <v>1699.3481239396992</v>
      </c>
      <c r="K54" s="4">
        <f t="shared" si="3"/>
        <v>458.51820661862121</v>
      </c>
      <c r="L54" s="4">
        <f t="shared" si="4"/>
        <v>2158.8663305583204</v>
      </c>
      <c r="M54" s="25">
        <f t="shared" si="5"/>
        <v>4.6320607526515204E-4</v>
      </c>
      <c r="N54" s="25">
        <f t="shared" si="6"/>
        <v>0.78714837499930723</v>
      </c>
      <c r="O54" s="25">
        <f t="shared" si="7"/>
        <v>0.21238841892542759</v>
      </c>
      <c r="P54" s="2" t="str">
        <f t="shared" si="8"/>
        <v>Over</v>
      </c>
    </row>
    <row r="55" spans="1:16">
      <c r="A55" s="2">
        <f>IF(Participant_Data!A55="","",Participant_Data!A55)</f>
        <v>54</v>
      </c>
      <c r="B55" s="2" t="str">
        <f>IF(Participant_Data!B55="","",Participant_Data!B55)</f>
        <v/>
      </c>
      <c r="C55" s="3" t="str">
        <f>IF(Participant_Data!C55="","",Participant_Data!C55)</f>
        <v/>
      </c>
      <c r="D55" s="2">
        <f>IF(Participant_Data!F55="","",Participant_Data!F55)</f>
        <v>0</v>
      </c>
      <c r="E55" s="2">
        <f>IF(Participant_Data!AO55="","",Participant_Data!AO55)</f>
        <v>6</v>
      </c>
      <c r="F55" s="2">
        <f>IF(Participant_Data!AP55="","",Participant_Data!AP55)</f>
        <v>6</v>
      </c>
      <c r="G55" s="2">
        <f>IF(Participant_Data!AS55="","",Participant_Data!AS55)</f>
        <v>105.5</v>
      </c>
      <c r="H55" s="4">
        <f t="shared" si="0"/>
        <v>11.046499999999998</v>
      </c>
      <c r="I55" s="4">
        <f t="shared" si="1"/>
        <v>7.4764999999999997</v>
      </c>
      <c r="J55" s="4">
        <f t="shared" si="2"/>
        <v>62724.035846718289</v>
      </c>
      <c r="K55" s="4">
        <f t="shared" si="3"/>
        <v>1766.0487755381014</v>
      </c>
      <c r="L55" s="4">
        <f t="shared" si="4"/>
        <v>64491.084622256392</v>
      </c>
      <c r="M55" s="25">
        <f t="shared" si="5"/>
        <v>1.550601925610803E-5</v>
      </c>
      <c r="N55" s="25">
        <f t="shared" si="6"/>
        <v>0.97260010766002403</v>
      </c>
      <c r="O55" s="25">
        <f t="shared" si="7"/>
        <v>2.7384386320719805E-2</v>
      </c>
      <c r="P55" s="2" t="str">
        <f t="shared" si="8"/>
        <v>Over</v>
      </c>
    </row>
    <row r="56" spans="1:16">
      <c r="A56" s="2">
        <f>IF(Participant_Data!A56="","",Participant_Data!A56)</f>
        <v>55</v>
      </c>
      <c r="B56" s="2" t="str">
        <f>IF(Participant_Data!B56="","",Participant_Data!B56)</f>
        <v/>
      </c>
      <c r="C56" s="3" t="str">
        <f>IF(Participant_Data!C56="","",Participant_Data!C56)</f>
        <v/>
      </c>
      <c r="D56" s="2">
        <f>IF(Participant_Data!F56="","",Participant_Data!F56)</f>
        <v>0</v>
      </c>
      <c r="E56" s="2">
        <f>IF(Participant_Data!AO56="","",Participant_Data!AO56)</f>
        <v>10</v>
      </c>
      <c r="F56" s="2">
        <f>IF(Participant_Data!AP56="","",Participant_Data!AP56)</f>
        <v>4</v>
      </c>
      <c r="G56" s="2">
        <f>IF(Participant_Data!AS56="","",Participant_Data!AS56)</f>
        <v>109</v>
      </c>
      <c r="H56" s="4">
        <f t="shared" si="0"/>
        <v>13.097999999999999</v>
      </c>
      <c r="I56" s="4">
        <f t="shared" si="1"/>
        <v>9.3079999999999998</v>
      </c>
      <c r="J56" s="4">
        <f t="shared" si="2"/>
        <v>487965.50701946049</v>
      </c>
      <c r="K56" s="4">
        <f t="shared" si="3"/>
        <v>11025.87431369255</v>
      </c>
      <c r="L56" s="4">
        <f t="shared" si="4"/>
        <v>498992.38133315305</v>
      </c>
      <c r="M56" s="25">
        <f t="shared" si="5"/>
        <v>2.0040386134319521E-6</v>
      </c>
      <c r="N56" s="25">
        <f t="shared" si="6"/>
        <v>0.97790171808989912</v>
      </c>
      <c r="O56" s="25">
        <f t="shared" si="7"/>
        <v>2.2096277871487394E-2</v>
      </c>
      <c r="P56" s="2" t="str">
        <f t="shared" si="8"/>
        <v>Over</v>
      </c>
    </row>
    <row r="57" spans="1:16">
      <c r="A57" s="2">
        <f>IF(Participant_Data!A57="","",Participant_Data!A57)</f>
        <v>56</v>
      </c>
      <c r="B57" s="2" t="str">
        <f>IF(Participant_Data!B57="","",Participant_Data!B57)</f>
        <v/>
      </c>
      <c r="C57" s="3" t="str">
        <f>IF(Participant_Data!C57="","",Participant_Data!C57)</f>
        <v/>
      </c>
      <c r="D57" s="2">
        <f>IF(Participant_Data!F57="","",Participant_Data!F57)</f>
        <v>0</v>
      </c>
      <c r="E57" s="2">
        <f>IF(Participant_Data!AO57="","",Participant_Data!AO57)</f>
        <v>6</v>
      </c>
      <c r="F57" s="2">
        <f>IF(Participant_Data!AP57="","",Participant_Data!AP57)</f>
        <v>8</v>
      </c>
      <c r="G57" s="2">
        <f>IF(Participant_Data!AS57="","",Participant_Data!AS57)</f>
        <v>95</v>
      </c>
      <c r="H57" s="4">
        <f t="shared" si="0"/>
        <v>6.6280000000000001</v>
      </c>
      <c r="I57" s="4">
        <f t="shared" si="1"/>
        <v>4.4780000000000015</v>
      </c>
      <c r="J57" s="4">
        <f t="shared" si="2"/>
        <v>755.96872025539574</v>
      </c>
      <c r="K57" s="4">
        <f t="shared" si="3"/>
        <v>88.058379682058231</v>
      </c>
      <c r="L57" s="4">
        <f t="shared" si="4"/>
        <v>845.02709993745395</v>
      </c>
      <c r="M57" s="25">
        <f t="shared" si="5"/>
        <v>1.1833940001143356E-3</v>
      </c>
      <c r="N57" s="25">
        <f t="shared" si="6"/>
        <v>0.89460884782434791</v>
      </c>
      <c r="O57" s="25">
        <f t="shared" si="7"/>
        <v>0.10420775817553782</v>
      </c>
      <c r="P57" s="2" t="str">
        <f t="shared" si="8"/>
        <v>Over</v>
      </c>
    </row>
    <row r="58" spans="1:16">
      <c r="A58" s="2">
        <f>IF(Participant_Data!A58="","",Participant_Data!A58)</f>
        <v>57</v>
      </c>
      <c r="B58" s="2" t="str">
        <f>IF(Participant_Data!B58="","",Participant_Data!B58)</f>
        <v/>
      </c>
      <c r="C58" s="3" t="str">
        <f>IF(Participant_Data!C58="","",Participant_Data!C58)</f>
        <v/>
      </c>
      <c r="D58" s="2">
        <f>IF(Participant_Data!F58="","",Participant_Data!F58)</f>
        <v>0</v>
      </c>
      <c r="E58" s="2">
        <f>IF(Participant_Data!AO58="","",Participant_Data!AO58)</f>
        <v>4</v>
      </c>
      <c r="F58" s="2">
        <f>IF(Participant_Data!AP58="","",Participant_Data!AP58)</f>
        <v>4</v>
      </c>
      <c r="G58" s="2">
        <f>IF(Participant_Data!AS58="","",Participant_Data!AS58)</f>
        <v>83.5</v>
      </c>
      <c r="H58" s="4">
        <f t="shared" si="0"/>
        <v>4.0844999999999985</v>
      </c>
      <c r="I58" s="4">
        <f t="shared" si="1"/>
        <v>4.2545000000000002</v>
      </c>
      <c r="J58" s="4">
        <f t="shared" si="2"/>
        <v>59.412224211372163</v>
      </c>
      <c r="K58" s="4">
        <f t="shared" si="3"/>
        <v>70.421597585472824</v>
      </c>
      <c r="L58" s="4">
        <f t="shared" si="4"/>
        <v>130.83382179684497</v>
      </c>
      <c r="M58" s="25">
        <f t="shared" si="5"/>
        <v>7.6432835658716098E-3</v>
      </c>
      <c r="N58" s="25">
        <f t="shared" si="6"/>
        <v>0.45410447692666023</v>
      </c>
      <c r="O58" s="25">
        <f t="shared" si="7"/>
        <v>0.53825223950746826</v>
      </c>
      <c r="P58" s="2" t="str">
        <f t="shared" si="8"/>
        <v>Normal</v>
      </c>
    </row>
    <row r="59" spans="1:16">
      <c r="A59" s="2">
        <f>IF(Participant_Data!A59="","",Participant_Data!A59)</f>
        <v>58</v>
      </c>
      <c r="B59" s="2" t="str">
        <f>IF(Participant_Data!B59="","",Participant_Data!B59)</f>
        <v/>
      </c>
      <c r="C59" s="3" t="str">
        <f>IF(Participant_Data!C59="","",Participant_Data!C59)</f>
        <v/>
      </c>
      <c r="D59" s="2">
        <f>IF(Participant_Data!F59="","",Participant_Data!F59)</f>
        <v>0</v>
      </c>
      <c r="E59" s="2">
        <f>IF(Participant_Data!AO59="","",Participant_Data!AO59)</f>
        <v>2</v>
      </c>
      <c r="F59" s="2">
        <f>IF(Participant_Data!AP59="","",Participant_Data!AP59)</f>
        <v>8</v>
      </c>
      <c r="G59" s="2">
        <f>IF(Participant_Data!AS59="","",Participant_Data!AS59)</f>
        <v>93</v>
      </c>
      <c r="H59" s="4">
        <f t="shared" si="0"/>
        <v>5.8539999999999992</v>
      </c>
      <c r="I59" s="4">
        <f t="shared" si="1"/>
        <v>3.9440000000000026</v>
      </c>
      <c r="J59" s="4">
        <f t="shared" si="2"/>
        <v>348.62609958323327</v>
      </c>
      <c r="K59" s="4">
        <f t="shared" si="3"/>
        <v>51.624687603553546</v>
      </c>
      <c r="L59" s="4">
        <f t="shared" si="4"/>
        <v>401.25078718678679</v>
      </c>
      <c r="M59" s="25">
        <f t="shared" si="5"/>
        <v>2.4922069487043489E-3</v>
      </c>
      <c r="N59" s="25">
        <f t="shared" si="6"/>
        <v>0.86884838788102825</v>
      </c>
      <c r="O59" s="25">
        <f t="shared" si="7"/>
        <v>0.12865940517026742</v>
      </c>
      <c r="P59" s="2" t="str">
        <f t="shared" si="8"/>
        <v>Over</v>
      </c>
    </row>
    <row r="60" spans="1:16">
      <c r="A60" s="2">
        <f>IF(Participant_Data!A60="","",Participant_Data!A60)</f>
        <v>59</v>
      </c>
      <c r="B60" s="2" t="str">
        <f>IF(Participant_Data!B60="","",Participant_Data!B60)</f>
        <v/>
      </c>
      <c r="C60" s="3" t="str">
        <f>IF(Participant_Data!C60="","",Participant_Data!C60)</f>
        <v/>
      </c>
      <c r="D60" s="2">
        <f>IF(Participant_Data!F60="","",Participant_Data!F60)</f>
        <v>0</v>
      </c>
      <c r="E60" s="2">
        <f>IF(Participant_Data!AO60="","",Participant_Data!AO60)</f>
        <v>8</v>
      </c>
      <c r="F60" s="2">
        <f>IF(Participant_Data!AP60="","",Participant_Data!AP60)</f>
        <v>10</v>
      </c>
      <c r="G60" s="2">
        <f>IF(Participant_Data!AS60="","",Participant_Data!AS60)</f>
        <v>68</v>
      </c>
      <c r="H60" s="4">
        <f t="shared" si="0"/>
        <v>-3.5109999999999992</v>
      </c>
      <c r="I60" s="4">
        <f t="shared" si="1"/>
        <v>-1.5609999999999999</v>
      </c>
      <c r="J60" s="4">
        <f t="shared" si="2"/>
        <v>2.9867032465965056E-2</v>
      </c>
      <c r="K60" s="4">
        <f t="shared" si="3"/>
        <v>0.20992604016258565</v>
      </c>
      <c r="L60" s="4">
        <f t="shared" si="4"/>
        <v>1.2397930726285509</v>
      </c>
      <c r="M60" s="25">
        <f t="shared" si="5"/>
        <v>0.80658621352017001</v>
      </c>
      <c r="N60" s="25">
        <f t="shared" si="6"/>
        <v>2.409033662580674E-2</v>
      </c>
      <c r="O60" s="25">
        <f t="shared" si="7"/>
        <v>0.16932344985402309</v>
      </c>
      <c r="P60" s="2" t="str">
        <f t="shared" si="8"/>
        <v>Under</v>
      </c>
    </row>
    <row r="61" spans="1:16">
      <c r="A61" s="2">
        <f>IF(Participant_Data!A61="","",Participant_Data!A61)</f>
        <v>60</v>
      </c>
      <c r="B61" s="2" t="str">
        <f>IF(Participant_Data!B61="","",Participant_Data!B61)</f>
        <v/>
      </c>
      <c r="C61" s="3" t="str">
        <f>IF(Participant_Data!C61="","",Participant_Data!C61)</f>
        <v/>
      </c>
      <c r="D61" s="2">
        <f>IF(Participant_Data!F61="","",Participant_Data!F61)</f>
        <v>0</v>
      </c>
      <c r="E61" s="2">
        <f>IF(Participant_Data!AO61="","",Participant_Data!AO61)</f>
        <v>10</v>
      </c>
      <c r="F61" s="2">
        <f>IF(Participant_Data!AP61="","",Participant_Data!AP61)</f>
        <v>8</v>
      </c>
      <c r="G61" s="2">
        <f>IF(Participant_Data!AS61="","",Participant_Data!AS61)</f>
        <v>124</v>
      </c>
      <c r="H61" s="4">
        <f t="shared" si="0"/>
        <v>16.824999999999996</v>
      </c>
      <c r="I61" s="4">
        <f t="shared" si="1"/>
        <v>10.115000000000002</v>
      </c>
      <c r="J61" s="4">
        <f t="shared" si="2"/>
        <v>20277044.675337195</v>
      </c>
      <c r="K61" s="4">
        <f t="shared" si="3"/>
        <v>24710.906898780577</v>
      </c>
      <c r="L61" s="4">
        <f t="shared" si="4"/>
        <v>20301756.582235977</v>
      </c>
      <c r="M61" s="25">
        <f t="shared" si="5"/>
        <v>4.9256821494697623E-8</v>
      </c>
      <c r="N61" s="25">
        <f t="shared" si="6"/>
        <v>0.99878277001309312</v>
      </c>
      <c r="O61" s="25">
        <f t="shared" si="7"/>
        <v>1.2171807300853268E-3</v>
      </c>
      <c r="P61" s="2" t="str">
        <f t="shared" si="8"/>
        <v>Over</v>
      </c>
    </row>
    <row r="62" spans="1:16">
      <c r="A62" s="2">
        <f>IF(Participant_Data!A62="","",Participant_Data!A62)</f>
        <v>61</v>
      </c>
      <c r="B62" s="2" t="str">
        <f>IF(Participant_Data!B62="","",Participant_Data!B62)</f>
        <v/>
      </c>
      <c r="C62" s="3" t="str">
        <f>IF(Participant_Data!C62="","",Participant_Data!C62)</f>
        <v/>
      </c>
      <c r="D62" s="2">
        <f>IF(Participant_Data!F62="","",Participant_Data!F62)</f>
        <v>0</v>
      </c>
      <c r="E62" s="2">
        <f>IF(Participant_Data!AO62="","",Participant_Data!AO62)</f>
        <v>0</v>
      </c>
      <c r="F62" s="2">
        <f>IF(Participant_Data!AP62="","",Participant_Data!AP62)</f>
        <v>4</v>
      </c>
      <c r="G62" s="2">
        <f>IF(Participant_Data!AS62="","",Participant_Data!AS62)</f>
        <v>87</v>
      </c>
      <c r="H62" s="4">
        <f t="shared" si="0"/>
        <v>5.23</v>
      </c>
      <c r="I62" s="4">
        <f t="shared" si="1"/>
        <v>4.7600000000000016</v>
      </c>
      <c r="J62" s="4">
        <f t="shared" si="2"/>
        <v>186.79280352016818</v>
      </c>
      <c r="K62" s="4">
        <f t="shared" si="3"/>
        <v>116.74592589899009</v>
      </c>
      <c r="L62" s="4">
        <f t="shared" si="4"/>
        <v>304.53872941915824</v>
      </c>
      <c r="M62" s="25">
        <f t="shared" si="5"/>
        <v>3.2836546008689392E-3</v>
      </c>
      <c r="N62" s="25">
        <f t="shared" si="6"/>
        <v>0.61336304868820801</v>
      </c>
      <c r="O62" s="25">
        <f t="shared" si="7"/>
        <v>0.38335329671092311</v>
      </c>
      <c r="P62" s="2" t="str">
        <f t="shared" si="8"/>
        <v>Over</v>
      </c>
    </row>
    <row r="63" spans="1:16">
      <c r="A63" s="2">
        <f>IF(Participant_Data!A63="","",Participant_Data!A63)</f>
        <v>62</v>
      </c>
      <c r="B63" s="2" t="str">
        <f>IF(Participant_Data!B63="","",Participant_Data!B63)</f>
        <v/>
      </c>
      <c r="C63" s="3" t="str">
        <f>IF(Participant_Data!C63="","",Participant_Data!C63)</f>
        <v/>
      </c>
      <c r="D63" s="2">
        <f>IF(Participant_Data!F63="","",Participant_Data!F63)</f>
        <v>0</v>
      </c>
      <c r="E63" s="2">
        <f>IF(Participant_Data!AO63="","",Participant_Data!AO63)</f>
        <v>4</v>
      </c>
      <c r="F63" s="2">
        <f>IF(Participant_Data!AP63="","",Participant_Data!AP63)</f>
        <v>4</v>
      </c>
      <c r="G63" s="2">
        <f>IF(Participant_Data!AS63="","",Participant_Data!AS63)</f>
        <v>92</v>
      </c>
      <c r="H63" s="4">
        <f t="shared" si="0"/>
        <v>7.0509999999999984</v>
      </c>
      <c r="I63" s="4">
        <f t="shared" si="1"/>
        <v>5.8610000000000024</v>
      </c>
      <c r="J63" s="4">
        <f t="shared" si="2"/>
        <v>1154.0121781477319</v>
      </c>
      <c r="K63" s="4">
        <f t="shared" si="3"/>
        <v>351.07504358447488</v>
      </c>
      <c r="L63" s="4">
        <f t="shared" si="4"/>
        <v>1506.0872217322067</v>
      </c>
      <c r="M63" s="25">
        <f t="shared" si="5"/>
        <v>6.6397216945368077E-4</v>
      </c>
      <c r="N63" s="25">
        <f t="shared" si="6"/>
        <v>0.76623196950071704</v>
      </c>
      <c r="O63" s="25">
        <f t="shared" si="7"/>
        <v>0.23310405832982931</v>
      </c>
      <c r="P63" s="2" t="str">
        <f t="shared" si="8"/>
        <v>Over</v>
      </c>
    </row>
    <row r="64" spans="1:16">
      <c r="A64" s="2">
        <f>IF(Participant_Data!A64="","",Participant_Data!A64)</f>
        <v>63</v>
      </c>
      <c r="B64" s="2" t="str">
        <f>IF(Participant_Data!B64="","",Participant_Data!B64)</f>
        <v/>
      </c>
      <c r="C64" s="3" t="str">
        <f>IF(Participant_Data!C64="","",Participant_Data!C64)</f>
        <v/>
      </c>
      <c r="D64" s="2">
        <f>IF(Participant_Data!F64="","",Participant_Data!F64)</f>
        <v>0</v>
      </c>
      <c r="E64" s="2">
        <f>IF(Participant_Data!AO64="","",Participant_Data!AO64)</f>
        <v>6</v>
      </c>
      <c r="F64" s="2">
        <f>IF(Participant_Data!AP64="","",Participant_Data!AP64)</f>
        <v>4</v>
      </c>
      <c r="G64" s="2">
        <f>IF(Participant_Data!AS64="","",Participant_Data!AS64)</f>
        <v>70</v>
      </c>
      <c r="H64" s="4">
        <f t="shared" si="0"/>
        <v>-0.58899999999999864</v>
      </c>
      <c r="I64" s="4">
        <f t="shared" si="1"/>
        <v>1.7810000000000006</v>
      </c>
      <c r="J64" s="4">
        <f t="shared" si="2"/>
        <v>0.55488188927529569</v>
      </c>
      <c r="K64" s="4">
        <f t="shared" si="3"/>
        <v>5.9357892409265061</v>
      </c>
      <c r="L64" s="4">
        <f t="shared" si="4"/>
        <v>7.4906711302018021</v>
      </c>
      <c r="M64" s="25">
        <f t="shared" si="5"/>
        <v>0.13349938645258072</v>
      </c>
      <c r="N64" s="25">
        <f t="shared" si="6"/>
        <v>7.4076391771900812E-2</v>
      </c>
      <c r="O64" s="25">
        <f t="shared" si="7"/>
        <v>0.79242422177551841</v>
      </c>
      <c r="P64" s="2" t="str">
        <f t="shared" si="8"/>
        <v>Normal</v>
      </c>
    </row>
    <row r="65" spans="1:16">
      <c r="A65" s="2">
        <f>IF(Participant_Data!A65="","",Participant_Data!A65)</f>
        <v>64</v>
      </c>
      <c r="B65" s="2" t="str">
        <f>IF(Participant_Data!B65="","",Participant_Data!B65)</f>
        <v/>
      </c>
      <c r="C65" s="3" t="str">
        <f>IF(Participant_Data!C65="","",Participant_Data!C65)</f>
        <v/>
      </c>
      <c r="D65" s="2">
        <f>IF(Participant_Data!F65="","",Participant_Data!F65)</f>
        <v>0</v>
      </c>
      <c r="E65" s="2">
        <f>IF(Participant_Data!AO65="","",Participant_Data!AO65)</f>
        <v>8</v>
      </c>
      <c r="F65" s="2">
        <f>IF(Participant_Data!AP65="","",Participant_Data!AP65)</f>
        <v>4</v>
      </c>
      <c r="G65" s="2">
        <f>IF(Participant_Data!AS65="","",Participant_Data!AS65)</f>
        <v>76</v>
      </c>
      <c r="H65" s="4">
        <f t="shared" si="0"/>
        <v>1.5429999999999993</v>
      </c>
      <c r="I65" s="4">
        <f t="shared" si="1"/>
        <v>2.9930000000000003</v>
      </c>
      <c r="J65" s="4">
        <f t="shared" si="2"/>
        <v>4.6786050534637154</v>
      </c>
      <c r="K65" s="4">
        <f t="shared" si="3"/>
        <v>19.945429114163364</v>
      </c>
      <c r="L65" s="4">
        <f t="shared" si="4"/>
        <v>25.62403416762708</v>
      </c>
      <c r="M65" s="25">
        <f t="shared" si="5"/>
        <v>3.9025861168394051E-2</v>
      </c>
      <c r="N65" s="25">
        <f t="shared" si="6"/>
        <v>0.18258659127822177</v>
      </c>
      <c r="O65" s="25">
        <f t="shared" si="7"/>
        <v>0.77838754755338413</v>
      </c>
      <c r="P65" s="2" t="str">
        <f t="shared" si="8"/>
        <v>Normal</v>
      </c>
    </row>
    <row r="66" spans="1:16">
      <c r="A66" s="2">
        <f>IF(Participant_Data!A66="","",Participant_Data!A66)</f>
        <v>65</v>
      </c>
      <c r="B66" s="2" t="str">
        <f>IF(Participant_Data!B66="","",Participant_Data!B66)</f>
        <v/>
      </c>
      <c r="C66" s="3" t="str">
        <f>IF(Participant_Data!C66="","",Participant_Data!C66)</f>
        <v/>
      </c>
      <c r="D66" s="2">
        <f>IF(Participant_Data!F66="","",Participant_Data!F66)</f>
        <v>0</v>
      </c>
      <c r="E66" s="2">
        <f>IF(Participant_Data!AO66="","",Participant_Data!AO66)</f>
        <v>8</v>
      </c>
      <c r="F66" s="2">
        <f>IF(Participant_Data!AP66="","",Participant_Data!AP66)</f>
        <v>8</v>
      </c>
      <c r="G66" s="2">
        <f>IF(Participant_Data!AS66="","",Participant_Data!AS66)</f>
        <v>100</v>
      </c>
      <c r="H66" s="4">
        <f t="shared" ref="H66:H129" si="9">IF(OR(D66="",E66="",F66="",G66=""),"", -23.625 + 0.019*E66 - 0.377*F66 + 0.349*G66 - 2.336*D66)</f>
        <v>8.4110000000000014</v>
      </c>
      <c r="I66" s="4">
        <f t="shared" ref="I66:I129" si="10">IF(OR(D66="",E66="",F66="",G66=""),"", -9.655 + 0.039*E66 - 0.507*F66 + 0.189*G66 - 2.489*D66)</f>
        <v>5.5009999999999977</v>
      </c>
      <c r="J66" s="4">
        <f t="shared" ref="J66:J129" si="11">IF(H66="","",EXP(H66))</f>
        <v>4496.2545186893121</v>
      </c>
      <c r="K66" s="4">
        <f t="shared" ref="K66:K129" si="12">IF(I66="","",EXP(I66))</f>
        <v>244.93674658324235</v>
      </c>
      <c r="L66" s="4">
        <f t="shared" ref="L66:L129" si="13">IF(OR(J66="",K66=""),"",1+J66+K66)</f>
        <v>4742.1912652725541</v>
      </c>
      <c r="M66" s="25">
        <f t="shared" ref="M66:M129" si="14">IF(L66="","",1/L66)</f>
        <v>2.1087297919067076E-4</v>
      </c>
      <c r="N66" s="25">
        <f t="shared" ref="N66:N129" si="15">IF(L66="","",J66/L66)</f>
        <v>0.94813858555553077</v>
      </c>
      <c r="O66" s="25">
        <f t="shared" ref="O66:O129" si="16">IF(L66="","",K66/L66)</f>
        <v>5.1650541465278664E-2</v>
      </c>
      <c r="P66" s="2" t="str">
        <f t="shared" ref="P66:P129" si="17">IF(OR(M66="",N66="",O66=""),"",IF(M66=MAX(M66:O66),"Under",IF(N66=MAX(M66:O66),"Over","Normal")))</f>
        <v>Over</v>
      </c>
    </row>
    <row r="67" spans="1:16">
      <c r="A67" s="2">
        <f>IF(Participant_Data!A67="","",Participant_Data!A67)</f>
        <v>66</v>
      </c>
      <c r="B67" s="2" t="str">
        <f>IF(Participant_Data!B67="","",Participant_Data!B67)</f>
        <v/>
      </c>
      <c r="C67" s="3" t="str">
        <f>IF(Participant_Data!C67="","",Participant_Data!C67)</f>
        <v/>
      </c>
      <c r="D67" s="2">
        <f>IF(Participant_Data!F67="","",Participant_Data!F67)</f>
        <v>0</v>
      </c>
      <c r="E67" s="2">
        <f>IF(Participant_Data!AO67="","",Participant_Data!AO67)</f>
        <v>12</v>
      </c>
      <c r="F67" s="2">
        <f>IF(Participant_Data!AP67="","",Participant_Data!AP67)</f>
        <v>6</v>
      </c>
      <c r="G67" s="2">
        <f>IF(Participant_Data!AS67="","",Participant_Data!AS67)</f>
        <v>90.5</v>
      </c>
      <c r="H67" s="4">
        <f t="shared" si="9"/>
        <v>5.9254999999999995</v>
      </c>
      <c r="I67" s="4">
        <f t="shared" si="10"/>
        <v>4.8755000000000024</v>
      </c>
      <c r="J67" s="4">
        <f t="shared" si="11"/>
        <v>374.46562137055474</v>
      </c>
      <c r="K67" s="4">
        <f t="shared" si="12"/>
        <v>131.03965666192244</v>
      </c>
      <c r="L67" s="4">
        <f t="shared" si="13"/>
        <v>506.50527803247718</v>
      </c>
      <c r="M67" s="25">
        <f t="shared" si="14"/>
        <v>1.9743130888675159E-3</v>
      </c>
      <c r="N67" s="25">
        <f t="shared" si="15"/>
        <v>0.73931237760279367</v>
      </c>
      <c r="O67" s="25">
        <f t="shared" si="16"/>
        <v>0.25871330930833886</v>
      </c>
      <c r="P67" s="2" t="str">
        <f t="shared" si="17"/>
        <v>Over</v>
      </c>
    </row>
    <row r="68" spans="1:16">
      <c r="A68" s="2">
        <f>IF(Participant_Data!A68="","",Participant_Data!A68)</f>
        <v>67</v>
      </c>
      <c r="B68" s="2" t="str">
        <f>IF(Participant_Data!B68="","",Participant_Data!B68)</f>
        <v/>
      </c>
      <c r="C68" s="3" t="str">
        <f>IF(Participant_Data!C68="","",Participant_Data!C68)</f>
        <v/>
      </c>
      <c r="D68" s="2">
        <f>IF(Participant_Data!F68="","",Participant_Data!F68)</f>
        <v>0</v>
      </c>
      <c r="E68" s="2">
        <f>IF(Participant_Data!AO68="","",Participant_Data!AO68)</f>
        <v>10</v>
      </c>
      <c r="F68" s="2">
        <f>IF(Participant_Data!AP68="","",Participant_Data!AP68)</f>
        <v>8</v>
      </c>
      <c r="G68" s="2">
        <f>IF(Participant_Data!AS68="","",Participant_Data!AS68)</f>
        <v>60</v>
      </c>
      <c r="H68" s="4">
        <f t="shared" si="9"/>
        <v>-5.5110000000000028</v>
      </c>
      <c r="I68" s="4">
        <f t="shared" si="10"/>
        <v>-1.9809999999999981</v>
      </c>
      <c r="J68" s="4">
        <f t="shared" si="11"/>
        <v>4.0420632982184736E-3</v>
      </c>
      <c r="K68" s="4">
        <f t="shared" si="12"/>
        <v>0.13793123708519506</v>
      </c>
      <c r="L68" s="4">
        <f t="shared" si="13"/>
        <v>1.1419733003834136</v>
      </c>
      <c r="M68" s="25">
        <f t="shared" si="14"/>
        <v>0.87567721562689205</v>
      </c>
      <c r="N68" s="25">
        <f t="shared" si="15"/>
        <v>3.5395427343716044E-3</v>
      </c>
      <c r="O68" s="25">
        <f t="shared" si="16"/>
        <v>0.12078324163873631</v>
      </c>
      <c r="P68" s="2" t="str">
        <f t="shared" si="17"/>
        <v>Under</v>
      </c>
    </row>
    <row r="69" spans="1:16">
      <c r="A69" s="2">
        <f>IF(Participant_Data!A69="","",Participant_Data!A69)</f>
        <v>68</v>
      </c>
      <c r="B69" s="2" t="str">
        <f>IF(Participant_Data!B69="","",Participant_Data!B69)</f>
        <v/>
      </c>
      <c r="C69" s="3" t="str">
        <f>IF(Participant_Data!C69="","",Participant_Data!C69)</f>
        <v/>
      </c>
      <c r="D69" s="2">
        <f>IF(Participant_Data!F69="","",Participant_Data!F69)</f>
        <v>0</v>
      </c>
      <c r="E69" s="2">
        <f>IF(Participant_Data!AO69="","",Participant_Data!AO69)</f>
        <v>8</v>
      </c>
      <c r="F69" s="2">
        <f>IF(Participant_Data!AP69="","",Participant_Data!AP69)</f>
        <v>6</v>
      </c>
      <c r="G69" s="2">
        <f>IF(Participant_Data!AS69="","",Participant_Data!AS69)</f>
        <v>88</v>
      </c>
      <c r="H69" s="4">
        <f t="shared" si="9"/>
        <v>4.9769999999999968</v>
      </c>
      <c r="I69" s="4">
        <f t="shared" si="10"/>
        <v>4.2470000000000017</v>
      </c>
      <c r="J69" s="4">
        <f t="shared" si="11"/>
        <v>145.03861248922209</v>
      </c>
      <c r="K69" s="4">
        <f t="shared" si="12"/>
        <v>69.895411268765585</v>
      </c>
      <c r="L69" s="4">
        <f t="shared" si="13"/>
        <v>215.93402375798769</v>
      </c>
      <c r="M69" s="25">
        <f t="shared" si="14"/>
        <v>4.6310441615294946E-3</v>
      </c>
      <c r="N69" s="25">
        <f t="shared" si="15"/>
        <v>0.67168021956455071</v>
      </c>
      <c r="O69" s="25">
        <f t="shared" si="16"/>
        <v>0.3236887362739197</v>
      </c>
      <c r="P69" s="2" t="str">
        <f t="shared" si="17"/>
        <v>Over</v>
      </c>
    </row>
    <row r="70" spans="1:16">
      <c r="A70" s="2">
        <f>IF(Participant_Data!A70="","",Participant_Data!A70)</f>
        <v>69</v>
      </c>
      <c r="B70" s="2" t="str">
        <f>IF(Participant_Data!B70="","",Participant_Data!B70)</f>
        <v/>
      </c>
      <c r="C70" s="3" t="str">
        <f>IF(Participant_Data!C70="","",Participant_Data!C70)</f>
        <v/>
      </c>
      <c r="D70" s="2">
        <f>IF(Participant_Data!F70="","",Participant_Data!F70)</f>
        <v>0</v>
      </c>
      <c r="E70" s="2">
        <f>IF(Participant_Data!AO70="","",Participant_Data!AO70)</f>
        <v>6</v>
      </c>
      <c r="F70" s="2">
        <f>IF(Participant_Data!AP70="","",Participant_Data!AP70)</f>
        <v>6</v>
      </c>
      <c r="G70" s="2">
        <f>IF(Participant_Data!AS70="","",Participant_Data!AS70)</f>
        <v>90</v>
      </c>
      <c r="H70" s="4">
        <f t="shared" si="9"/>
        <v>5.6369999999999969</v>
      </c>
      <c r="I70" s="4">
        <f t="shared" si="10"/>
        <v>4.5470000000000024</v>
      </c>
      <c r="J70" s="4">
        <f t="shared" si="11"/>
        <v>280.61959563645371</v>
      </c>
      <c r="K70" s="4">
        <f t="shared" si="12"/>
        <v>94.348936510290301</v>
      </c>
      <c r="L70" s="4">
        <f t="shared" si="13"/>
        <v>375.968532146744</v>
      </c>
      <c r="M70" s="25">
        <f t="shared" si="14"/>
        <v>2.6597970694251898E-3</v>
      </c>
      <c r="N70" s="25">
        <f t="shared" si="15"/>
        <v>0.74639117809712141</v>
      </c>
      <c r="O70" s="25">
        <f t="shared" si="16"/>
        <v>0.25094902483345344</v>
      </c>
      <c r="P70" s="2" t="str">
        <f t="shared" si="17"/>
        <v>Over</v>
      </c>
    </row>
    <row r="71" spans="1:16">
      <c r="A71" s="2">
        <f>IF(Participant_Data!A71="","",Participant_Data!A71)</f>
        <v>70</v>
      </c>
      <c r="B71" s="2" t="str">
        <f>IF(Participant_Data!B71="","",Participant_Data!B71)</f>
        <v/>
      </c>
      <c r="C71" s="3" t="str">
        <f>IF(Participant_Data!C71="","",Participant_Data!C71)</f>
        <v/>
      </c>
      <c r="D71" s="2">
        <f>IF(Participant_Data!F71="","",Participant_Data!F71)</f>
        <v>0</v>
      </c>
      <c r="E71" s="2">
        <f>IF(Participant_Data!AO71="","",Participant_Data!AO71)</f>
        <v>14</v>
      </c>
      <c r="F71" s="2">
        <f>IF(Participant_Data!AP71="","",Participant_Data!AP71)</f>
        <v>10</v>
      </c>
      <c r="G71" s="2">
        <f>IF(Participant_Data!AS71="","",Participant_Data!AS71)</f>
        <v>93</v>
      </c>
      <c r="H71" s="4">
        <f t="shared" si="9"/>
        <v>5.3279999999999994</v>
      </c>
      <c r="I71" s="4">
        <f t="shared" si="10"/>
        <v>3.3980000000000015</v>
      </c>
      <c r="J71" s="4">
        <f t="shared" si="11"/>
        <v>206.02551080883075</v>
      </c>
      <c r="K71" s="4">
        <f t="shared" si="12"/>
        <v>29.904231735570193</v>
      </c>
      <c r="L71" s="4">
        <f t="shared" si="13"/>
        <v>236.92974254440094</v>
      </c>
      <c r="M71" s="25">
        <f t="shared" si="14"/>
        <v>4.2206604762278785E-3</v>
      </c>
      <c r="N71" s="25">
        <f t="shared" si="15"/>
        <v>0.86956373056549163</v>
      </c>
      <c r="O71" s="25">
        <f t="shared" si="16"/>
        <v>0.12621560895828055</v>
      </c>
      <c r="P71" s="2" t="str">
        <f t="shared" si="17"/>
        <v>Over</v>
      </c>
    </row>
    <row r="72" spans="1:16">
      <c r="A72" s="2">
        <f>IF(Participant_Data!A72="","",Participant_Data!A72)</f>
        <v>71</v>
      </c>
      <c r="B72" s="2" t="str">
        <f>IF(Participant_Data!B72="","",Participant_Data!B72)</f>
        <v/>
      </c>
      <c r="C72" s="3" t="str">
        <f>IF(Participant_Data!C72="","",Participant_Data!C72)</f>
        <v/>
      </c>
      <c r="D72" s="2">
        <f>IF(Participant_Data!F72="","",Participant_Data!F72)</f>
        <v>0</v>
      </c>
      <c r="E72" s="2">
        <f>IF(Participant_Data!AO72="","",Participant_Data!AO72)</f>
        <v>10</v>
      </c>
      <c r="F72" s="2">
        <f>IF(Participant_Data!AP72="","",Participant_Data!AP72)</f>
        <v>4</v>
      </c>
      <c r="G72" s="2">
        <f>IF(Participant_Data!AS72="","",Participant_Data!AS72)</f>
        <v>88.5</v>
      </c>
      <c r="H72" s="4">
        <f t="shared" si="9"/>
        <v>5.9435000000000002</v>
      </c>
      <c r="I72" s="4">
        <f t="shared" si="10"/>
        <v>5.4335000000000022</v>
      </c>
      <c r="J72" s="4">
        <f t="shared" si="11"/>
        <v>381.26703161029781</v>
      </c>
      <c r="K72" s="4">
        <f t="shared" si="12"/>
        <v>228.94916682886074</v>
      </c>
      <c r="L72" s="4">
        <f t="shared" si="13"/>
        <v>611.21619843915857</v>
      </c>
      <c r="M72" s="25">
        <f t="shared" si="14"/>
        <v>1.6360822938817148E-3</v>
      </c>
      <c r="N72" s="25">
        <f t="shared" si="15"/>
        <v>0.62378423965844831</v>
      </c>
      <c r="O72" s="25">
        <f t="shared" si="16"/>
        <v>0.3745796780476699</v>
      </c>
      <c r="P72" s="2" t="str">
        <f t="shared" si="17"/>
        <v>Over</v>
      </c>
    </row>
    <row r="73" spans="1:16">
      <c r="A73" s="2">
        <f>IF(Participant_Data!A73="","",Participant_Data!A73)</f>
        <v>72</v>
      </c>
      <c r="B73" s="2" t="str">
        <f>IF(Participant_Data!B73="","",Participant_Data!B73)</f>
        <v/>
      </c>
      <c r="C73" s="3" t="str">
        <f>IF(Participant_Data!C73="","",Participant_Data!C73)</f>
        <v/>
      </c>
      <c r="D73" s="2">
        <f>IF(Participant_Data!F73="","",Participant_Data!F73)</f>
        <v>0</v>
      </c>
      <c r="E73" s="2">
        <f>IF(Participant_Data!AO73="","",Participant_Data!AO73)</f>
        <v>10</v>
      </c>
      <c r="F73" s="2">
        <f>IF(Participant_Data!AP73="","",Participant_Data!AP73)</f>
        <v>6</v>
      </c>
      <c r="G73" s="2">
        <f>IF(Participant_Data!AS73="","",Participant_Data!AS73)</f>
        <v>67</v>
      </c>
      <c r="H73" s="4">
        <f t="shared" si="9"/>
        <v>-2.3140000000000001</v>
      </c>
      <c r="I73" s="4">
        <f t="shared" si="10"/>
        <v>0.35600000000000165</v>
      </c>
      <c r="J73" s="4">
        <f t="shared" si="11"/>
        <v>9.886499958569081E-2</v>
      </c>
      <c r="K73" s="4">
        <f t="shared" si="12"/>
        <v>1.4276075482638473</v>
      </c>
      <c r="L73" s="4">
        <f t="shared" si="13"/>
        <v>2.5264725478495382</v>
      </c>
      <c r="M73" s="25">
        <f t="shared" si="14"/>
        <v>0.3958087733235699</v>
      </c>
      <c r="N73" s="25">
        <f t="shared" si="15"/>
        <v>3.9131634210647526E-2</v>
      </c>
      <c r="O73" s="25">
        <f t="shared" si="16"/>
        <v>0.56505959246578252</v>
      </c>
      <c r="P73" s="2" t="str">
        <f t="shared" si="17"/>
        <v>Normal</v>
      </c>
    </row>
    <row r="74" spans="1:16">
      <c r="A74" s="2">
        <f>IF(Participant_Data!A74="","",Participant_Data!A74)</f>
        <v>73</v>
      </c>
      <c r="B74" s="2" t="str">
        <f>IF(Participant_Data!B74="","",Participant_Data!B74)</f>
        <v/>
      </c>
      <c r="C74" s="3" t="str">
        <f>IF(Participant_Data!C74="","",Participant_Data!C74)</f>
        <v/>
      </c>
      <c r="D74" s="2">
        <f>IF(Participant_Data!F74="","",Participant_Data!F74)</f>
        <v>0</v>
      </c>
      <c r="E74" s="2">
        <f>IF(Participant_Data!AO74="","",Participant_Data!AO74)</f>
        <v>6</v>
      </c>
      <c r="F74" s="2">
        <f>IF(Participant_Data!AP74="","",Participant_Data!AP74)</f>
        <v>4</v>
      </c>
      <c r="G74" s="2">
        <f>IF(Participant_Data!AS74="","",Participant_Data!AS74)</f>
        <v>88.5</v>
      </c>
      <c r="H74" s="4">
        <f t="shared" si="9"/>
        <v>5.8674999999999997</v>
      </c>
      <c r="I74" s="4">
        <f t="shared" si="10"/>
        <v>5.2775000000000016</v>
      </c>
      <c r="J74" s="4">
        <f t="shared" si="11"/>
        <v>353.3644639232121</v>
      </c>
      <c r="K74" s="4">
        <f t="shared" si="12"/>
        <v>195.87956380821922</v>
      </c>
      <c r="L74" s="4">
        <f t="shared" si="13"/>
        <v>550.24402773143129</v>
      </c>
      <c r="M74" s="25">
        <f t="shared" si="14"/>
        <v>1.8173754727022502E-3</v>
      </c>
      <c r="N74" s="25">
        <f t="shared" si="15"/>
        <v>0.64219590965862483</v>
      </c>
      <c r="O74" s="25">
        <f t="shared" si="16"/>
        <v>0.355986714868673</v>
      </c>
      <c r="P74" s="2" t="str">
        <f t="shared" si="17"/>
        <v>Over</v>
      </c>
    </row>
    <row r="75" spans="1:16">
      <c r="A75" s="2">
        <f>IF(Participant_Data!A75="","",Participant_Data!A75)</f>
        <v>74</v>
      </c>
      <c r="B75" s="2" t="str">
        <f>IF(Participant_Data!B75="","",Participant_Data!B75)</f>
        <v/>
      </c>
      <c r="C75" s="3" t="str">
        <f>IF(Participant_Data!C75="","",Participant_Data!C75)</f>
        <v/>
      </c>
      <c r="D75" s="2">
        <f>IF(Participant_Data!F75="","",Participant_Data!F75)</f>
        <v>0</v>
      </c>
      <c r="E75" s="2">
        <f>IF(Participant_Data!AO75="","",Participant_Data!AO75)</f>
        <v>8</v>
      </c>
      <c r="F75" s="2">
        <f>IF(Participant_Data!AP75="","",Participant_Data!AP75)</f>
        <v>4</v>
      </c>
      <c r="G75" s="2">
        <f>IF(Participant_Data!AS75="","",Participant_Data!AS75)</f>
        <v>100</v>
      </c>
      <c r="H75" s="4">
        <f t="shared" si="9"/>
        <v>9.9190000000000005</v>
      </c>
      <c r="I75" s="4">
        <f t="shared" si="10"/>
        <v>7.5289999999999981</v>
      </c>
      <c r="J75" s="4">
        <f t="shared" si="11"/>
        <v>20312.667800791209</v>
      </c>
      <c r="K75" s="4">
        <f t="shared" si="12"/>
        <v>1861.2433292952658</v>
      </c>
      <c r="L75" s="4">
        <f t="shared" si="13"/>
        <v>22174.911130086475</v>
      </c>
      <c r="M75" s="25">
        <f t="shared" si="14"/>
        <v>4.5096009365431909E-5</v>
      </c>
      <c r="N75" s="25">
        <f t="shared" si="15"/>
        <v>0.91602025738138759</v>
      </c>
      <c r="O75" s="25">
        <f t="shared" si="16"/>
        <v>8.3934646609246974E-2</v>
      </c>
      <c r="P75" s="2" t="str">
        <f t="shared" si="17"/>
        <v>Over</v>
      </c>
    </row>
    <row r="76" spans="1:16">
      <c r="A76" s="2">
        <f>IF(Participant_Data!A76="","",Participant_Data!A76)</f>
        <v>75</v>
      </c>
      <c r="B76" s="2" t="str">
        <f>IF(Participant_Data!B76="","",Participant_Data!B76)</f>
        <v/>
      </c>
      <c r="C76" s="3" t="str">
        <f>IF(Participant_Data!C76="","",Participant_Data!C76)</f>
        <v/>
      </c>
      <c r="D76" s="2">
        <f>IF(Participant_Data!F76="","",Participant_Data!F76)</f>
        <v>0</v>
      </c>
      <c r="E76" s="2">
        <f>IF(Participant_Data!AO76="","",Participant_Data!AO76)</f>
        <v>4</v>
      </c>
      <c r="F76" s="2">
        <f>IF(Participant_Data!AP76="","",Participant_Data!AP76)</f>
        <v>4</v>
      </c>
      <c r="G76" s="2">
        <f>IF(Participant_Data!AS76="","",Participant_Data!AS76)</f>
        <v>76</v>
      </c>
      <c r="H76" s="4">
        <f t="shared" si="9"/>
        <v>1.4669999999999987</v>
      </c>
      <c r="I76" s="4">
        <f t="shared" si="10"/>
        <v>2.8370000000000015</v>
      </c>
      <c r="J76" s="4">
        <f t="shared" si="11"/>
        <v>4.3362069876407938</v>
      </c>
      <c r="K76" s="4">
        <f t="shared" si="12"/>
        <v>17.064495184516169</v>
      </c>
      <c r="L76" s="4">
        <f t="shared" si="13"/>
        <v>22.400702172156961</v>
      </c>
      <c r="M76" s="25">
        <f t="shared" si="14"/>
        <v>4.4641457768362001E-2</v>
      </c>
      <c r="N76" s="25">
        <f t="shared" si="15"/>
        <v>0.19357460111364272</v>
      </c>
      <c r="O76" s="25">
        <f t="shared" si="16"/>
        <v>0.7617839411179953</v>
      </c>
      <c r="P76" s="2" t="str">
        <f t="shared" si="17"/>
        <v>Normal</v>
      </c>
    </row>
    <row r="77" spans="1:16">
      <c r="A77" s="2">
        <f>IF(Participant_Data!A77="","",Participant_Data!A77)</f>
        <v>76</v>
      </c>
      <c r="B77" s="2" t="str">
        <f>IF(Participant_Data!B77="","",Participant_Data!B77)</f>
        <v/>
      </c>
      <c r="C77" s="3" t="str">
        <f>IF(Participant_Data!C77="","",Participant_Data!C77)</f>
        <v/>
      </c>
      <c r="D77" s="2">
        <f>IF(Participant_Data!F77="","",Participant_Data!F77)</f>
        <v>0</v>
      </c>
      <c r="E77" s="2">
        <f>IF(Participant_Data!AO77="","",Participant_Data!AO77)</f>
        <v>6</v>
      </c>
      <c r="F77" s="2">
        <f>IF(Participant_Data!AP77="","",Participant_Data!AP77)</f>
        <v>4</v>
      </c>
      <c r="G77" s="2">
        <f>IF(Participant_Data!AS77="","",Participant_Data!AS77)</f>
        <v>88</v>
      </c>
      <c r="H77" s="4">
        <f t="shared" si="9"/>
        <v>5.6929999999999978</v>
      </c>
      <c r="I77" s="4">
        <f t="shared" si="10"/>
        <v>5.1830000000000016</v>
      </c>
      <c r="J77" s="4">
        <f t="shared" si="11"/>
        <v>296.78263435621818</v>
      </c>
      <c r="K77" s="4">
        <f t="shared" si="12"/>
        <v>178.21665979916699</v>
      </c>
      <c r="L77" s="4">
        <f t="shared" si="13"/>
        <v>475.9992941553852</v>
      </c>
      <c r="M77" s="25">
        <f t="shared" si="14"/>
        <v>2.1008434514055395E-3</v>
      </c>
      <c r="N77" s="25">
        <f t="shared" si="15"/>
        <v>0.6234938538781456</v>
      </c>
      <c r="O77" s="25">
        <f t="shared" si="16"/>
        <v>0.3744053026704488</v>
      </c>
      <c r="P77" s="2" t="str">
        <f t="shared" si="17"/>
        <v>Over</v>
      </c>
    </row>
    <row r="78" spans="1:16">
      <c r="A78" s="2">
        <f>IF(Participant_Data!A78="","",Participant_Data!A78)</f>
        <v>77</v>
      </c>
      <c r="B78" s="2" t="str">
        <f>IF(Participant_Data!B78="","",Participant_Data!B78)</f>
        <v/>
      </c>
      <c r="C78" s="3" t="str">
        <f>IF(Participant_Data!C78="","",Participant_Data!C78)</f>
        <v/>
      </c>
      <c r="D78" s="2">
        <f>IF(Participant_Data!F78="","",Participant_Data!F78)</f>
        <v>0</v>
      </c>
      <c r="E78" s="2">
        <f>IF(Participant_Data!AO78="","",Participant_Data!AO78)</f>
        <v>14</v>
      </c>
      <c r="F78" s="2">
        <f>IF(Participant_Data!AP78="","",Participant_Data!AP78)</f>
        <v>4</v>
      </c>
      <c r="G78" s="2">
        <f>IF(Participant_Data!AS78="","",Participant_Data!AS78)</f>
        <v>91</v>
      </c>
      <c r="H78" s="4">
        <f t="shared" si="9"/>
        <v>6.8919999999999959</v>
      </c>
      <c r="I78" s="4">
        <f t="shared" si="10"/>
        <v>6.0620000000000012</v>
      </c>
      <c r="J78" s="4">
        <f t="shared" si="11"/>
        <v>984.36818616604955</v>
      </c>
      <c r="K78" s="4">
        <f t="shared" si="12"/>
        <v>429.23304505533264</v>
      </c>
      <c r="L78" s="4">
        <f t="shared" si="13"/>
        <v>1414.6012312213822</v>
      </c>
      <c r="M78" s="25">
        <f t="shared" si="14"/>
        <v>7.0691299988236893E-4</v>
      </c>
      <c r="N78" s="25">
        <f t="shared" si="15"/>
        <v>0.69586266747140835</v>
      </c>
      <c r="O78" s="25">
        <f t="shared" si="16"/>
        <v>0.30343041952870925</v>
      </c>
      <c r="P78" s="2" t="str">
        <f t="shared" si="17"/>
        <v>Over</v>
      </c>
    </row>
    <row r="79" spans="1:16">
      <c r="A79" s="2">
        <f>IF(Participant_Data!A79="","",Participant_Data!A79)</f>
        <v>78</v>
      </c>
      <c r="B79" s="2" t="str">
        <f>IF(Participant_Data!B79="","",Participant_Data!B79)</f>
        <v/>
      </c>
      <c r="C79" s="3" t="str">
        <f>IF(Participant_Data!C79="","",Participant_Data!C79)</f>
        <v/>
      </c>
      <c r="D79" s="2">
        <f>IF(Participant_Data!F79="","",Participant_Data!F79)</f>
        <v>0</v>
      </c>
      <c r="E79" s="2">
        <f>IF(Participant_Data!AO79="","",Participant_Data!AO79)</f>
        <v>6</v>
      </c>
      <c r="F79" s="2">
        <f>IF(Participant_Data!AP79="","",Participant_Data!AP79)</f>
        <v>4</v>
      </c>
      <c r="G79" s="2">
        <f>IF(Participant_Data!AS79="","",Participant_Data!AS79)</f>
        <v>92</v>
      </c>
      <c r="H79" s="4">
        <f t="shared" si="9"/>
        <v>7.0889999999999986</v>
      </c>
      <c r="I79" s="4">
        <f t="shared" si="10"/>
        <v>5.9390000000000018</v>
      </c>
      <c r="J79" s="4">
        <f t="shared" si="11"/>
        <v>1198.7084925641943</v>
      </c>
      <c r="K79" s="4">
        <f t="shared" si="12"/>
        <v>379.55518451276254</v>
      </c>
      <c r="L79" s="4">
        <f t="shared" si="13"/>
        <v>1579.2636770769568</v>
      </c>
      <c r="M79" s="25">
        <f t="shared" si="14"/>
        <v>6.3320648382852063E-4</v>
      </c>
      <c r="N79" s="25">
        <f t="shared" si="15"/>
        <v>0.75902998971195978</v>
      </c>
      <c r="O79" s="25">
        <f t="shared" si="16"/>
        <v>0.24033680380421171</v>
      </c>
      <c r="P79" s="2" t="str">
        <f t="shared" si="17"/>
        <v>Over</v>
      </c>
    </row>
    <row r="80" spans="1:16">
      <c r="A80" s="2">
        <f>IF(Participant_Data!A80="","",Participant_Data!A80)</f>
        <v>79</v>
      </c>
      <c r="B80" s="2" t="str">
        <f>IF(Participant_Data!B80="","",Participant_Data!B80)</f>
        <v/>
      </c>
      <c r="C80" s="3" t="str">
        <f>IF(Participant_Data!C80="","",Participant_Data!C80)</f>
        <v/>
      </c>
      <c r="D80" s="2">
        <f>IF(Participant_Data!F80="","",Participant_Data!F80)</f>
        <v>0</v>
      </c>
      <c r="E80" s="2">
        <f>IF(Participant_Data!AO80="","",Participant_Data!AO80)</f>
        <v>8</v>
      </c>
      <c r="F80" s="2">
        <f>IF(Participant_Data!AP80="","",Participant_Data!AP80)</f>
        <v>8</v>
      </c>
      <c r="G80" s="2">
        <f>IF(Participant_Data!AS80="","",Participant_Data!AS80)</f>
        <v>95</v>
      </c>
      <c r="H80" s="4">
        <f t="shared" si="9"/>
        <v>6.6660000000000039</v>
      </c>
      <c r="I80" s="4">
        <f t="shared" si="10"/>
        <v>4.5560000000000009</v>
      </c>
      <c r="J80" s="4">
        <f t="shared" si="11"/>
        <v>785.24832080847045</v>
      </c>
      <c r="K80" s="4">
        <f t="shared" si="12"/>
        <v>95.201909560046374</v>
      </c>
      <c r="L80" s="4">
        <f t="shared" si="13"/>
        <v>881.45023036851683</v>
      </c>
      <c r="M80" s="25">
        <f t="shared" si="14"/>
        <v>1.1344940026641321E-3</v>
      </c>
      <c r="N80" s="25">
        <f t="shared" si="15"/>
        <v>0.89085951055929014</v>
      </c>
      <c r="O80" s="25">
        <f t="shared" si="16"/>
        <v>0.10800599543804572</v>
      </c>
      <c r="P80" s="2" t="str">
        <f t="shared" si="17"/>
        <v>Over</v>
      </c>
    </row>
    <row r="81" spans="1:16">
      <c r="A81" s="2">
        <f>IF(Participant_Data!A81="","",Participant_Data!A81)</f>
        <v>80</v>
      </c>
      <c r="B81" s="2" t="str">
        <f>IF(Participant_Data!B81="","",Participant_Data!B81)</f>
        <v/>
      </c>
      <c r="C81" s="3" t="str">
        <f>IF(Participant_Data!C81="","",Participant_Data!C81)</f>
        <v/>
      </c>
      <c r="D81" s="2">
        <f>IF(Participant_Data!F81="","",Participant_Data!F81)</f>
        <v>0</v>
      </c>
      <c r="E81" s="2">
        <f>IF(Participant_Data!AO81="","",Participant_Data!AO81)</f>
        <v>14</v>
      </c>
      <c r="F81" s="2">
        <f>IF(Participant_Data!AP81="","",Participant_Data!AP81)</f>
        <v>8</v>
      </c>
      <c r="G81" s="2">
        <f>IF(Participant_Data!AS81="","",Participant_Data!AS81)</f>
        <v>118</v>
      </c>
      <c r="H81" s="4">
        <f t="shared" si="9"/>
        <v>14.806999999999995</v>
      </c>
      <c r="I81" s="4">
        <f t="shared" si="10"/>
        <v>9.1370000000000005</v>
      </c>
      <c r="J81" s="4">
        <f t="shared" si="11"/>
        <v>2695245.8967508329</v>
      </c>
      <c r="K81" s="4">
        <f t="shared" si="12"/>
        <v>9292.8447379666777</v>
      </c>
      <c r="L81" s="4">
        <f t="shared" si="13"/>
        <v>2704539.7414887995</v>
      </c>
      <c r="M81" s="25">
        <f t="shared" si="14"/>
        <v>3.697486802133358E-7</v>
      </c>
      <c r="N81" s="25">
        <f t="shared" si="15"/>
        <v>0.99656361317402919</v>
      </c>
      <c r="O81" s="25">
        <f t="shared" si="16"/>
        <v>3.4360170772906214E-3</v>
      </c>
      <c r="P81" s="2" t="str">
        <f t="shared" si="17"/>
        <v>Over</v>
      </c>
    </row>
    <row r="82" spans="1:16">
      <c r="A82" s="2">
        <f>IF(Participant_Data!A82="","",Participant_Data!A82)</f>
        <v>81</v>
      </c>
      <c r="B82" s="2" t="str">
        <f>IF(Participant_Data!B82="","",Participant_Data!B82)</f>
        <v/>
      </c>
      <c r="C82" s="3" t="str">
        <f>IF(Participant_Data!C82="","",Participant_Data!C82)</f>
        <v/>
      </c>
      <c r="D82" s="2">
        <f>IF(Participant_Data!F82="","",Participant_Data!F82)</f>
        <v>0</v>
      </c>
      <c r="E82" s="2">
        <f>IF(Participant_Data!AO82="","",Participant_Data!AO82)</f>
        <v>10</v>
      </c>
      <c r="F82" s="2">
        <f>IF(Participant_Data!AP82="","",Participant_Data!AP82)</f>
        <v>4</v>
      </c>
      <c r="G82" s="2">
        <f>IF(Participant_Data!AS82="","",Participant_Data!AS82)</f>
        <v>79</v>
      </c>
      <c r="H82" s="4">
        <f t="shared" si="9"/>
        <v>2.6280000000000001</v>
      </c>
      <c r="I82" s="4">
        <f t="shared" si="10"/>
        <v>3.6380000000000017</v>
      </c>
      <c r="J82" s="4">
        <f t="shared" si="11"/>
        <v>13.846050091376338</v>
      </c>
      <c r="K82" s="4">
        <f t="shared" si="12"/>
        <v>38.015729184858003</v>
      </c>
      <c r="L82" s="4">
        <f t="shared" si="13"/>
        <v>52.861779276234344</v>
      </c>
      <c r="M82" s="25">
        <f t="shared" si="14"/>
        <v>1.8917259571880909E-2</v>
      </c>
      <c r="N82" s="25">
        <f t="shared" si="15"/>
        <v>0.26192932362383153</v>
      </c>
      <c r="O82" s="25">
        <f t="shared" si="16"/>
        <v>0.71915341680428746</v>
      </c>
      <c r="P82" s="2" t="str">
        <f t="shared" si="17"/>
        <v>Normal</v>
      </c>
    </row>
    <row r="83" spans="1:16">
      <c r="A83" s="2">
        <f>IF(Participant_Data!A83="","",Participant_Data!A83)</f>
        <v>82</v>
      </c>
      <c r="B83" s="2" t="str">
        <f>IF(Participant_Data!B83="","",Participant_Data!B83)</f>
        <v/>
      </c>
      <c r="C83" s="3" t="str">
        <f>IF(Participant_Data!C83="","",Participant_Data!C83)</f>
        <v/>
      </c>
      <c r="D83" s="2">
        <f>IF(Participant_Data!F83="","",Participant_Data!F83)</f>
        <v>0</v>
      </c>
      <c r="E83" s="2">
        <f>IF(Participant_Data!AO83="","",Participant_Data!AO83)</f>
        <v>12</v>
      </c>
      <c r="F83" s="2">
        <f>IF(Participant_Data!AP83="","",Participant_Data!AP83)</f>
        <v>4</v>
      </c>
      <c r="G83" s="2">
        <f>IF(Participant_Data!AS83="","",Participant_Data!AS83)</f>
        <v>63.5</v>
      </c>
      <c r="H83" s="4">
        <f t="shared" si="9"/>
        <v>-2.7434999999999974</v>
      </c>
      <c r="I83" s="4">
        <f t="shared" si="10"/>
        <v>0.7865000000000002</v>
      </c>
      <c r="J83" s="4">
        <f t="shared" si="11"/>
        <v>6.4344745711411799E-2</v>
      </c>
      <c r="K83" s="4">
        <f t="shared" si="12"/>
        <v>2.1956980188358157</v>
      </c>
      <c r="L83" s="4">
        <f t="shared" si="13"/>
        <v>3.2600427645472276</v>
      </c>
      <c r="M83" s="25">
        <f t="shared" si="14"/>
        <v>0.30674444239656634</v>
      </c>
      <c r="N83" s="25">
        <f t="shared" si="15"/>
        <v>1.9737393144395866E-2</v>
      </c>
      <c r="O83" s="25">
        <f t="shared" si="16"/>
        <v>0.67351816445903778</v>
      </c>
      <c r="P83" s="2" t="str">
        <f t="shared" si="17"/>
        <v>Normal</v>
      </c>
    </row>
    <row r="84" spans="1:16">
      <c r="A84" s="2">
        <f>IF(Participant_Data!A84="","",Participant_Data!A84)</f>
        <v>83</v>
      </c>
      <c r="B84" s="2" t="str">
        <f>IF(Participant_Data!B84="","",Participant_Data!B84)</f>
        <v/>
      </c>
      <c r="C84" s="3" t="str">
        <f>IF(Participant_Data!C84="","",Participant_Data!C84)</f>
        <v/>
      </c>
      <c r="D84" s="2">
        <f>IF(Participant_Data!F84="","",Participant_Data!F84)</f>
        <v>0</v>
      </c>
      <c r="E84" s="2">
        <f>IF(Participant_Data!AO84="","",Participant_Data!AO84)</f>
        <v>8</v>
      </c>
      <c r="F84" s="2">
        <f>IF(Participant_Data!AP84="","",Participant_Data!AP84)</f>
        <v>6</v>
      </c>
      <c r="G84" s="2">
        <f>IF(Participant_Data!AS84="","",Participant_Data!AS84)</f>
        <v>103</v>
      </c>
      <c r="H84" s="4">
        <f t="shared" si="9"/>
        <v>10.211999999999996</v>
      </c>
      <c r="I84" s="4">
        <f t="shared" si="10"/>
        <v>7.081999999999999</v>
      </c>
      <c r="J84" s="4">
        <f t="shared" si="11"/>
        <v>27227.969108004218</v>
      </c>
      <c r="K84" s="4">
        <f t="shared" si="12"/>
        <v>1190.3468330678975</v>
      </c>
      <c r="L84" s="4">
        <f t="shared" si="13"/>
        <v>28419.315941072116</v>
      </c>
      <c r="M84" s="25">
        <f t="shared" si="14"/>
        <v>3.518733533465461E-5</v>
      </c>
      <c r="N84" s="25">
        <f t="shared" si="15"/>
        <v>0.95807967948496109</v>
      </c>
      <c r="O84" s="25">
        <f t="shared" si="16"/>
        <v>4.1885133179704243E-2</v>
      </c>
      <c r="P84" s="2" t="str">
        <f t="shared" si="17"/>
        <v>Over</v>
      </c>
    </row>
    <row r="85" spans="1:16">
      <c r="A85" s="2">
        <f>IF(Participant_Data!A85="","",Participant_Data!A85)</f>
        <v>84</v>
      </c>
      <c r="B85" s="2" t="str">
        <f>IF(Participant_Data!B85="","",Participant_Data!B85)</f>
        <v/>
      </c>
      <c r="C85" s="3" t="str">
        <f>IF(Participant_Data!C85="","",Participant_Data!C85)</f>
        <v/>
      </c>
      <c r="D85" s="2">
        <f>IF(Participant_Data!F85="","",Participant_Data!F85)</f>
        <v>0</v>
      </c>
      <c r="E85" s="2">
        <f>IF(Participant_Data!AO85="","",Participant_Data!AO85)</f>
        <v>4</v>
      </c>
      <c r="F85" s="2">
        <f>IF(Participant_Data!AP85="","",Participant_Data!AP85)</f>
        <v>4</v>
      </c>
      <c r="G85" s="2">
        <f>IF(Participant_Data!AS85="","",Participant_Data!AS85)</f>
        <v>71</v>
      </c>
      <c r="H85" s="4">
        <f t="shared" si="9"/>
        <v>-0.27799999999999869</v>
      </c>
      <c r="I85" s="4">
        <f t="shared" si="10"/>
        <v>1.8920000000000012</v>
      </c>
      <c r="J85" s="4">
        <f t="shared" si="11"/>
        <v>0.75729682151433653</v>
      </c>
      <c r="K85" s="4">
        <f t="shared" si="12"/>
        <v>6.6326206659727731</v>
      </c>
      <c r="L85" s="4">
        <f t="shared" si="13"/>
        <v>8.389917487487109</v>
      </c>
      <c r="M85" s="25">
        <f t="shared" si="14"/>
        <v>0.11919068351880933</v>
      </c>
      <c r="N85" s="25">
        <f t="shared" si="15"/>
        <v>9.0262725782915526E-2</v>
      </c>
      <c r="O85" s="25">
        <f t="shared" si="16"/>
        <v>0.79054659069827526</v>
      </c>
      <c r="P85" s="2" t="str">
        <f t="shared" si="17"/>
        <v>Normal</v>
      </c>
    </row>
    <row r="86" spans="1:16">
      <c r="A86" s="2">
        <f>IF(Participant_Data!A86="","",Participant_Data!A86)</f>
        <v>85</v>
      </c>
      <c r="B86" s="2" t="str">
        <f>IF(Participant_Data!B86="","",Participant_Data!B86)</f>
        <v/>
      </c>
      <c r="C86" s="3" t="str">
        <f>IF(Participant_Data!C86="","",Participant_Data!C86)</f>
        <v/>
      </c>
      <c r="D86" s="2">
        <f>IF(Participant_Data!F86="","",Participant_Data!F86)</f>
        <v>0</v>
      </c>
      <c r="E86" s="2">
        <f>IF(Participant_Data!AO86="","",Participant_Data!AO86)</f>
        <v>12</v>
      </c>
      <c r="F86" s="2">
        <f>IF(Participant_Data!AP86="","",Participant_Data!AP86)</f>
        <v>6</v>
      </c>
      <c r="G86" s="2">
        <f>IF(Participant_Data!AS86="","",Participant_Data!AS86)</f>
        <v>86</v>
      </c>
      <c r="H86" s="4">
        <f t="shared" si="9"/>
        <v>4.3550000000000004</v>
      </c>
      <c r="I86" s="4">
        <f t="shared" si="10"/>
        <v>4.0250000000000021</v>
      </c>
      <c r="J86" s="4">
        <f t="shared" si="11"/>
        <v>77.8668253368281</v>
      </c>
      <c r="K86" s="4">
        <f t="shared" si="12"/>
        <v>55.980308781644254</v>
      </c>
      <c r="L86" s="4">
        <f t="shared" si="13"/>
        <v>134.84713411847235</v>
      </c>
      <c r="M86" s="25">
        <f t="shared" si="14"/>
        <v>7.4158046185945053E-3</v>
      </c>
      <c r="N86" s="25">
        <f t="shared" si="15"/>
        <v>0.57744516296814152</v>
      </c>
      <c r="O86" s="25">
        <f t="shared" si="16"/>
        <v>0.415139032413264</v>
      </c>
      <c r="P86" s="2" t="str">
        <f t="shared" si="17"/>
        <v>Over</v>
      </c>
    </row>
    <row r="87" spans="1:16">
      <c r="A87" s="2">
        <f>IF(Participant_Data!A87="","",Participant_Data!A87)</f>
        <v>86</v>
      </c>
      <c r="B87" s="2" t="str">
        <f>IF(Participant_Data!B87="","",Participant_Data!B87)</f>
        <v/>
      </c>
      <c r="C87" s="3" t="str">
        <f>IF(Participant_Data!C87="","",Participant_Data!C87)</f>
        <v/>
      </c>
      <c r="D87" s="2">
        <f>IF(Participant_Data!F87="","",Participant_Data!F87)</f>
        <v>0</v>
      </c>
      <c r="E87" s="2">
        <f>IF(Participant_Data!AO87="","",Participant_Data!AO87)</f>
        <v>12</v>
      </c>
      <c r="F87" s="2">
        <f>IF(Participant_Data!AP87="","",Participant_Data!AP87)</f>
        <v>4</v>
      </c>
      <c r="G87" s="2">
        <f>IF(Participant_Data!AS87="","",Participant_Data!AS87)</f>
        <v>82</v>
      </c>
      <c r="H87" s="4">
        <f t="shared" si="9"/>
        <v>3.713000000000001</v>
      </c>
      <c r="I87" s="4">
        <f t="shared" si="10"/>
        <v>4.2829999999999995</v>
      </c>
      <c r="J87" s="4">
        <f t="shared" si="11"/>
        <v>40.976551972680745</v>
      </c>
      <c r="K87" s="4">
        <f t="shared" si="12"/>
        <v>72.457486734653273</v>
      </c>
      <c r="L87" s="4">
        <f t="shared" si="13"/>
        <v>114.43403870733403</v>
      </c>
      <c r="M87" s="25">
        <f t="shared" si="14"/>
        <v>8.7386586307375558E-3</v>
      </c>
      <c r="N87" s="25">
        <f t="shared" si="15"/>
        <v>0.35808009955393261</v>
      </c>
      <c r="O87" s="25">
        <f t="shared" si="16"/>
        <v>0.63318124181532975</v>
      </c>
      <c r="P87" s="2" t="str">
        <f t="shared" si="17"/>
        <v>Normal</v>
      </c>
    </row>
    <row r="88" spans="1:16">
      <c r="A88" s="2">
        <f>IF(Participant_Data!A88="","",Participant_Data!A88)</f>
        <v>87</v>
      </c>
      <c r="B88" s="2" t="str">
        <f>IF(Participant_Data!B88="","",Participant_Data!B88)</f>
        <v/>
      </c>
      <c r="C88" s="3" t="str">
        <f>IF(Participant_Data!C88="","",Participant_Data!C88)</f>
        <v/>
      </c>
      <c r="D88" s="2">
        <f>IF(Participant_Data!F88="","",Participant_Data!F88)</f>
        <v>0</v>
      </c>
      <c r="E88" s="2">
        <f>IF(Participant_Data!AO88="","",Participant_Data!AO88)</f>
        <v>12</v>
      </c>
      <c r="F88" s="2">
        <f>IF(Participant_Data!AP88="","",Participant_Data!AP88)</f>
        <v>6</v>
      </c>
      <c r="G88" s="2">
        <f>IF(Participant_Data!AS88="","",Participant_Data!AS88)</f>
        <v>90</v>
      </c>
      <c r="H88" s="4">
        <f t="shared" si="9"/>
        <v>5.7509999999999977</v>
      </c>
      <c r="I88" s="4">
        <f t="shared" si="10"/>
        <v>4.7810000000000024</v>
      </c>
      <c r="J88" s="4">
        <f t="shared" si="11"/>
        <v>314.50500809368748</v>
      </c>
      <c r="K88" s="4">
        <f t="shared" si="12"/>
        <v>119.22351396688966</v>
      </c>
      <c r="L88" s="4">
        <f t="shared" si="13"/>
        <v>434.72852206057712</v>
      </c>
      <c r="M88" s="25">
        <f t="shared" si="14"/>
        <v>2.3002861538968804E-3</v>
      </c>
      <c r="N88" s="25">
        <f t="shared" si="15"/>
        <v>0.72345151544913555</v>
      </c>
      <c r="O88" s="25">
        <f t="shared" si="16"/>
        <v>0.27424819839696757</v>
      </c>
      <c r="P88" s="2" t="str">
        <f t="shared" si="17"/>
        <v>Over</v>
      </c>
    </row>
    <row r="89" spans="1:16">
      <c r="A89" s="2">
        <f>IF(Participant_Data!A89="","",Participant_Data!A89)</f>
        <v>88</v>
      </c>
      <c r="B89" s="2" t="str">
        <f>IF(Participant_Data!B89="","",Participant_Data!B89)</f>
        <v/>
      </c>
      <c r="C89" s="3" t="str">
        <f>IF(Participant_Data!C89="","",Participant_Data!C89)</f>
        <v/>
      </c>
      <c r="D89" s="2">
        <f>IF(Participant_Data!F89="","",Participant_Data!F89)</f>
        <v>0</v>
      </c>
      <c r="E89" s="2">
        <f>IF(Participant_Data!AO89="","",Participant_Data!AO89)</f>
        <v>10</v>
      </c>
      <c r="F89" s="2">
        <f>IF(Participant_Data!AP89="","",Participant_Data!AP89)</f>
        <v>6</v>
      </c>
      <c r="G89" s="2">
        <f>IF(Participant_Data!AS89="","",Participant_Data!AS89)</f>
        <v>83</v>
      </c>
      <c r="H89" s="4">
        <f t="shared" si="9"/>
        <v>3.2699999999999996</v>
      </c>
      <c r="I89" s="4">
        <f t="shared" si="10"/>
        <v>3.3800000000000008</v>
      </c>
      <c r="J89" s="4">
        <f t="shared" si="11"/>
        <v>26.311339343265882</v>
      </c>
      <c r="K89" s="4">
        <f t="shared" si="12"/>
        <v>29.370771113289461</v>
      </c>
      <c r="L89" s="4">
        <f t="shared" si="13"/>
        <v>56.682110456555343</v>
      </c>
      <c r="M89" s="25">
        <f t="shared" si="14"/>
        <v>1.7642250649196656E-2</v>
      </c>
      <c r="N89" s="25">
        <f t="shared" si="15"/>
        <v>0.464191243609966</v>
      </c>
      <c r="O89" s="25">
        <f t="shared" si="16"/>
        <v>0.51816650574083734</v>
      </c>
      <c r="P89" s="2" t="str">
        <f t="shared" si="17"/>
        <v>Normal</v>
      </c>
    </row>
    <row r="90" spans="1:16">
      <c r="A90" s="2">
        <f>IF(Participant_Data!A90="","",Participant_Data!A90)</f>
        <v>89</v>
      </c>
      <c r="B90" s="2" t="str">
        <f>IF(Participant_Data!B90="","",Participant_Data!B90)</f>
        <v/>
      </c>
      <c r="C90" s="3" t="str">
        <f>IF(Participant_Data!C90="","",Participant_Data!C90)</f>
        <v/>
      </c>
      <c r="D90" s="2">
        <f>IF(Participant_Data!F90="","",Participant_Data!F90)</f>
        <v>0</v>
      </c>
      <c r="E90" s="2">
        <f>IF(Participant_Data!AO90="","",Participant_Data!AO90)</f>
        <v>10</v>
      </c>
      <c r="F90" s="2">
        <f>IF(Participant_Data!AP90="","",Participant_Data!AP90)</f>
        <v>4</v>
      </c>
      <c r="G90" s="2">
        <f>IF(Participant_Data!AS90="","",Participant_Data!AS90)</f>
        <v>89</v>
      </c>
      <c r="H90" s="4">
        <f t="shared" si="9"/>
        <v>6.1179999999999986</v>
      </c>
      <c r="I90" s="4">
        <f t="shared" si="10"/>
        <v>5.5280000000000022</v>
      </c>
      <c r="J90" s="4">
        <f t="shared" si="11"/>
        <v>453.95587423373115</v>
      </c>
      <c r="K90" s="4">
        <f t="shared" si="12"/>
        <v>251.64012715326447</v>
      </c>
      <c r="L90" s="4">
        <f t="shared" si="13"/>
        <v>706.59600138699557</v>
      </c>
      <c r="M90" s="25">
        <f t="shared" si="14"/>
        <v>1.4152358604309593E-3</v>
      </c>
      <c r="N90" s="25">
        <f t="shared" si="15"/>
        <v>0.6424546322688629</v>
      </c>
      <c r="O90" s="25">
        <f t="shared" si="16"/>
        <v>0.35613013187070625</v>
      </c>
      <c r="P90" s="2" t="str">
        <f t="shared" si="17"/>
        <v>Over</v>
      </c>
    </row>
    <row r="91" spans="1:16">
      <c r="A91" s="2">
        <f>IF(Participant_Data!A91="","",Participant_Data!A91)</f>
        <v>90</v>
      </c>
      <c r="B91" s="2" t="str">
        <f>IF(Participant_Data!B91="","",Participant_Data!B91)</f>
        <v/>
      </c>
      <c r="C91" s="3" t="str">
        <f>IF(Participant_Data!C91="","",Participant_Data!C91)</f>
        <v/>
      </c>
      <c r="D91" s="2">
        <f>IF(Participant_Data!F91="","",Participant_Data!F91)</f>
        <v>0</v>
      </c>
      <c r="E91" s="2">
        <f>IF(Participant_Data!AO91="","",Participant_Data!AO91)</f>
        <v>6</v>
      </c>
      <c r="F91" s="2">
        <f>IF(Participant_Data!AP91="","",Participant_Data!AP91)</f>
        <v>6</v>
      </c>
      <c r="G91" s="2">
        <f>IF(Participant_Data!AS91="","",Participant_Data!AS91)</f>
        <v>102</v>
      </c>
      <c r="H91" s="4">
        <f t="shared" si="9"/>
        <v>9.8249999999999993</v>
      </c>
      <c r="I91" s="4">
        <f t="shared" si="10"/>
        <v>6.8149999999999995</v>
      </c>
      <c r="J91" s="4">
        <f t="shared" si="11"/>
        <v>18490.271354183285</v>
      </c>
      <c r="K91" s="4">
        <f t="shared" si="12"/>
        <v>911.41651578417827</v>
      </c>
      <c r="L91" s="4">
        <f t="shared" si="13"/>
        <v>19402.687869967463</v>
      </c>
      <c r="M91" s="25">
        <f t="shared" si="14"/>
        <v>5.1539250989439168E-5</v>
      </c>
      <c r="N91" s="25">
        <f t="shared" si="15"/>
        <v>0.95297473618608963</v>
      </c>
      <c r="O91" s="25">
        <f t="shared" si="16"/>
        <v>4.6973724562920913E-2</v>
      </c>
      <c r="P91" s="2" t="str">
        <f t="shared" si="17"/>
        <v>Over</v>
      </c>
    </row>
    <row r="92" spans="1:16">
      <c r="A92" s="2">
        <f>IF(Participant_Data!A92="","",Participant_Data!A92)</f>
        <v>91</v>
      </c>
      <c r="B92" s="2" t="str">
        <f>IF(Participant_Data!B92="","",Participant_Data!B92)</f>
        <v/>
      </c>
      <c r="C92" s="3" t="str">
        <f>IF(Participant_Data!C92="","",Participant_Data!C92)</f>
        <v/>
      </c>
      <c r="D92" s="2">
        <f>IF(Participant_Data!F92="","",Participant_Data!F92)</f>
        <v>0</v>
      </c>
      <c r="E92" s="2">
        <f>IF(Participant_Data!AO92="","",Participant_Data!AO92)</f>
        <v>12</v>
      </c>
      <c r="F92" s="2">
        <f>IF(Participant_Data!AP92="","",Participant_Data!AP92)</f>
        <v>4</v>
      </c>
      <c r="G92" s="2">
        <f>IF(Participant_Data!AS92="","",Participant_Data!AS92)</f>
        <v>99</v>
      </c>
      <c r="H92" s="4">
        <f t="shared" si="9"/>
        <v>9.6459999999999972</v>
      </c>
      <c r="I92" s="4">
        <f t="shared" si="10"/>
        <v>7.4959999999999987</v>
      </c>
      <c r="J92" s="4">
        <f t="shared" si="11"/>
        <v>15459.824960684626</v>
      </c>
      <c r="K92" s="4">
        <f t="shared" si="12"/>
        <v>1800.8246898710368</v>
      </c>
      <c r="L92" s="4">
        <f t="shared" si="13"/>
        <v>17261.649650555664</v>
      </c>
      <c r="M92" s="25">
        <f t="shared" si="14"/>
        <v>5.793189065031275E-5</v>
      </c>
      <c r="N92" s="25">
        <f t="shared" si="15"/>
        <v>0.8956168890953573</v>
      </c>
      <c r="O92" s="25">
        <f t="shared" si="16"/>
        <v>0.10432517901399227</v>
      </c>
      <c r="P92" s="2" t="str">
        <f t="shared" si="17"/>
        <v>Over</v>
      </c>
    </row>
    <row r="93" spans="1:16">
      <c r="A93" s="2">
        <f>IF(Participant_Data!A93="","",Participant_Data!A93)</f>
        <v>92</v>
      </c>
      <c r="B93" s="2" t="str">
        <f>IF(Participant_Data!B93="","",Participant_Data!B93)</f>
        <v/>
      </c>
      <c r="C93" s="3" t="str">
        <f>IF(Participant_Data!C93="","",Participant_Data!C93)</f>
        <v/>
      </c>
      <c r="D93" s="2">
        <f>IF(Participant_Data!F93="","",Participant_Data!F93)</f>
        <v>0</v>
      </c>
      <c r="E93" s="2">
        <f>IF(Participant_Data!AO93="","",Participant_Data!AO93)</f>
        <v>6</v>
      </c>
      <c r="F93" s="2">
        <f>IF(Participant_Data!AP93="","",Participant_Data!AP93)</f>
        <v>6</v>
      </c>
      <c r="G93" s="2">
        <f>IF(Participant_Data!AS93="","",Participant_Data!AS93)</f>
        <v>103</v>
      </c>
      <c r="H93" s="4">
        <f t="shared" si="9"/>
        <v>10.173999999999996</v>
      </c>
      <c r="I93" s="4">
        <f t="shared" si="10"/>
        <v>7.0039999999999996</v>
      </c>
      <c r="J93" s="4">
        <f t="shared" si="11"/>
        <v>26212.718214461464</v>
      </c>
      <c r="K93" s="4">
        <f t="shared" si="12"/>
        <v>1101.0284758365665</v>
      </c>
      <c r="L93" s="4">
        <f t="shared" si="13"/>
        <v>27314.74669029803</v>
      </c>
      <c r="M93" s="25">
        <f t="shared" si="14"/>
        <v>3.6610260799350252E-5</v>
      </c>
      <c r="N93" s="25">
        <f t="shared" si="15"/>
        <v>0.95965445009131278</v>
      </c>
      <c r="O93" s="25">
        <f t="shared" si="16"/>
        <v>4.0308939647887808E-2</v>
      </c>
      <c r="P93" s="2" t="str">
        <f t="shared" si="17"/>
        <v>Over</v>
      </c>
    </row>
    <row r="94" spans="1:16">
      <c r="A94" s="2">
        <f>IF(Participant_Data!A94="","",Participant_Data!A94)</f>
        <v>93</v>
      </c>
      <c r="B94" s="2" t="str">
        <f>IF(Participant_Data!B94="","",Participant_Data!B94)</f>
        <v/>
      </c>
      <c r="C94" s="3" t="str">
        <f>IF(Participant_Data!C94="","",Participant_Data!C94)</f>
        <v/>
      </c>
      <c r="D94" s="2">
        <f>IF(Participant_Data!F94="","",Participant_Data!F94)</f>
        <v>0</v>
      </c>
      <c r="E94" s="2">
        <f>IF(Participant_Data!AO94="","",Participant_Data!AO94)</f>
        <v>6</v>
      </c>
      <c r="F94" s="2">
        <f>IF(Participant_Data!AP94="","",Participant_Data!AP94)</f>
        <v>10</v>
      </c>
      <c r="G94" s="2">
        <f>IF(Participant_Data!AS94="","",Participant_Data!AS94)</f>
        <v>98</v>
      </c>
      <c r="H94" s="4">
        <f t="shared" si="9"/>
        <v>6.9209999999999994</v>
      </c>
      <c r="I94" s="4">
        <f t="shared" si="10"/>
        <v>4.0309999999999988</v>
      </c>
      <c r="J94" s="4">
        <f t="shared" si="11"/>
        <v>1013.3328208582092</v>
      </c>
      <c r="K94" s="4">
        <f t="shared" si="12"/>
        <v>56.317200298209684</v>
      </c>
      <c r="L94" s="4">
        <f t="shared" si="13"/>
        <v>1070.6500211564189</v>
      </c>
      <c r="M94" s="25">
        <f t="shared" si="14"/>
        <v>9.3401203029902416E-4</v>
      </c>
      <c r="N94" s="25">
        <f t="shared" si="15"/>
        <v>0.94646504537841325</v>
      </c>
      <c r="O94" s="25">
        <f t="shared" si="16"/>
        <v>5.2600942591287635E-2</v>
      </c>
      <c r="P94" s="2" t="str">
        <f t="shared" si="17"/>
        <v>Over</v>
      </c>
    </row>
    <row r="95" spans="1:16">
      <c r="A95" s="2">
        <f>IF(Participant_Data!A95="","",Participant_Data!A95)</f>
        <v>94</v>
      </c>
      <c r="B95" s="2" t="str">
        <f>IF(Participant_Data!B95="","",Participant_Data!B95)</f>
        <v/>
      </c>
      <c r="C95" s="3" t="str">
        <f>IF(Participant_Data!C95="","",Participant_Data!C95)</f>
        <v/>
      </c>
      <c r="D95" s="2">
        <f>IF(Participant_Data!F95="","",Participant_Data!F95)</f>
        <v>1</v>
      </c>
      <c r="E95" s="2">
        <f>IF(Participant_Data!AO95="","",Participant_Data!AO95)</f>
        <v>10</v>
      </c>
      <c r="F95" s="2">
        <f>IF(Participant_Data!AP95="","",Participant_Data!AP95)</f>
        <v>4</v>
      </c>
      <c r="G95" s="2">
        <f>IF(Participant_Data!AS95="","",Participant_Data!AS95)</f>
        <v>70.5</v>
      </c>
      <c r="H95" s="4">
        <f t="shared" si="9"/>
        <v>-2.6744999999999997</v>
      </c>
      <c r="I95" s="4">
        <f t="shared" si="10"/>
        <v>-0.45749999999999869</v>
      </c>
      <c r="J95" s="4">
        <f t="shared" si="11"/>
        <v>6.8941290423649215E-2</v>
      </c>
      <c r="K95" s="4">
        <f t="shared" si="12"/>
        <v>0.63286382902708216</v>
      </c>
      <c r="L95" s="4">
        <f t="shared" si="13"/>
        <v>1.7018051194507313</v>
      </c>
      <c r="M95" s="25">
        <f t="shared" si="14"/>
        <v>0.58761134783914415</v>
      </c>
      <c r="N95" s="25">
        <f t="shared" si="15"/>
        <v>4.0510684587610396E-2</v>
      </c>
      <c r="O95" s="25">
        <f t="shared" si="16"/>
        <v>0.37187796757324543</v>
      </c>
      <c r="P95" s="2" t="str">
        <f t="shared" si="17"/>
        <v>Under</v>
      </c>
    </row>
    <row r="96" spans="1:16">
      <c r="A96" s="2">
        <f>IF(Participant_Data!A96="","",Participant_Data!A96)</f>
        <v>95</v>
      </c>
      <c r="B96" s="2" t="str">
        <f>IF(Participant_Data!B96="","",Participant_Data!B96)</f>
        <v/>
      </c>
      <c r="C96" s="3" t="str">
        <f>IF(Participant_Data!C96="","",Participant_Data!C96)</f>
        <v/>
      </c>
      <c r="D96" s="2">
        <f>IF(Participant_Data!F96="","",Participant_Data!F96)</f>
        <v>1</v>
      </c>
      <c r="E96" s="2">
        <f>IF(Participant_Data!AO96="","",Participant_Data!AO96)</f>
        <v>6</v>
      </c>
      <c r="F96" s="2">
        <f>IF(Participant_Data!AP96="","",Participant_Data!AP96)</f>
        <v>4</v>
      </c>
      <c r="G96" s="2">
        <f>IF(Participant_Data!AS96="","",Participant_Data!AS96)</f>
        <v>70.5</v>
      </c>
      <c r="H96" s="4">
        <f t="shared" si="9"/>
        <v>-2.7505000000000002</v>
      </c>
      <c r="I96" s="4">
        <f t="shared" si="10"/>
        <v>-0.61349999999999927</v>
      </c>
      <c r="J96" s="4">
        <f t="shared" si="11"/>
        <v>6.3895905265755198E-2</v>
      </c>
      <c r="K96" s="4">
        <f t="shared" si="12"/>
        <v>0.54145246517751278</v>
      </c>
      <c r="L96" s="4">
        <f t="shared" si="13"/>
        <v>1.6053483704432681</v>
      </c>
      <c r="M96" s="25">
        <f t="shared" si="14"/>
        <v>0.62291775318766507</v>
      </c>
      <c r="N96" s="25">
        <f t="shared" si="15"/>
        <v>3.9801893746036127E-2</v>
      </c>
      <c r="O96" s="25">
        <f t="shared" si="16"/>
        <v>0.33728035306629872</v>
      </c>
      <c r="P96" s="2" t="str">
        <f t="shared" si="17"/>
        <v>Under</v>
      </c>
    </row>
    <row r="97" spans="1:16">
      <c r="A97" s="2">
        <f>IF(Participant_Data!A97="","",Participant_Data!A97)</f>
        <v>96</v>
      </c>
      <c r="B97" s="2" t="str">
        <f>IF(Participant_Data!B97="","",Participant_Data!B97)</f>
        <v/>
      </c>
      <c r="C97" s="3" t="str">
        <f>IF(Participant_Data!C97="","",Participant_Data!C97)</f>
        <v/>
      </c>
      <c r="D97" s="2">
        <f>IF(Participant_Data!F97="","",Participant_Data!F97)</f>
        <v>1</v>
      </c>
      <c r="E97" s="2">
        <f>IF(Participant_Data!AO97="","",Participant_Data!AO97)</f>
        <v>2</v>
      </c>
      <c r="F97" s="2">
        <f>IF(Participant_Data!AP97="","",Participant_Data!AP97)</f>
        <v>4</v>
      </c>
      <c r="G97" s="2">
        <f>IF(Participant_Data!AS97="","",Participant_Data!AS97)</f>
        <v>68</v>
      </c>
      <c r="H97" s="4">
        <f t="shared" si="9"/>
        <v>-3.6989999999999994</v>
      </c>
      <c r="I97" s="4">
        <f t="shared" si="10"/>
        <v>-1.242</v>
      </c>
      <c r="J97" s="4">
        <f t="shared" si="11"/>
        <v>2.47482623626946E-2</v>
      </c>
      <c r="K97" s="4">
        <f t="shared" si="12"/>
        <v>0.28880602788595566</v>
      </c>
      <c r="L97" s="4">
        <f t="shared" si="13"/>
        <v>1.3135542902486503</v>
      </c>
      <c r="M97" s="25">
        <f t="shared" si="14"/>
        <v>0.76129323882814481</v>
      </c>
      <c r="N97" s="25">
        <f t="shared" si="15"/>
        <v>1.8840684809464447E-2</v>
      </c>
      <c r="O97" s="25">
        <f t="shared" si="16"/>
        <v>0.21986607636239069</v>
      </c>
      <c r="P97" s="2" t="str">
        <f t="shared" si="17"/>
        <v>Under</v>
      </c>
    </row>
    <row r="98" spans="1:16">
      <c r="A98" s="2">
        <f>IF(Participant_Data!A98="","",Participant_Data!A98)</f>
        <v>97</v>
      </c>
      <c r="B98" s="2" t="str">
        <f>IF(Participant_Data!B98="","",Participant_Data!B98)</f>
        <v/>
      </c>
      <c r="C98" s="3" t="str">
        <f>IF(Participant_Data!C98="","",Participant_Data!C98)</f>
        <v/>
      </c>
      <c r="D98" s="2">
        <f>IF(Participant_Data!F98="","",Participant_Data!F98)</f>
        <v>1</v>
      </c>
      <c r="E98" s="2">
        <f>IF(Participant_Data!AO98="","",Participant_Data!AO98)</f>
        <v>2</v>
      </c>
      <c r="F98" s="2">
        <f>IF(Participant_Data!AP98="","",Participant_Data!AP98)</f>
        <v>4</v>
      </c>
      <c r="G98" s="2">
        <f>IF(Participant_Data!AS98="","",Participant_Data!AS98)</f>
        <v>86</v>
      </c>
      <c r="H98" s="4">
        <f t="shared" si="9"/>
        <v>2.5830000000000006</v>
      </c>
      <c r="I98" s="4">
        <f t="shared" si="10"/>
        <v>2.160000000000001</v>
      </c>
      <c r="J98" s="4">
        <f t="shared" si="11"/>
        <v>13.236789020690749</v>
      </c>
      <c r="K98" s="4">
        <f t="shared" si="12"/>
        <v>8.6711376584634632</v>
      </c>
      <c r="L98" s="4">
        <f t="shared" si="13"/>
        <v>22.907926679154212</v>
      </c>
      <c r="M98" s="25">
        <f t="shared" si="14"/>
        <v>4.3653012077691927E-2</v>
      </c>
      <c r="N98" s="25">
        <f t="shared" si="15"/>
        <v>0.57782571099007318</v>
      </c>
      <c r="O98" s="25">
        <f t="shared" si="16"/>
        <v>0.37852127693223486</v>
      </c>
      <c r="P98" s="2" t="str">
        <f t="shared" si="17"/>
        <v>Over</v>
      </c>
    </row>
    <row r="99" spans="1:16">
      <c r="A99" s="2">
        <f>IF(Participant_Data!A99="","",Participant_Data!A99)</f>
        <v>98</v>
      </c>
      <c r="B99" s="2" t="str">
        <f>IF(Participant_Data!B99="","",Participant_Data!B99)</f>
        <v/>
      </c>
      <c r="C99" s="3" t="str">
        <f>IF(Participant_Data!C99="","",Participant_Data!C99)</f>
        <v/>
      </c>
      <c r="D99" s="2">
        <f>IF(Participant_Data!F99="","",Participant_Data!F99)</f>
        <v>1</v>
      </c>
      <c r="E99" s="2">
        <f>IF(Participant_Data!AO99="","",Participant_Data!AO99)</f>
        <v>4</v>
      </c>
      <c r="F99" s="2">
        <f>IF(Participant_Data!AP99="","",Participant_Data!AP99)</f>
        <v>4</v>
      </c>
      <c r="G99" s="2">
        <f>IF(Participant_Data!AS99="","",Participant_Data!AS99)</f>
        <v>90</v>
      </c>
      <c r="H99" s="4">
        <f t="shared" si="9"/>
        <v>4.0169999999999977</v>
      </c>
      <c r="I99" s="4">
        <f t="shared" si="10"/>
        <v>2.9940000000000024</v>
      </c>
      <c r="J99" s="4">
        <f t="shared" si="11"/>
        <v>55.534252913824226</v>
      </c>
      <c r="K99" s="4">
        <f t="shared" si="12"/>
        <v>19.965384519317197</v>
      </c>
      <c r="L99" s="4">
        <f t="shared" si="13"/>
        <v>76.49963743314143</v>
      </c>
      <c r="M99" s="25">
        <f t="shared" si="14"/>
        <v>1.3071957378542772E-2</v>
      </c>
      <c r="N99" s="25">
        <f t="shared" si="15"/>
        <v>0.72594138713872502</v>
      </c>
      <c r="O99" s="25">
        <f t="shared" si="16"/>
        <v>0.26098665548273209</v>
      </c>
      <c r="P99" s="2" t="str">
        <f t="shared" si="17"/>
        <v>Over</v>
      </c>
    </row>
    <row r="100" spans="1:16">
      <c r="A100" s="2">
        <f>IF(Participant_Data!A100="","",Participant_Data!A100)</f>
        <v>99</v>
      </c>
      <c r="B100" s="2" t="str">
        <f>IF(Participant_Data!B100="","",Participant_Data!B100)</f>
        <v/>
      </c>
      <c r="C100" s="3" t="str">
        <f>IF(Participant_Data!C100="","",Participant_Data!C100)</f>
        <v/>
      </c>
      <c r="D100" s="2">
        <f>IF(Participant_Data!F100="","",Participant_Data!F100)</f>
        <v>1</v>
      </c>
      <c r="E100" s="2">
        <f>IF(Participant_Data!AO100="","",Participant_Data!AO100)</f>
        <v>4</v>
      </c>
      <c r="F100" s="2">
        <f>IF(Participant_Data!AP100="","",Participant_Data!AP100)</f>
        <v>10</v>
      </c>
      <c r="G100" s="2">
        <f>IF(Participant_Data!AS100="","",Participant_Data!AS100)</f>
        <v>81</v>
      </c>
      <c r="H100" s="4">
        <f t="shared" si="9"/>
        <v>-1.3860000000000006</v>
      </c>
      <c r="I100" s="4">
        <f t="shared" si="10"/>
        <v>-1.7489999999999997</v>
      </c>
      <c r="J100" s="4">
        <f t="shared" si="11"/>
        <v>0.25007360111209398</v>
      </c>
      <c r="K100" s="4">
        <f t="shared" si="12"/>
        <v>0.17394780430983692</v>
      </c>
      <c r="L100" s="4">
        <f t="shared" si="13"/>
        <v>1.4240214054219309</v>
      </c>
      <c r="M100" s="25">
        <f t="shared" si="14"/>
        <v>0.70223663506217071</v>
      </c>
      <c r="N100" s="25">
        <f t="shared" si="15"/>
        <v>0.1756108441628364</v>
      </c>
      <c r="O100" s="25">
        <f t="shared" si="16"/>
        <v>0.12215252077499285</v>
      </c>
      <c r="P100" s="2" t="str">
        <f t="shared" si="17"/>
        <v>Under</v>
      </c>
    </row>
    <row r="101" spans="1:16">
      <c r="A101" s="2">
        <f>IF(Participant_Data!A101="","",Participant_Data!A101)</f>
        <v>100</v>
      </c>
      <c r="B101" s="2" t="str">
        <f>IF(Participant_Data!B101="","",Participant_Data!B101)</f>
        <v/>
      </c>
      <c r="C101" s="3" t="str">
        <f>IF(Participant_Data!C101="","",Participant_Data!C101)</f>
        <v/>
      </c>
      <c r="D101" s="2">
        <f>IF(Participant_Data!F101="","",Participant_Data!F101)</f>
        <v>1</v>
      </c>
      <c r="E101" s="2">
        <f>IF(Participant_Data!AO101="","",Participant_Data!AO101)</f>
        <v>10</v>
      </c>
      <c r="F101" s="2">
        <f>IF(Participant_Data!AP101="","",Participant_Data!AP101)</f>
        <v>4</v>
      </c>
      <c r="G101" s="2">
        <f>IF(Participant_Data!AS101="","",Participant_Data!AS101)</f>
        <v>89.5</v>
      </c>
      <c r="H101" s="4">
        <f t="shared" si="9"/>
        <v>3.9565000000000006</v>
      </c>
      <c r="I101" s="4">
        <f t="shared" si="10"/>
        <v>3.1335000000000024</v>
      </c>
      <c r="J101" s="4">
        <f t="shared" si="11"/>
        <v>52.274046234875129</v>
      </c>
      <c r="K101" s="4">
        <f t="shared" si="12"/>
        <v>22.954178737560873</v>
      </c>
      <c r="L101" s="4">
        <f t="shared" si="13"/>
        <v>76.22822497243601</v>
      </c>
      <c r="M101" s="25">
        <f t="shared" si="14"/>
        <v>1.3118500402726132E-2</v>
      </c>
      <c r="N101" s="25">
        <f t="shared" si="15"/>
        <v>0.68575709658433381</v>
      </c>
      <c r="O101" s="25">
        <f t="shared" si="16"/>
        <v>0.30112440301293991</v>
      </c>
      <c r="P101" s="2" t="str">
        <f t="shared" si="17"/>
        <v>Over</v>
      </c>
    </row>
    <row r="102" spans="1:16">
      <c r="A102" s="2">
        <f>IF(Participant_Data!A102="","",Participant_Data!A102)</f>
        <v>101</v>
      </c>
      <c r="B102" s="2" t="str">
        <f>IF(Participant_Data!B102="","",Participant_Data!B102)</f>
        <v/>
      </c>
      <c r="C102" s="3" t="str">
        <f>IF(Participant_Data!C102="","",Participant_Data!C102)</f>
        <v/>
      </c>
      <c r="D102" s="2">
        <f>IF(Participant_Data!F102="","",Participant_Data!F102)</f>
        <v>1</v>
      </c>
      <c r="E102" s="2">
        <f>IF(Participant_Data!AO102="","",Participant_Data!AO102)</f>
        <v>6</v>
      </c>
      <c r="F102" s="2">
        <f>IF(Participant_Data!AP102="","",Participant_Data!AP102)</f>
        <v>6</v>
      </c>
      <c r="G102" s="2">
        <f>IF(Participant_Data!AS102="","",Participant_Data!AS102)</f>
        <v>69</v>
      </c>
      <c r="H102" s="4">
        <f t="shared" si="9"/>
        <v>-4.0280000000000005</v>
      </c>
      <c r="I102" s="4">
        <f t="shared" si="10"/>
        <v>-1.9109999999999987</v>
      </c>
      <c r="J102" s="4">
        <f t="shared" si="11"/>
        <v>1.7809914185937626E-2</v>
      </c>
      <c r="K102" s="4">
        <f t="shared" si="12"/>
        <v>0.14793238022438659</v>
      </c>
      <c r="L102" s="4">
        <f t="shared" si="13"/>
        <v>1.1657422944103242</v>
      </c>
      <c r="M102" s="25">
        <f t="shared" si="14"/>
        <v>0.85782252629500522</v>
      </c>
      <c r="N102" s="25">
        <f t="shared" si="15"/>
        <v>1.5277745580078265E-2</v>
      </c>
      <c r="O102" s="25">
        <f t="shared" si="16"/>
        <v>0.12689972812491657</v>
      </c>
      <c r="P102" s="2" t="str">
        <f t="shared" si="17"/>
        <v>Under</v>
      </c>
    </row>
    <row r="103" spans="1:16">
      <c r="A103" s="2">
        <f>IF(Participant_Data!A103="","",Participant_Data!A103)</f>
        <v>102</v>
      </c>
      <c r="B103" s="2" t="str">
        <f>IF(Participant_Data!B103="","",Participant_Data!B103)</f>
        <v/>
      </c>
      <c r="C103" s="3" t="str">
        <f>IF(Participant_Data!C103="","",Participant_Data!C103)</f>
        <v/>
      </c>
      <c r="D103" s="2">
        <f>IF(Participant_Data!F103="","",Participant_Data!F103)</f>
        <v>1</v>
      </c>
      <c r="E103" s="2">
        <f>IF(Participant_Data!AO103="","",Participant_Data!AO103)</f>
        <v>10</v>
      </c>
      <c r="F103" s="2">
        <f>IF(Participant_Data!AP103="","",Participant_Data!AP103)</f>
        <v>4</v>
      </c>
      <c r="G103" s="2">
        <f>IF(Participant_Data!AS103="","",Participant_Data!AS103)</f>
        <v>88</v>
      </c>
      <c r="H103" s="4">
        <f t="shared" si="9"/>
        <v>3.4329999999999985</v>
      </c>
      <c r="I103" s="4">
        <f t="shared" si="10"/>
        <v>2.8500000000000023</v>
      </c>
      <c r="J103" s="4">
        <f t="shared" si="11"/>
        <v>30.969411761867562</v>
      </c>
      <c r="K103" s="4">
        <f t="shared" si="12"/>
        <v>17.287781840567678</v>
      </c>
      <c r="L103" s="4">
        <f t="shared" si="13"/>
        <v>49.257193602435237</v>
      </c>
      <c r="M103" s="25">
        <f t="shared" si="14"/>
        <v>2.0301603214978141E-2</v>
      </c>
      <c r="N103" s="25">
        <f t="shared" si="15"/>
        <v>0.62872870939071235</v>
      </c>
      <c r="O103" s="25">
        <f t="shared" si="16"/>
        <v>0.3509696873943095</v>
      </c>
      <c r="P103" s="2" t="str">
        <f t="shared" si="17"/>
        <v>Over</v>
      </c>
    </row>
    <row r="104" spans="1:16">
      <c r="A104" s="2">
        <f>IF(Participant_Data!A104="","",Participant_Data!A104)</f>
        <v>103</v>
      </c>
      <c r="B104" s="2" t="str">
        <f>IF(Participant_Data!B104="","",Participant_Data!B104)</f>
        <v/>
      </c>
      <c r="C104" s="3" t="str">
        <f>IF(Participant_Data!C104="","",Participant_Data!C104)</f>
        <v/>
      </c>
      <c r="D104" s="2">
        <f>IF(Participant_Data!F104="","",Participant_Data!F104)</f>
        <v>1</v>
      </c>
      <c r="E104" s="2">
        <f>IF(Participant_Data!AO104="","",Participant_Data!AO104)</f>
        <v>6</v>
      </c>
      <c r="F104" s="2">
        <f>IF(Participant_Data!AP104="","",Participant_Data!AP104)</f>
        <v>4</v>
      </c>
      <c r="G104" s="2">
        <f>IF(Participant_Data!AS104="","",Participant_Data!AS104)</f>
        <v>74.5</v>
      </c>
      <c r="H104" s="4">
        <f t="shared" si="9"/>
        <v>-1.3544999999999994</v>
      </c>
      <c r="I104" s="4">
        <f t="shared" si="10"/>
        <v>0.14250000000000096</v>
      </c>
      <c r="J104" s="4">
        <f t="shared" si="11"/>
        <v>0.25807630034783813</v>
      </c>
      <c r="K104" s="4">
        <f t="shared" si="12"/>
        <v>1.1531530809573707</v>
      </c>
      <c r="L104" s="4">
        <f t="shared" si="13"/>
        <v>2.4112293813052088</v>
      </c>
      <c r="M104" s="25">
        <f t="shared" si="14"/>
        <v>0.41472620056524678</v>
      </c>
      <c r="N104" s="25">
        <f t="shared" si="15"/>
        <v>0.10703100349919439</v>
      </c>
      <c r="O104" s="25">
        <f t="shared" si="16"/>
        <v>0.4782427959355588</v>
      </c>
      <c r="P104" s="2" t="str">
        <f t="shared" si="17"/>
        <v>Normal</v>
      </c>
    </row>
    <row r="105" spans="1:16">
      <c r="A105" s="2">
        <f>IF(Participant_Data!A105="","",Participant_Data!A105)</f>
        <v>104</v>
      </c>
      <c r="B105" s="2" t="str">
        <f>IF(Participant_Data!B105="","",Participant_Data!B105)</f>
        <v/>
      </c>
      <c r="C105" s="3" t="str">
        <f>IF(Participant_Data!C105="","",Participant_Data!C105)</f>
        <v/>
      </c>
      <c r="D105" s="2">
        <f>IF(Participant_Data!F105="","",Participant_Data!F105)</f>
        <v>1</v>
      </c>
      <c r="E105" s="2">
        <f>IF(Participant_Data!AO105="","",Participant_Data!AO105)</f>
        <v>10</v>
      </c>
      <c r="F105" s="2">
        <f>IF(Participant_Data!AP105="","",Participant_Data!AP105)</f>
        <v>4</v>
      </c>
      <c r="G105" s="2">
        <f>IF(Participant_Data!AS105="","",Participant_Data!AS105)</f>
        <v>91</v>
      </c>
      <c r="H105" s="4">
        <f t="shared" si="9"/>
        <v>4.4799999999999986</v>
      </c>
      <c r="I105" s="4">
        <f t="shared" si="10"/>
        <v>3.4170000000000025</v>
      </c>
      <c r="J105" s="4">
        <f t="shared" si="11"/>
        <v>88.234672675651353</v>
      </c>
      <c r="K105" s="4">
        <f t="shared" si="12"/>
        <v>30.477844200895472</v>
      </c>
      <c r="L105" s="4">
        <f t="shared" si="13"/>
        <v>119.71251687654683</v>
      </c>
      <c r="M105" s="25">
        <f t="shared" si="14"/>
        <v>8.3533453818471371E-3</v>
      </c>
      <c r="N105" s="25">
        <f t="shared" si="15"/>
        <v>0.73705469551394609</v>
      </c>
      <c r="O105" s="25">
        <f t="shared" si="16"/>
        <v>0.25459195910420679</v>
      </c>
      <c r="P105" s="2" t="str">
        <f t="shared" si="17"/>
        <v>Over</v>
      </c>
    </row>
    <row r="106" spans="1:16">
      <c r="A106" s="2">
        <f>IF(Participant_Data!A106="","",Participant_Data!A106)</f>
        <v>105</v>
      </c>
      <c r="B106" s="2" t="str">
        <f>IF(Participant_Data!B106="","",Participant_Data!B106)</f>
        <v/>
      </c>
      <c r="C106" s="3" t="str">
        <f>IF(Participant_Data!C106="","",Participant_Data!C106)</f>
        <v/>
      </c>
      <c r="D106" s="2">
        <f>IF(Participant_Data!F106="","",Participant_Data!F106)</f>
        <v>1</v>
      </c>
      <c r="E106" s="2">
        <f>IF(Participant_Data!AO106="","",Participant_Data!AO106)</f>
        <v>4</v>
      </c>
      <c r="F106" s="2">
        <f>IF(Participant_Data!AP106="","",Participant_Data!AP106)</f>
        <v>4</v>
      </c>
      <c r="G106" s="2">
        <f>IF(Participant_Data!AS106="","",Participant_Data!AS106)</f>
        <v>75</v>
      </c>
      <c r="H106" s="4">
        <f t="shared" si="9"/>
        <v>-1.2180000000000013</v>
      </c>
      <c r="I106" s="4">
        <f t="shared" si="10"/>
        <v>0.15900000000000158</v>
      </c>
      <c r="J106" s="4">
        <f t="shared" si="11"/>
        <v>0.29582121811203282</v>
      </c>
      <c r="K106" s="4">
        <f t="shared" si="12"/>
        <v>1.1723379466807196</v>
      </c>
      <c r="L106" s="4">
        <f t="shared" si="13"/>
        <v>2.4681591647927523</v>
      </c>
      <c r="M106" s="25">
        <f t="shared" si="14"/>
        <v>0.40516025638239928</v>
      </c>
      <c r="N106" s="25">
        <f t="shared" si="15"/>
        <v>0.11985500057362487</v>
      </c>
      <c r="O106" s="25">
        <f t="shared" si="16"/>
        <v>0.47498474304397587</v>
      </c>
      <c r="P106" s="2" t="str">
        <f t="shared" si="17"/>
        <v>Normal</v>
      </c>
    </row>
    <row r="107" spans="1:16">
      <c r="A107" s="2">
        <f>IF(Participant_Data!A107="","",Participant_Data!A107)</f>
        <v>106</v>
      </c>
      <c r="B107" s="2" t="str">
        <f>IF(Participant_Data!B107="","",Participant_Data!B107)</f>
        <v/>
      </c>
      <c r="C107" s="3" t="str">
        <f>IF(Participant_Data!C107="","",Participant_Data!C107)</f>
        <v/>
      </c>
      <c r="D107" s="2">
        <f>IF(Participant_Data!F107="","",Participant_Data!F107)</f>
        <v>1</v>
      </c>
      <c r="E107" s="2">
        <f>IF(Participant_Data!AO107="","",Participant_Data!AO107)</f>
        <v>16</v>
      </c>
      <c r="F107" s="2">
        <f>IF(Participant_Data!AP107="","",Participant_Data!AP107)</f>
        <v>4</v>
      </c>
      <c r="G107" s="2">
        <f>IF(Participant_Data!AS107="","",Participant_Data!AS107)</f>
        <v>85</v>
      </c>
      <c r="H107" s="4">
        <f t="shared" si="9"/>
        <v>2.4999999999999987</v>
      </c>
      <c r="I107" s="4">
        <f t="shared" si="10"/>
        <v>2.5170000000000021</v>
      </c>
      <c r="J107" s="4">
        <f t="shared" si="11"/>
        <v>12.182493960703457</v>
      </c>
      <c r="K107" s="4">
        <f t="shared" si="12"/>
        <v>12.39136674638506</v>
      </c>
      <c r="L107" s="4">
        <f t="shared" si="13"/>
        <v>25.573860707088517</v>
      </c>
      <c r="M107" s="25">
        <f t="shared" si="14"/>
        <v>3.9102426162930567E-2</v>
      </c>
      <c r="N107" s="25">
        <f t="shared" si="15"/>
        <v>0.47636507057875449</v>
      </c>
      <c r="O107" s="25">
        <f t="shared" si="16"/>
        <v>0.48453250325831498</v>
      </c>
      <c r="P107" s="2" t="str">
        <f t="shared" si="17"/>
        <v>Normal</v>
      </c>
    </row>
    <row r="108" spans="1:16">
      <c r="A108" s="2">
        <f>IF(Participant_Data!A108="","",Participant_Data!A108)</f>
        <v>107</v>
      </c>
      <c r="B108" s="2" t="str">
        <f>IF(Participant_Data!B108="","",Participant_Data!B108)</f>
        <v/>
      </c>
      <c r="C108" s="3" t="str">
        <f>IF(Participant_Data!C108="","",Participant_Data!C108)</f>
        <v/>
      </c>
      <c r="D108" s="2">
        <f>IF(Participant_Data!F108="","",Participant_Data!F108)</f>
        <v>1</v>
      </c>
      <c r="E108" s="2">
        <f>IF(Participant_Data!AO108="","",Participant_Data!AO108)</f>
        <v>2</v>
      </c>
      <c r="F108" s="2">
        <f>IF(Participant_Data!AP108="","",Participant_Data!AP108)</f>
        <v>4</v>
      </c>
      <c r="G108" s="2">
        <f>IF(Participant_Data!AS108="","",Participant_Data!AS108)</f>
        <v>72</v>
      </c>
      <c r="H108" s="4">
        <f t="shared" si="9"/>
        <v>-2.3029999999999986</v>
      </c>
      <c r="I108" s="4">
        <f t="shared" si="10"/>
        <v>-0.48599999999999977</v>
      </c>
      <c r="J108" s="4">
        <f t="shared" si="11"/>
        <v>9.9958517905605587E-2</v>
      </c>
      <c r="K108" s="4">
        <f t="shared" si="12"/>
        <v>0.61508180731352879</v>
      </c>
      <c r="L108" s="4">
        <f t="shared" si="13"/>
        <v>1.7150403252191344</v>
      </c>
      <c r="M108" s="25">
        <f t="shared" si="14"/>
        <v>0.58307666898282862</v>
      </c>
      <c r="N108" s="25">
        <f t="shared" si="15"/>
        <v>5.828347965686094E-2</v>
      </c>
      <c r="O108" s="25">
        <f t="shared" si="16"/>
        <v>0.3586398513603104</v>
      </c>
      <c r="P108" s="2" t="str">
        <f t="shared" si="17"/>
        <v>Under</v>
      </c>
    </row>
    <row r="109" spans="1:16">
      <c r="A109" s="2">
        <f>IF(Participant_Data!A109="","",Participant_Data!A109)</f>
        <v>108</v>
      </c>
      <c r="B109" s="2" t="str">
        <f>IF(Participant_Data!B109="","",Participant_Data!B109)</f>
        <v/>
      </c>
      <c r="C109" s="3" t="str">
        <f>IF(Participant_Data!C109="","",Participant_Data!C109)</f>
        <v/>
      </c>
      <c r="D109" s="2">
        <f>IF(Participant_Data!F109="","",Participant_Data!F109)</f>
        <v>1</v>
      </c>
      <c r="E109" s="2">
        <f>IF(Participant_Data!AO109="","",Participant_Data!AO109)</f>
        <v>4</v>
      </c>
      <c r="F109" s="2">
        <f>IF(Participant_Data!AP109="","",Participant_Data!AP109)</f>
        <v>4</v>
      </c>
      <c r="G109" s="2">
        <f>IF(Participant_Data!AS109="","",Participant_Data!AS109)</f>
        <v>88</v>
      </c>
      <c r="H109" s="4">
        <f t="shared" si="9"/>
        <v>3.3189999999999977</v>
      </c>
      <c r="I109" s="4">
        <f t="shared" si="10"/>
        <v>2.6160000000000023</v>
      </c>
      <c r="J109" s="4">
        <f t="shared" si="11"/>
        <v>27.632704033524544</v>
      </c>
      <c r="K109" s="4">
        <f t="shared" si="12"/>
        <v>13.680890430158337</v>
      </c>
      <c r="L109" s="4">
        <f t="shared" si="13"/>
        <v>42.313594463682882</v>
      </c>
      <c r="M109" s="25">
        <f t="shared" si="14"/>
        <v>2.3633066693454389E-2</v>
      </c>
      <c r="N109" s="25">
        <f t="shared" si="15"/>
        <v>0.65304553734477166</v>
      </c>
      <c r="O109" s="25">
        <f t="shared" si="16"/>
        <v>0.32332139596177389</v>
      </c>
      <c r="P109" s="2" t="str">
        <f t="shared" si="17"/>
        <v>Over</v>
      </c>
    </row>
    <row r="110" spans="1:16">
      <c r="A110" s="2">
        <f>IF(Participant_Data!A110="","",Participant_Data!A110)</f>
        <v>109</v>
      </c>
      <c r="B110" s="2" t="str">
        <f>IF(Participant_Data!B110="","",Participant_Data!B110)</f>
        <v/>
      </c>
      <c r="C110" s="3" t="str">
        <f>IF(Participant_Data!C110="","",Participant_Data!C110)</f>
        <v/>
      </c>
      <c r="D110" s="2">
        <f>IF(Participant_Data!F110="","",Participant_Data!F110)</f>
        <v>1</v>
      </c>
      <c r="E110" s="2">
        <f>IF(Participant_Data!AO110="","",Participant_Data!AO110)</f>
        <v>4</v>
      </c>
      <c r="F110" s="2">
        <f>IF(Participant_Data!AP110="","",Participant_Data!AP110)</f>
        <v>4</v>
      </c>
      <c r="G110" s="2">
        <f>IF(Participant_Data!AS110="","",Participant_Data!AS110)</f>
        <v>79</v>
      </c>
      <c r="H110" s="4">
        <f t="shared" si="9"/>
        <v>0.17799999999999949</v>
      </c>
      <c r="I110" s="4">
        <f t="shared" si="10"/>
        <v>0.91500000000000181</v>
      </c>
      <c r="J110" s="4">
        <f t="shared" si="11"/>
        <v>1.1948253212348001</v>
      </c>
      <c r="K110" s="4">
        <f t="shared" si="12"/>
        <v>2.4967752519048925</v>
      </c>
      <c r="L110" s="4">
        <f t="shared" si="13"/>
        <v>4.6916005731396933</v>
      </c>
      <c r="M110" s="25">
        <f t="shared" si="14"/>
        <v>0.21314687480541086</v>
      </c>
      <c r="N110" s="25">
        <f t="shared" si="15"/>
        <v>0.25467328315956872</v>
      </c>
      <c r="O110" s="25">
        <f t="shared" si="16"/>
        <v>0.53217984203502022</v>
      </c>
      <c r="P110" s="2" t="str">
        <f t="shared" si="17"/>
        <v>Normal</v>
      </c>
    </row>
    <row r="111" spans="1:16">
      <c r="A111" s="2">
        <f>IF(Participant_Data!A111="","",Participant_Data!A111)</f>
        <v>110</v>
      </c>
      <c r="B111" s="2" t="str">
        <f>IF(Participant_Data!B111="","",Participant_Data!B111)</f>
        <v/>
      </c>
      <c r="C111" s="3" t="str">
        <f>IF(Participant_Data!C111="","",Participant_Data!C111)</f>
        <v/>
      </c>
      <c r="D111" s="2">
        <f>IF(Participant_Data!F111="","",Participant_Data!F111)</f>
        <v>1</v>
      </c>
      <c r="E111" s="2">
        <f>IF(Participant_Data!AO111="","",Participant_Data!AO111)</f>
        <v>2</v>
      </c>
      <c r="F111" s="2">
        <f>IF(Participant_Data!AP111="","",Participant_Data!AP111)</f>
        <v>4</v>
      </c>
      <c r="G111" s="2">
        <f>IF(Participant_Data!AS111="","",Participant_Data!AS111)</f>
        <v>83</v>
      </c>
      <c r="H111" s="4">
        <f t="shared" si="9"/>
        <v>1.536</v>
      </c>
      <c r="I111" s="4">
        <f t="shared" si="10"/>
        <v>1.5929999999999991</v>
      </c>
      <c r="J111" s="4">
        <f t="shared" si="11"/>
        <v>4.6459691769204277</v>
      </c>
      <c r="K111" s="4">
        <f t="shared" si="12"/>
        <v>4.9184822640652053</v>
      </c>
      <c r="L111" s="4">
        <f t="shared" si="13"/>
        <v>10.564451440985632</v>
      </c>
      <c r="M111" s="25">
        <f t="shared" si="14"/>
        <v>9.4657068148415194E-2</v>
      </c>
      <c r="N111" s="25">
        <f t="shared" si="15"/>
        <v>0.43977382099519335</v>
      </c>
      <c r="O111" s="25">
        <f t="shared" si="16"/>
        <v>0.46556911085639158</v>
      </c>
      <c r="P111" s="2" t="str">
        <f t="shared" si="17"/>
        <v>Normal</v>
      </c>
    </row>
    <row r="112" spans="1:16">
      <c r="A112" s="2">
        <f>IF(Participant_Data!A112="","",Participant_Data!A112)</f>
        <v>111</v>
      </c>
      <c r="B112" s="2" t="str">
        <f>IF(Participant_Data!B112="","",Participant_Data!B112)</f>
        <v/>
      </c>
      <c r="C112" s="3" t="str">
        <f>IF(Participant_Data!C112="","",Participant_Data!C112)</f>
        <v/>
      </c>
      <c r="D112" s="2">
        <f>IF(Participant_Data!F112="","",Participant_Data!F112)</f>
        <v>1</v>
      </c>
      <c r="E112" s="2">
        <f>IF(Participant_Data!AO112="","",Participant_Data!AO112)</f>
        <v>0</v>
      </c>
      <c r="F112" s="2">
        <f>IF(Participant_Data!AP112="","",Participant_Data!AP112)</f>
        <v>4</v>
      </c>
      <c r="G112" s="2">
        <f>IF(Participant_Data!AS112="","",Participant_Data!AS112)</f>
        <v>73</v>
      </c>
      <c r="H112" s="4">
        <f t="shared" si="9"/>
        <v>-1.9920000000000022</v>
      </c>
      <c r="I112" s="4">
        <f t="shared" si="10"/>
        <v>-0.37499999999999911</v>
      </c>
      <c r="J112" s="4">
        <f t="shared" si="11"/>
        <v>0.13642230780331394</v>
      </c>
      <c r="K112" s="4">
        <f t="shared" si="12"/>
        <v>0.68728927879097279</v>
      </c>
      <c r="L112" s="4">
        <f t="shared" si="13"/>
        <v>1.8237115865942868</v>
      </c>
      <c r="M112" s="25">
        <f t="shared" si="14"/>
        <v>0.54833231710034958</v>
      </c>
      <c r="N112" s="25">
        <f t="shared" si="15"/>
        <v>7.4804760141968227E-2</v>
      </c>
      <c r="O112" s="25">
        <f t="shared" si="16"/>
        <v>0.37686292275768224</v>
      </c>
      <c r="P112" s="2" t="str">
        <f t="shared" si="17"/>
        <v>Under</v>
      </c>
    </row>
    <row r="113" spans="1:16">
      <c r="A113" s="2">
        <f>IF(Participant_Data!A113="","",Participant_Data!A113)</f>
        <v>112</v>
      </c>
      <c r="B113" s="2" t="str">
        <f>IF(Participant_Data!B113="","",Participant_Data!B113)</f>
        <v/>
      </c>
      <c r="C113" s="3" t="str">
        <f>IF(Participant_Data!C113="","",Participant_Data!C113)</f>
        <v/>
      </c>
      <c r="D113" s="2">
        <f>IF(Participant_Data!F113="","",Participant_Data!F113)</f>
        <v>1</v>
      </c>
      <c r="E113" s="2">
        <f>IF(Participant_Data!AO113="","",Participant_Data!AO113)</f>
        <v>8</v>
      </c>
      <c r="F113" s="2">
        <f>IF(Participant_Data!AP113="","",Participant_Data!AP113)</f>
        <v>4</v>
      </c>
      <c r="G113" s="2">
        <f>IF(Participant_Data!AS113="","",Participant_Data!AS113)</f>
        <v>90</v>
      </c>
      <c r="H113" s="4">
        <f t="shared" si="9"/>
        <v>4.0929999999999982</v>
      </c>
      <c r="I113" s="4">
        <f t="shared" si="10"/>
        <v>3.1500000000000012</v>
      </c>
      <c r="J113" s="4">
        <f t="shared" si="11"/>
        <v>59.919380477801454</v>
      </c>
      <c r="K113" s="4">
        <f t="shared" si="12"/>
        <v>23.336064580942743</v>
      </c>
      <c r="L113" s="4">
        <f t="shared" si="13"/>
        <v>84.255445058744201</v>
      </c>
      <c r="M113" s="25">
        <f t="shared" si="14"/>
        <v>1.1868669132336605E-2</v>
      </c>
      <c r="N113" s="25">
        <f t="shared" si="15"/>
        <v>0.71116330150561469</v>
      </c>
      <c r="O113" s="25">
        <f t="shared" si="16"/>
        <v>0.27696802936204867</v>
      </c>
      <c r="P113" s="2" t="str">
        <f t="shared" si="17"/>
        <v>Over</v>
      </c>
    </row>
    <row r="114" spans="1:16">
      <c r="A114" s="2">
        <f>IF(Participant_Data!A114="","",Participant_Data!A114)</f>
        <v>113</v>
      </c>
      <c r="B114" s="2" t="str">
        <f>IF(Participant_Data!B114="","",Participant_Data!B114)</f>
        <v/>
      </c>
      <c r="C114" s="3" t="str">
        <f>IF(Participant_Data!C114="","",Participant_Data!C114)</f>
        <v/>
      </c>
      <c r="D114" s="2">
        <f>IF(Participant_Data!F114="","",Participant_Data!F114)</f>
        <v>1</v>
      </c>
      <c r="E114" s="2">
        <f>IF(Participant_Data!AO114="","",Participant_Data!AO114)</f>
        <v>4</v>
      </c>
      <c r="F114" s="2">
        <f>IF(Participant_Data!AP114="","",Participant_Data!AP114)</f>
        <v>12</v>
      </c>
      <c r="G114" s="2">
        <f>IF(Participant_Data!AS114="","",Participant_Data!AS114)</f>
        <v>68.5</v>
      </c>
      <c r="H114" s="4">
        <f t="shared" si="9"/>
        <v>-6.5025000000000031</v>
      </c>
      <c r="I114" s="4">
        <f t="shared" si="10"/>
        <v>-5.1254999999999979</v>
      </c>
      <c r="J114" s="4">
        <f t="shared" si="11"/>
        <v>1.4996852893298415E-3</v>
      </c>
      <c r="K114" s="4">
        <f t="shared" si="12"/>
        <v>5.9432449909471762E-3</v>
      </c>
      <c r="L114" s="4">
        <f t="shared" si="13"/>
        <v>1.007442930280277</v>
      </c>
      <c r="M114" s="25">
        <f t="shared" si="14"/>
        <v>0.99261205765947824</v>
      </c>
      <c r="N114" s="25">
        <f t="shared" si="15"/>
        <v>1.4886057008833438E-3</v>
      </c>
      <c r="O114" s="25">
        <f t="shared" si="16"/>
        <v>5.8993366396384635E-3</v>
      </c>
      <c r="P114" s="2" t="str">
        <f t="shared" si="17"/>
        <v>Under</v>
      </c>
    </row>
    <row r="115" spans="1:16">
      <c r="A115" s="2">
        <f>IF(Participant_Data!A115="","",Participant_Data!A115)</f>
        <v>114</v>
      </c>
      <c r="B115" s="2" t="str">
        <f>IF(Participant_Data!B115="","",Participant_Data!B115)</f>
        <v/>
      </c>
      <c r="C115" s="3" t="str">
        <f>IF(Participant_Data!C115="","",Participant_Data!C115)</f>
        <v/>
      </c>
      <c r="D115" s="2">
        <f>IF(Participant_Data!F115="","",Participant_Data!F115)</f>
        <v>1</v>
      </c>
      <c r="E115" s="2">
        <f>IF(Participant_Data!AO115="","",Participant_Data!AO115)</f>
        <v>4</v>
      </c>
      <c r="F115" s="2">
        <f>IF(Participant_Data!AP115="","",Participant_Data!AP115)</f>
        <v>4</v>
      </c>
      <c r="G115" s="2">
        <f>IF(Participant_Data!AS115="","",Participant_Data!AS115)</f>
        <v>68</v>
      </c>
      <c r="H115" s="4">
        <f t="shared" si="9"/>
        <v>-3.6609999999999991</v>
      </c>
      <c r="I115" s="4">
        <f t="shared" si="10"/>
        <v>-1.1639999999999988</v>
      </c>
      <c r="J115" s="4">
        <f t="shared" si="11"/>
        <v>2.570679307560229E-2</v>
      </c>
      <c r="K115" s="4">
        <f t="shared" si="12"/>
        <v>0.31223474070801088</v>
      </c>
      <c r="L115" s="4">
        <f t="shared" si="13"/>
        <v>1.3379415337836131</v>
      </c>
      <c r="M115" s="25">
        <f t="shared" si="14"/>
        <v>0.74741681512200608</v>
      </c>
      <c r="N115" s="25">
        <f t="shared" si="15"/>
        <v>1.9213689407567104E-2</v>
      </c>
      <c r="O115" s="25">
        <f t="shared" si="16"/>
        <v>0.23336949547042687</v>
      </c>
      <c r="P115" s="2" t="str">
        <f t="shared" si="17"/>
        <v>Under</v>
      </c>
    </row>
    <row r="116" spans="1:16">
      <c r="A116" s="2">
        <f>IF(Participant_Data!A116="","",Participant_Data!A116)</f>
        <v>115</v>
      </c>
      <c r="B116" s="2" t="str">
        <f>IF(Participant_Data!B116="","",Participant_Data!B116)</f>
        <v/>
      </c>
      <c r="C116" s="3" t="str">
        <f>IF(Participant_Data!C116="","",Participant_Data!C116)</f>
        <v/>
      </c>
      <c r="D116" s="2">
        <f>IF(Participant_Data!F116="","",Participant_Data!F116)</f>
        <v>1</v>
      </c>
      <c r="E116" s="2">
        <f>IF(Participant_Data!AO116="","",Participant_Data!AO116)</f>
        <v>4</v>
      </c>
      <c r="F116" s="2">
        <f>IF(Participant_Data!AP116="","",Participant_Data!AP116)</f>
        <v>4</v>
      </c>
      <c r="G116" s="2">
        <f>IF(Participant_Data!AS116="","",Participant_Data!AS116)</f>
        <v>84.5</v>
      </c>
      <c r="H116" s="4">
        <f t="shared" si="9"/>
        <v>2.0974999999999988</v>
      </c>
      <c r="I116" s="4">
        <f t="shared" si="10"/>
        <v>1.9545000000000003</v>
      </c>
      <c r="J116" s="4">
        <f t="shared" si="11"/>
        <v>8.145779985814416</v>
      </c>
      <c r="K116" s="4">
        <f t="shared" si="12"/>
        <v>7.0603879470320932</v>
      </c>
      <c r="L116" s="4">
        <f t="shared" si="13"/>
        <v>16.206167932846508</v>
      </c>
      <c r="M116" s="25">
        <f t="shared" si="14"/>
        <v>6.1704901747513641E-2</v>
      </c>
      <c r="N116" s="25">
        <f t="shared" si="15"/>
        <v>0.50263455368154153</v>
      </c>
      <c r="O116" s="25">
        <f t="shared" si="16"/>
        <v>0.43566054457094483</v>
      </c>
      <c r="P116" s="2" t="str">
        <f t="shared" si="17"/>
        <v>Over</v>
      </c>
    </row>
    <row r="117" spans="1:16">
      <c r="A117" s="2">
        <f>IF(Participant_Data!A117="","",Participant_Data!A117)</f>
        <v>116</v>
      </c>
      <c r="B117" s="2" t="str">
        <f>IF(Participant_Data!B117="","",Participant_Data!B117)</f>
        <v/>
      </c>
      <c r="C117" s="3" t="str">
        <f>IF(Participant_Data!C117="","",Participant_Data!C117)</f>
        <v/>
      </c>
      <c r="D117" s="2">
        <f>IF(Participant_Data!F117="","",Participant_Data!F117)</f>
        <v>1</v>
      </c>
      <c r="E117" s="2">
        <f>IF(Participant_Data!AO117="","",Participant_Data!AO117)</f>
        <v>2</v>
      </c>
      <c r="F117" s="2">
        <f>IF(Participant_Data!AP117="","",Participant_Data!AP117)</f>
        <v>8</v>
      </c>
      <c r="G117" s="2">
        <f>IF(Participant_Data!AS117="","",Participant_Data!AS117)</f>
        <v>86</v>
      </c>
      <c r="H117" s="4">
        <f t="shared" si="9"/>
        <v>1.074999999999998</v>
      </c>
      <c r="I117" s="4">
        <f t="shared" si="10"/>
        <v>0.13200000000000234</v>
      </c>
      <c r="J117" s="4">
        <f t="shared" si="11"/>
        <v>2.9299929005336955</v>
      </c>
      <c r="K117" s="4">
        <f t="shared" si="12"/>
        <v>1.1411083192672378</v>
      </c>
      <c r="L117" s="4">
        <f t="shared" si="13"/>
        <v>5.0711012198009335</v>
      </c>
      <c r="M117" s="25">
        <f t="shared" si="14"/>
        <v>0.19719582722887458</v>
      </c>
      <c r="N117" s="25">
        <f t="shared" si="15"/>
        <v>0.5777823737954717</v>
      </c>
      <c r="O117" s="25">
        <f t="shared" si="16"/>
        <v>0.22502179897565366</v>
      </c>
      <c r="P117" s="2" t="str">
        <f t="shared" si="17"/>
        <v>Over</v>
      </c>
    </row>
    <row r="118" spans="1:16">
      <c r="A118" s="2">
        <f>IF(Participant_Data!A118="","",Participant_Data!A118)</f>
        <v>117</v>
      </c>
      <c r="B118" s="2" t="str">
        <f>IF(Participant_Data!B118="","",Participant_Data!B118)</f>
        <v/>
      </c>
      <c r="C118" s="3" t="str">
        <f>IF(Participant_Data!C118="","",Participant_Data!C118)</f>
        <v/>
      </c>
      <c r="D118" s="2">
        <f>IF(Participant_Data!F118="","",Participant_Data!F118)</f>
        <v>1</v>
      </c>
      <c r="E118" s="2">
        <f>IF(Participant_Data!AO118="","",Participant_Data!AO118)</f>
        <v>8</v>
      </c>
      <c r="F118" s="2">
        <f>IF(Participant_Data!AP118="","",Participant_Data!AP118)</f>
        <v>8</v>
      </c>
      <c r="G118" s="2">
        <f>IF(Participant_Data!AS118="","",Participant_Data!AS118)</f>
        <v>75</v>
      </c>
      <c r="H118" s="4">
        <f t="shared" si="9"/>
        <v>-2.65</v>
      </c>
      <c r="I118" s="4">
        <f t="shared" si="10"/>
        <v>-1.7130000000000001</v>
      </c>
      <c r="J118" s="4">
        <f t="shared" si="11"/>
        <v>7.0651213060429596E-2</v>
      </c>
      <c r="K118" s="4">
        <f t="shared" si="12"/>
        <v>0.18032400832205148</v>
      </c>
      <c r="L118" s="4">
        <f t="shared" si="13"/>
        <v>1.250975221382481</v>
      </c>
      <c r="M118" s="25">
        <f t="shared" si="14"/>
        <v>0.79937634487666143</v>
      </c>
      <c r="N118" s="25">
        <f t="shared" si="15"/>
        <v>5.6476908457348457E-2</v>
      </c>
      <c r="O118" s="25">
        <f t="shared" si="16"/>
        <v>0.1441467466659902</v>
      </c>
      <c r="P118" s="2" t="str">
        <f t="shared" si="17"/>
        <v>Under</v>
      </c>
    </row>
    <row r="119" spans="1:16">
      <c r="A119" s="2">
        <f>IF(Participant_Data!A119="","",Participant_Data!A119)</f>
        <v>118</v>
      </c>
      <c r="B119" s="2" t="str">
        <f>IF(Participant_Data!B119="","",Participant_Data!B119)</f>
        <v/>
      </c>
      <c r="C119" s="3" t="str">
        <f>IF(Participant_Data!C119="","",Participant_Data!C119)</f>
        <v/>
      </c>
      <c r="D119" s="2">
        <f>IF(Participant_Data!F119="","",Participant_Data!F119)</f>
        <v>1</v>
      </c>
      <c r="E119" s="2">
        <f>IF(Participant_Data!AO119="","",Participant_Data!AO119)</f>
        <v>4</v>
      </c>
      <c r="F119" s="2">
        <f>IF(Participant_Data!AP119="","",Participant_Data!AP119)</f>
        <v>4</v>
      </c>
      <c r="G119" s="2">
        <f>IF(Participant_Data!AS119="","",Participant_Data!AS119)</f>
        <v>93</v>
      </c>
      <c r="H119" s="4">
        <f t="shared" si="9"/>
        <v>5.0640000000000018</v>
      </c>
      <c r="I119" s="4">
        <f t="shared" si="10"/>
        <v>3.5610000000000026</v>
      </c>
      <c r="J119" s="4">
        <f t="shared" si="11"/>
        <v>158.22214079543912</v>
      </c>
      <c r="K119" s="4">
        <f t="shared" si="12"/>
        <v>35.198377929712379</v>
      </c>
      <c r="L119" s="4">
        <f t="shared" si="13"/>
        <v>194.42051872515151</v>
      </c>
      <c r="M119" s="25">
        <f t="shared" si="14"/>
        <v>5.1434900315932217E-3</v>
      </c>
      <c r="N119" s="25">
        <f t="shared" si="15"/>
        <v>0.8138140039586802</v>
      </c>
      <c r="O119" s="25">
        <f t="shared" si="16"/>
        <v>0.18104250600972646</v>
      </c>
      <c r="P119" s="2" t="str">
        <f t="shared" si="17"/>
        <v>Over</v>
      </c>
    </row>
    <row r="120" spans="1:16">
      <c r="A120" s="2">
        <f>IF(Participant_Data!A120="","",Participant_Data!A120)</f>
        <v>119</v>
      </c>
      <c r="B120" s="2" t="str">
        <f>IF(Participant_Data!B120="","",Participant_Data!B120)</f>
        <v/>
      </c>
      <c r="C120" s="3" t="str">
        <f>IF(Participant_Data!C120="","",Participant_Data!C120)</f>
        <v/>
      </c>
      <c r="D120" s="2">
        <f>IF(Participant_Data!F120="","",Participant_Data!F120)</f>
        <v>1</v>
      </c>
      <c r="E120" s="2">
        <f>IF(Participant_Data!AO120="","",Participant_Data!AO120)</f>
        <v>6</v>
      </c>
      <c r="F120" s="2">
        <f>IF(Participant_Data!AP120="","",Participant_Data!AP120)</f>
        <v>4</v>
      </c>
      <c r="G120" s="2">
        <f>IF(Participant_Data!AS120="","",Participant_Data!AS120)</f>
        <v>77</v>
      </c>
      <c r="H120" s="4">
        <f t="shared" si="9"/>
        <v>-0.48200000000000065</v>
      </c>
      <c r="I120" s="4">
        <f t="shared" si="10"/>
        <v>0.6150000000000011</v>
      </c>
      <c r="J120" s="4">
        <f t="shared" si="11"/>
        <v>0.61754706176467966</v>
      </c>
      <c r="K120" s="4">
        <f t="shared" si="12"/>
        <v>1.8496565995583292</v>
      </c>
      <c r="L120" s="4">
        <f t="shared" si="13"/>
        <v>3.4672036613230088</v>
      </c>
      <c r="M120" s="25">
        <f t="shared" si="14"/>
        <v>0.28841686202489242</v>
      </c>
      <c r="N120" s="25">
        <f t="shared" si="15"/>
        <v>0.17811098570686132</v>
      </c>
      <c r="O120" s="25">
        <f t="shared" si="16"/>
        <v>0.53347215226824629</v>
      </c>
      <c r="P120" s="2" t="str">
        <f t="shared" si="17"/>
        <v>Normal</v>
      </c>
    </row>
    <row r="121" spans="1:16">
      <c r="A121" s="2">
        <f>IF(Participant_Data!A121="","",Participant_Data!A121)</f>
        <v>120</v>
      </c>
      <c r="B121" s="2" t="str">
        <f>IF(Participant_Data!B121="","",Participant_Data!B121)</f>
        <v/>
      </c>
      <c r="C121" s="3" t="str">
        <f>IF(Participant_Data!C121="","",Participant_Data!C121)</f>
        <v/>
      </c>
      <c r="D121" s="2">
        <f>IF(Participant_Data!F121="","",Participant_Data!F121)</f>
        <v>1</v>
      </c>
      <c r="E121" s="2">
        <f>IF(Participant_Data!AO121="","",Participant_Data!AO121)</f>
        <v>2</v>
      </c>
      <c r="F121" s="2">
        <f>IF(Participant_Data!AP121="","",Participant_Data!AP121)</f>
        <v>4</v>
      </c>
      <c r="G121" s="2">
        <f>IF(Participant_Data!AS121="","",Participant_Data!AS121)</f>
        <v>78.5</v>
      </c>
      <c r="H121" s="4">
        <f t="shared" si="9"/>
        <v>-3.4499999999999087E-2</v>
      </c>
      <c r="I121" s="4">
        <f t="shared" si="10"/>
        <v>0.7425000000000006</v>
      </c>
      <c r="J121" s="4">
        <f t="shared" si="11"/>
        <v>0.96608833968649244</v>
      </c>
      <c r="K121" s="4">
        <f t="shared" si="12"/>
        <v>2.1011819085406631</v>
      </c>
      <c r="L121" s="4">
        <f t="shared" si="13"/>
        <v>4.067270248227155</v>
      </c>
      <c r="M121" s="25">
        <f t="shared" si="14"/>
        <v>0.24586514762226111</v>
      </c>
      <c r="N121" s="25">
        <f t="shared" si="15"/>
        <v>0.2375274522531646</v>
      </c>
      <c r="O121" s="25">
        <f t="shared" si="16"/>
        <v>0.5166074001245744</v>
      </c>
      <c r="P121" s="2" t="str">
        <f t="shared" si="17"/>
        <v>Normal</v>
      </c>
    </row>
    <row r="122" spans="1:16">
      <c r="A122" s="2">
        <f>IF(Participant_Data!A122="","",Participant_Data!A122)</f>
        <v>121</v>
      </c>
      <c r="B122" s="2" t="str">
        <f>IF(Participant_Data!B122="","",Participant_Data!B122)</f>
        <v/>
      </c>
      <c r="C122" s="3" t="str">
        <f>IF(Participant_Data!C122="","",Participant_Data!C122)</f>
        <v/>
      </c>
      <c r="D122" s="2">
        <f>IF(Participant_Data!F122="","",Participant_Data!F122)</f>
        <v>1</v>
      </c>
      <c r="E122" s="2">
        <f>IF(Participant_Data!AO122="","",Participant_Data!AO122)</f>
        <v>12</v>
      </c>
      <c r="F122" s="2">
        <f>IF(Participant_Data!AP122="","",Participant_Data!AP122)</f>
        <v>4</v>
      </c>
      <c r="G122" s="2">
        <f>IF(Participant_Data!AS122="","",Participant_Data!AS122)</f>
        <v>79</v>
      </c>
      <c r="H122" s="4">
        <f t="shared" si="9"/>
        <v>0.33000000000000052</v>
      </c>
      <c r="I122" s="4">
        <f t="shared" si="10"/>
        <v>1.2270000000000012</v>
      </c>
      <c r="J122" s="4">
        <f t="shared" si="11"/>
        <v>1.3909681284637809</v>
      </c>
      <c r="K122" s="4">
        <f t="shared" si="12"/>
        <v>3.4109812278297289</v>
      </c>
      <c r="L122" s="4">
        <f t="shared" si="13"/>
        <v>5.8019493562935098</v>
      </c>
      <c r="M122" s="25">
        <f t="shared" si="14"/>
        <v>0.17235586500169581</v>
      </c>
      <c r="N122" s="25">
        <f t="shared" si="15"/>
        <v>0.23974151497116489</v>
      </c>
      <c r="O122" s="25">
        <f t="shared" si="16"/>
        <v>0.58790262002713933</v>
      </c>
      <c r="P122" s="2" t="str">
        <f t="shared" si="17"/>
        <v>Normal</v>
      </c>
    </row>
    <row r="123" spans="1:16">
      <c r="A123" s="2">
        <f>IF(Participant_Data!A123="","",Participant_Data!A123)</f>
        <v>122</v>
      </c>
      <c r="B123" s="2" t="str">
        <f>IF(Participant_Data!B123="","",Participant_Data!B123)</f>
        <v/>
      </c>
      <c r="C123" s="3" t="str">
        <f>IF(Participant_Data!C123="","",Participant_Data!C123)</f>
        <v/>
      </c>
      <c r="D123" s="2">
        <f>IF(Participant_Data!F123="","",Participant_Data!F123)</f>
        <v>1</v>
      </c>
      <c r="E123" s="2">
        <f>IF(Participant_Data!AO123="","",Participant_Data!AO123)</f>
        <v>6</v>
      </c>
      <c r="F123" s="2">
        <f>IF(Participant_Data!AP123="","",Participant_Data!AP123)</f>
        <v>4</v>
      </c>
      <c r="G123" s="2">
        <f>IF(Participant_Data!AS123="","",Participant_Data!AS123)</f>
        <v>82.5</v>
      </c>
      <c r="H123" s="4">
        <f t="shared" si="9"/>
        <v>1.4374999999999987</v>
      </c>
      <c r="I123" s="4">
        <f t="shared" si="10"/>
        <v>1.6544999999999996</v>
      </c>
      <c r="J123" s="4">
        <f t="shared" si="11"/>
        <v>4.2101572561439546</v>
      </c>
      <c r="K123" s="4">
        <f t="shared" si="12"/>
        <v>5.2304640362429584</v>
      </c>
      <c r="L123" s="4">
        <f t="shared" si="13"/>
        <v>10.440621292386913</v>
      </c>
      <c r="M123" s="25">
        <f t="shared" si="14"/>
        <v>9.5779740687384138E-2</v>
      </c>
      <c r="N123" s="25">
        <f t="shared" si="15"/>
        <v>0.40324777024657671</v>
      </c>
      <c r="O123" s="25">
        <f t="shared" si="16"/>
        <v>0.50097248906603919</v>
      </c>
      <c r="P123" s="2" t="str">
        <f t="shared" si="17"/>
        <v>Normal</v>
      </c>
    </row>
    <row r="124" spans="1:16">
      <c r="A124" s="2">
        <f>IF(Participant_Data!A124="","",Participant_Data!A124)</f>
        <v>123</v>
      </c>
      <c r="B124" s="2" t="str">
        <f>IF(Participant_Data!B124="","",Participant_Data!B124)</f>
        <v/>
      </c>
      <c r="C124" s="3" t="str">
        <f>IF(Participant_Data!C124="","",Participant_Data!C124)</f>
        <v/>
      </c>
      <c r="D124" s="2">
        <f>IF(Participant_Data!F124="","",Participant_Data!F124)</f>
        <v>1</v>
      </c>
      <c r="E124" s="2">
        <f>IF(Participant_Data!AO124="","",Participant_Data!AO124)</f>
        <v>4</v>
      </c>
      <c r="F124" s="2">
        <f>IF(Participant_Data!AP124="","",Participant_Data!AP124)</f>
        <v>4</v>
      </c>
      <c r="G124" s="2">
        <f>IF(Participant_Data!AS124="","",Participant_Data!AS124)</f>
        <v>83</v>
      </c>
      <c r="H124" s="4">
        <f t="shared" si="9"/>
        <v>1.5740000000000003</v>
      </c>
      <c r="I124" s="4">
        <f t="shared" si="10"/>
        <v>1.6710000000000003</v>
      </c>
      <c r="J124" s="4">
        <f t="shared" si="11"/>
        <v>4.8259132910580567</v>
      </c>
      <c r="K124" s="4">
        <f t="shared" si="12"/>
        <v>5.3174826219478311</v>
      </c>
      <c r="L124" s="4">
        <f t="shared" si="13"/>
        <v>11.143395913005888</v>
      </c>
      <c r="M124" s="25">
        <f t="shared" si="14"/>
        <v>8.973925074607296E-2</v>
      </c>
      <c r="N124" s="25">
        <f t="shared" si="15"/>
        <v>0.43307384290506512</v>
      </c>
      <c r="O124" s="25">
        <f t="shared" si="16"/>
        <v>0.47718690634886191</v>
      </c>
      <c r="P124" s="2" t="str">
        <f t="shared" si="17"/>
        <v>Normal</v>
      </c>
    </row>
    <row r="125" spans="1:16">
      <c r="A125" s="2">
        <f>IF(Participant_Data!A125="","",Participant_Data!A125)</f>
        <v>124</v>
      </c>
      <c r="B125" s="2" t="str">
        <f>IF(Participant_Data!B125="","",Participant_Data!B125)</f>
        <v/>
      </c>
      <c r="C125" s="3" t="str">
        <f>IF(Participant_Data!C125="","",Participant_Data!C125)</f>
        <v/>
      </c>
      <c r="D125" s="2">
        <f>IF(Participant_Data!F125="","",Participant_Data!F125)</f>
        <v>1</v>
      </c>
      <c r="E125" s="2">
        <f>IF(Participant_Data!AO125="","",Participant_Data!AO125)</f>
        <v>6</v>
      </c>
      <c r="F125" s="2">
        <f>IF(Participant_Data!AP125="","",Participant_Data!AP125)</f>
        <v>4</v>
      </c>
      <c r="G125" s="2">
        <f>IF(Participant_Data!AS125="","",Participant_Data!AS125)</f>
        <v>82</v>
      </c>
      <c r="H125" s="4">
        <f t="shared" si="9"/>
        <v>1.2630000000000003</v>
      </c>
      <c r="I125" s="4">
        <f t="shared" si="10"/>
        <v>1.5599999999999996</v>
      </c>
      <c r="J125" s="4">
        <f t="shared" si="11"/>
        <v>3.5360136321004747</v>
      </c>
      <c r="K125" s="4">
        <f t="shared" si="12"/>
        <v>4.7588212451378524</v>
      </c>
      <c r="L125" s="4">
        <f t="shared" si="13"/>
        <v>9.2948348772383262</v>
      </c>
      <c r="M125" s="25">
        <f t="shared" si="14"/>
        <v>0.10758663421217432</v>
      </c>
      <c r="N125" s="25">
        <f t="shared" si="15"/>
        <v>0.38042780520605574</v>
      </c>
      <c r="O125" s="25">
        <f t="shared" si="16"/>
        <v>0.51198556058177003</v>
      </c>
      <c r="P125" s="2" t="str">
        <f t="shared" si="17"/>
        <v>Normal</v>
      </c>
    </row>
    <row r="126" spans="1:16">
      <c r="A126" s="2">
        <f>IF(Participant_Data!A126="","",Participant_Data!A126)</f>
        <v>125</v>
      </c>
      <c r="B126" s="2" t="str">
        <f>IF(Participant_Data!B126="","",Participant_Data!B126)</f>
        <v/>
      </c>
      <c r="C126" s="3" t="str">
        <f>IF(Participant_Data!C126="","",Participant_Data!C126)</f>
        <v/>
      </c>
      <c r="D126" s="2">
        <f>IF(Participant_Data!F126="","",Participant_Data!F126)</f>
        <v>1</v>
      </c>
      <c r="E126" s="2">
        <f>IF(Participant_Data!AO126="","",Participant_Data!AO126)</f>
        <v>2</v>
      </c>
      <c r="F126" s="2">
        <f>IF(Participant_Data!AP126="","",Participant_Data!AP126)</f>
        <v>6</v>
      </c>
      <c r="G126" s="2">
        <f>IF(Participant_Data!AS126="","",Participant_Data!AS126)</f>
        <v>78</v>
      </c>
      <c r="H126" s="4">
        <f t="shared" si="9"/>
        <v>-0.9630000000000023</v>
      </c>
      <c r="I126" s="4">
        <f t="shared" si="10"/>
        <v>-0.36599999999999877</v>
      </c>
      <c r="J126" s="4">
        <f t="shared" si="11"/>
        <v>0.38174592861344619</v>
      </c>
      <c r="K126" s="4">
        <f t="shared" si="12"/>
        <v>0.6935028012097566</v>
      </c>
      <c r="L126" s="4">
        <f t="shared" si="13"/>
        <v>2.075248729823203</v>
      </c>
      <c r="M126" s="25">
        <f t="shared" si="14"/>
        <v>0.48186994919167747</v>
      </c>
      <c r="N126" s="25">
        <f t="shared" si="15"/>
        <v>0.18395189122509104</v>
      </c>
      <c r="O126" s="25">
        <f t="shared" si="16"/>
        <v>0.33417815958323138</v>
      </c>
      <c r="P126" s="2" t="str">
        <f t="shared" si="17"/>
        <v>Under</v>
      </c>
    </row>
    <row r="127" spans="1:16">
      <c r="A127" s="2">
        <f>IF(Participant_Data!A127="","",Participant_Data!A127)</f>
        <v>126</v>
      </c>
      <c r="B127" s="2" t="str">
        <f>IF(Participant_Data!B127="","",Participant_Data!B127)</f>
        <v/>
      </c>
      <c r="C127" s="3" t="str">
        <f>IF(Participant_Data!C127="","",Participant_Data!C127)</f>
        <v/>
      </c>
      <c r="D127" s="2">
        <f>IF(Participant_Data!F127="","",Participant_Data!F127)</f>
        <v>1</v>
      </c>
      <c r="E127" s="2">
        <f>IF(Participant_Data!AO127="","",Participant_Data!AO127)</f>
        <v>6</v>
      </c>
      <c r="F127" s="2">
        <f>IF(Participant_Data!AP127="","",Participant_Data!AP127)</f>
        <v>8</v>
      </c>
      <c r="G127" s="2">
        <f>IF(Participant_Data!AS127="","",Participant_Data!AS127)</f>
        <v>84.5</v>
      </c>
      <c r="H127" s="4">
        <f t="shared" si="9"/>
        <v>0.62749999999999639</v>
      </c>
      <c r="I127" s="4">
        <f t="shared" si="10"/>
        <v>4.4999999999992824E-3</v>
      </c>
      <c r="J127" s="4">
        <f t="shared" si="11"/>
        <v>1.8729224154626793</v>
      </c>
      <c r="K127" s="4">
        <f t="shared" si="12"/>
        <v>1.0045101402046006</v>
      </c>
      <c r="L127" s="4">
        <f t="shared" si="13"/>
        <v>3.87743255566728</v>
      </c>
      <c r="M127" s="25">
        <f t="shared" si="14"/>
        <v>0.25790261613664789</v>
      </c>
      <c r="N127" s="25">
        <f t="shared" si="15"/>
        <v>0.48303159076879471</v>
      </c>
      <c r="O127" s="25">
        <f t="shared" si="16"/>
        <v>0.25906579309455746</v>
      </c>
      <c r="P127" s="2" t="str">
        <f t="shared" si="17"/>
        <v>Over</v>
      </c>
    </row>
    <row r="128" spans="1:16">
      <c r="A128" s="2">
        <f>IF(Participant_Data!A128="","",Participant_Data!A128)</f>
        <v>127</v>
      </c>
      <c r="B128" s="2" t="str">
        <f>IF(Participant_Data!B128="","",Participant_Data!B128)</f>
        <v/>
      </c>
      <c r="C128" s="3" t="str">
        <f>IF(Participant_Data!C128="","",Participant_Data!C128)</f>
        <v/>
      </c>
      <c r="D128" s="2">
        <f>IF(Participant_Data!F128="","",Participant_Data!F128)</f>
        <v>1</v>
      </c>
      <c r="E128" s="2">
        <f>IF(Participant_Data!AO128="","",Participant_Data!AO128)</f>
        <v>10</v>
      </c>
      <c r="F128" s="2">
        <f>IF(Participant_Data!AP128="","",Participant_Data!AP128)</f>
        <v>6</v>
      </c>
      <c r="G128" s="2">
        <f>IF(Participant_Data!AS128="","",Participant_Data!AS128)</f>
        <v>72</v>
      </c>
      <c r="H128" s="4">
        <f t="shared" si="9"/>
        <v>-2.9049999999999989</v>
      </c>
      <c r="I128" s="4">
        <f t="shared" si="10"/>
        <v>-1.1879999999999979</v>
      </c>
      <c r="J128" s="4">
        <f t="shared" si="11"/>
        <v>5.4748790601490335E-2</v>
      </c>
      <c r="K128" s="4">
        <f t="shared" si="12"/>
        <v>0.30483031544319744</v>
      </c>
      <c r="L128" s="4">
        <f t="shared" si="13"/>
        <v>1.3595791060446878</v>
      </c>
      <c r="M128" s="25">
        <f t="shared" si="14"/>
        <v>0.7355217475423097</v>
      </c>
      <c r="N128" s="25">
        <f t="shared" si="15"/>
        <v>4.0268926139036154E-2</v>
      </c>
      <c r="O128" s="25">
        <f t="shared" si="16"/>
        <v>0.22420932631865412</v>
      </c>
      <c r="P128" s="2" t="str">
        <f t="shared" si="17"/>
        <v>Under</v>
      </c>
    </row>
    <row r="129" spans="1:16">
      <c r="A129" s="2">
        <f>IF(Participant_Data!A129="","",Participant_Data!A129)</f>
        <v>128</v>
      </c>
      <c r="B129" s="2" t="str">
        <f>IF(Participant_Data!B129="","",Participant_Data!B129)</f>
        <v/>
      </c>
      <c r="C129" s="3" t="str">
        <f>IF(Participant_Data!C129="","",Participant_Data!C129)</f>
        <v/>
      </c>
      <c r="D129" s="2">
        <f>IF(Participant_Data!F129="","",Participant_Data!F129)</f>
        <v>1</v>
      </c>
      <c r="E129" s="2">
        <f>IF(Participant_Data!AO129="","",Participant_Data!AO129)</f>
        <v>0</v>
      </c>
      <c r="F129" s="2">
        <f>IF(Participant_Data!AP129="","",Participant_Data!AP129)</f>
        <v>6</v>
      </c>
      <c r="G129" s="2">
        <f>IF(Participant_Data!AS129="","",Participant_Data!AS129)</f>
        <v>91</v>
      </c>
      <c r="H129" s="4">
        <f t="shared" si="9"/>
        <v>3.5359999999999965</v>
      </c>
      <c r="I129" s="4">
        <f t="shared" si="10"/>
        <v>2.0130000000000026</v>
      </c>
      <c r="J129" s="4">
        <f t="shared" si="11"/>
        <v>34.329326882167578</v>
      </c>
      <c r="K129" s="4">
        <f t="shared" si="12"/>
        <v>7.4857409178993661</v>
      </c>
      <c r="L129" s="4">
        <f t="shared" si="13"/>
        <v>42.815067800066942</v>
      </c>
      <c r="M129" s="25">
        <f t="shared" si="14"/>
        <v>2.3356263376007932E-2</v>
      </c>
      <c r="N129" s="25">
        <f t="shared" si="15"/>
        <v>0.80180480018097522</v>
      </c>
      <c r="O129" s="25">
        <f t="shared" si="16"/>
        <v>0.17483893644301696</v>
      </c>
      <c r="P129" s="2" t="str">
        <f t="shared" si="17"/>
        <v>Over</v>
      </c>
    </row>
    <row r="130" spans="1:16">
      <c r="A130" s="2">
        <f>IF(Participant_Data!A130="","",Participant_Data!A130)</f>
        <v>129</v>
      </c>
      <c r="B130" s="2" t="str">
        <f>IF(Participant_Data!B130="","",Participant_Data!B130)</f>
        <v/>
      </c>
      <c r="C130" s="3" t="str">
        <f>IF(Participant_Data!C130="","",Participant_Data!C130)</f>
        <v/>
      </c>
      <c r="D130" s="2">
        <f>IF(Participant_Data!F130="","",Participant_Data!F130)</f>
        <v>1</v>
      </c>
      <c r="E130" s="2">
        <f>IF(Participant_Data!AO130="","",Participant_Data!AO130)</f>
        <v>4</v>
      </c>
      <c r="F130" s="2">
        <f>IF(Participant_Data!AP130="","",Participant_Data!AP130)</f>
        <v>4</v>
      </c>
      <c r="G130" s="2">
        <f>IF(Participant_Data!AS130="","",Participant_Data!AS130)</f>
        <v>76</v>
      </c>
      <c r="H130" s="4">
        <f t="shared" ref="H130:H193" si="18">IF(OR(D130="",E130="",F130="",G130=""),"", -23.625 + 0.019*E130 - 0.377*F130 + 0.349*G130 - 2.336*D130)</f>
        <v>-0.8690000000000011</v>
      </c>
      <c r="I130" s="4">
        <f t="shared" ref="I130:I193" si="19">IF(OR(D130="",E130="",F130="",G130=""),"", -9.655 + 0.039*E130 - 0.507*F130 + 0.189*G130 - 2.489*D130)</f>
        <v>0.34800000000000164</v>
      </c>
      <c r="J130" s="4">
        <f t="shared" ref="J130:J193" si="20">IF(H130="","",EXP(H130))</f>
        <v>0.41937071034250351</v>
      </c>
      <c r="K130" s="4">
        <f t="shared" ref="K130:K193" si="21">IF(I130="","",EXP(I130))</f>
        <v>1.4162322497400259</v>
      </c>
      <c r="L130" s="4">
        <f t="shared" ref="L130:L193" si="22">IF(OR(J130="",K130=""),"",1+J130+K130)</f>
        <v>2.8356029600825297</v>
      </c>
      <c r="M130" s="25">
        <f t="shared" ref="M130:M193" si="23">IF(L130="","",1/L130)</f>
        <v>0.35265868109084469</v>
      </c>
      <c r="N130" s="25">
        <f t="shared" ref="N130:N193" si="24">IF(L130="","",J130/L130)</f>
        <v>0.14789472159751793</v>
      </c>
      <c r="O130" s="25">
        <f t="shared" ref="O130:O193" si="25">IF(L130="","",K130/L130)</f>
        <v>0.49944659731163732</v>
      </c>
      <c r="P130" s="2" t="str">
        <f t="shared" ref="P130:P193" si="26">IF(OR(M130="",N130="",O130=""),"",IF(M130=MAX(M130:O130),"Under",IF(N130=MAX(M130:O130),"Over","Normal")))</f>
        <v>Normal</v>
      </c>
    </row>
    <row r="131" spans="1:16">
      <c r="A131" s="2">
        <f>IF(Participant_Data!A131="","",Participant_Data!A131)</f>
        <v>130</v>
      </c>
      <c r="B131" s="2" t="str">
        <f>IF(Participant_Data!B131="","",Participant_Data!B131)</f>
        <v/>
      </c>
      <c r="C131" s="3" t="str">
        <f>IF(Participant_Data!C131="","",Participant_Data!C131)</f>
        <v/>
      </c>
      <c r="D131" s="2">
        <f>IF(Participant_Data!F131="","",Participant_Data!F131)</f>
        <v>1</v>
      </c>
      <c r="E131" s="2">
        <f>IF(Participant_Data!AO131="","",Participant_Data!AO131)</f>
        <v>4</v>
      </c>
      <c r="F131" s="2">
        <f>IF(Participant_Data!AP131="","",Participant_Data!AP131)</f>
        <v>4</v>
      </c>
      <c r="G131" s="2">
        <f>IF(Participant_Data!AS131="","",Participant_Data!AS131)</f>
        <v>69</v>
      </c>
      <c r="H131" s="4">
        <f t="shared" si="18"/>
        <v>-3.3119999999999989</v>
      </c>
      <c r="I131" s="4">
        <f t="shared" si="19"/>
        <v>-0.97499999999999876</v>
      </c>
      <c r="J131" s="4">
        <f t="shared" si="20"/>
        <v>3.6443214389916573E-2</v>
      </c>
      <c r="K131" s="4">
        <f t="shared" si="21"/>
        <v>0.37719235356315739</v>
      </c>
      <c r="L131" s="4">
        <f t="shared" si="22"/>
        <v>1.4136355679530739</v>
      </c>
      <c r="M131" s="25">
        <f t="shared" si="23"/>
        <v>0.70739589655910196</v>
      </c>
      <c r="N131" s="25">
        <f t="shared" si="24"/>
        <v>2.57797803168506E-2</v>
      </c>
      <c r="O131" s="25">
        <f t="shared" si="25"/>
        <v>0.26682432312404752</v>
      </c>
      <c r="P131" s="2" t="str">
        <f t="shared" si="26"/>
        <v>Under</v>
      </c>
    </row>
    <row r="132" spans="1:16">
      <c r="A132" s="2">
        <f>IF(Participant_Data!A132="","",Participant_Data!A132)</f>
        <v>131</v>
      </c>
      <c r="B132" s="2" t="str">
        <f>IF(Participant_Data!B132="","",Participant_Data!B132)</f>
        <v/>
      </c>
      <c r="C132" s="3" t="str">
        <f>IF(Participant_Data!C132="","",Participant_Data!C132)</f>
        <v/>
      </c>
      <c r="D132" s="2">
        <f>IF(Participant_Data!F132="","",Participant_Data!F132)</f>
        <v>1</v>
      </c>
      <c r="E132" s="2">
        <f>IF(Participant_Data!AO132="","",Participant_Data!AO132)</f>
        <v>2</v>
      </c>
      <c r="F132" s="2">
        <f>IF(Participant_Data!AP132="","",Participant_Data!AP132)</f>
        <v>4</v>
      </c>
      <c r="G132" s="2">
        <f>IF(Participant_Data!AS132="","",Participant_Data!AS132)</f>
        <v>81</v>
      </c>
      <c r="H132" s="4">
        <f t="shared" si="18"/>
        <v>0.83799999999999963</v>
      </c>
      <c r="I132" s="4">
        <f t="shared" si="19"/>
        <v>1.214999999999999</v>
      </c>
      <c r="J132" s="4">
        <f t="shared" si="20"/>
        <v>2.3117388724745367</v>
      </c>
      <c r="K132" s="4">
        <f t="shared" si="21"/>
        <v>3.3702940643216035</v>
      </c>
      <c r="L132" s="4">
        <f t="shared" si="22"/>
        <v>6.6820329367961406</v>
      </c>
      <c r="M132" s="25">
        <f t="shared" si="23"/>
        <v>0.14965505400209442</v>
      </c>
      <c r="N132" s="25">
        <f t="shared" si="24"/>
        <v>0.34596340579891766</v>
      </c>
      <c r="O132" s="25">
        <f t="shared" si="25"/>
        <v>0.50438154019898784</v>
      </c>
      <c r="P132" s="2" t="str">
        <f t="shared" si="26"/>
        <v>Normal</v>
      </c>
    </row>
    <row r="133" spans="1:16">
      <c r="A133" s="2">
        <f>IF(Participant_Data!A133="","",Participant_Data!A133)</f>
        <v>132</v>
      </c>
      <c r="B133" s="2" t="str">
        <f>IF(Participant_Data!B133="","",Participant_Data!B133)</f>
        <v/>
      </c>
      <c r="C133" s="3" t="str">
        <f>IF(Participant_Data!C133="","",Participant_Data!C133)</f>
        <v/>
      </c>
      <c r="D133" s="2">
        <f>IF(Participant_Data!F133="","",Participant_Data!F133)</f>
        <v>1</v>
      </c>
      <c r="E133" s="2">
        <f>IF(Participant_Data!AO133="","",Participant_Data!AO133)</f>
        <v>6</v>
      </c>
      <c r="F133" s="2">
        <f>IF(Participant_Data!AP133="","",Participant_Data!AP133)</f>
        <v>4</v>
      </c>
      <c r="G133" s="2">
        <f>IF(Participant_Data!AS133="","",Participant_Data!AS133)</f>
        <v>76</v>
      </c>
      <c r="H133" s="4">
        <f t="shared" si="18"/>
        <v>-0.83100000000000085</v>
      </c>
      <c r="I133" s="4">
        <f t="shared" si="19"/>
        <v>0.42600000000000104</v>
      </c>
      <c r="J133" s="4">
        <f t="shared" si="20"/>
        <v>0.43561345498720011</v>
      </c>
      <c r="K133" s="4">
        <f t="shared" si="21"/>
        <v>1.531120775133249</v>
      </c>
      <c r="L133" s="4">
        <f t="shared" si="22"/>
        <v>2.9667342301204491</v>
      </c>
      <c r="M133" s="25">
        <f t="shared" si="23"/>
        <v>0.33707097516429713</v>
      </c>
      <c r="N133" s="25">
        <f t="shared" si="24"/>
        <v>0.14683265206722418</v>
      </c>
      <c r="O133" s="25">
        <f t="shared" si="25"/>
        <v>0.51609637276847864</v>
      </c>
      <c r="P133" s="2" t="str">
        <f t="shared" si="26"/>
        <v>Normal</v>
      </c>
    </row>
    <row r="134" spans="1:16">
      <c r="A134" s="2">
        <f>IF(Participant_Data!A134="","",Participant_Data!A134)</f>
        <v>133</v>
      </c>
      <c r="B134" s="2" t="str">
        <f>IF(Participant_Data!B134="","",Participant_Data!B134)</f>
        <v/>
      </c>
      <c r="C134" s="3" t="str">
        <f>IF(Participant_Data!C134="","",Participant_Data!C134)</f>
        <v/>
      </c>
      <c r="D134" s="2">
        <f>IF(Participant_Data!F134="","",Participant_Data!F134)</f>
        <v>1</v>
      </c>
      <c r="E134" s="2">
        <f>IF(Participant_Data!AO134="","",Participant_Data!AO134)</f>
        <v>6</v>
      </c>
      <c r="F134" s="2">
        <f>IF(Participant_Data!AP134="","",Participant_Data!AP134)</f>
        <v>4</v>
      </c>
      <c r="G134" s="2">
        <f>IF(Participant_Data!AS134="","",Participant_Data!AS134)</f>
        <v>77.5</v>
      </c>
      <c r="H134" s="4">
        <f t="shared" si="18"/>
        <v>-0.30749999999999877</v>
      </c>
      <c r="I134" s="4">
        <f t="shared" si="19"/>
        <v>0.70950000000000113</v>
      </c>
      <c r="J134" s="4">
        <f t="shared" si="20"/>
        <v>0.73528286754780159</v>
      </c>
      <c r="K134" s="4">
        <f t="shared" si="21"/>
        <v>2.0329745172239675</v>
      </c>
      <c r="L134" s="4">
        <f t="shared" si="22"/>
        <v>3.7682573847717693</v>
      </c>
      <c r="M134" s="25">
        <f t="shared" si="23"/>
        <v>0.26537465408843525</v>
      </c>
      <c r="N134" s="25">
        <f t="shared" si="24"/>
        <v>0.19512543663265061</v>
      </c>
      <c r="O134" s="25">
        <f t="shared" si="25"/>
        <v>0.53949990927891411</v>
      </c>
      <c r="P134" s="2" t="str">
        <f t="shared" si="26"/>
        <v>Normal</v>
      </c>
    </row>
    <row r="135" spans="1:16">
      <c r="A135" s="2">
        <f>IF(Participant_Data!A135="","",Participant_Data!A135)</f>
        <v>134</v>
      </c>
      <c r="B135" s="2" t="str">
        <f>IF(Participant_Data!B135="","",Participant_Data!B135)</f>
        <v/>
      </c>
      <c r="C135" s="3" t="str">
        <f>IF(Participant_Data!C135="","",Participant_Data!C135)</f>
        <v/>
      </c>
      <c r="D135" s="2">
        <f>IF(Participant_Data!F135="","",Participant_Data!F135)</f>
        <v>1</v>
      </c>
      <c r="E135" s="2">
        <f>IF(Participant_Data!AO135="","",Participant_Data!AO135)</f>
        <v>4</v>
      </c>
      <c r="F135" s="2">
        <f>IF(Participant_Data!AP135="","",Participant_Data!AP135)</f>
        <v>4</v>
      </c>
      <c r="G135" s="2">
        <f>IF(Participant_Data!AS135="","",Participant_Data!AS135)</f>
        <v>65.5</v>
      </c>
      <c r="H135" s="4">
        <f t="shared" si="18"/>
        <v>-4.5335000000000019</v>
      </c>
      <c r="I135" s="4">
        <f t="shared" si="19"/>
        <v>-1.636499999999999</v>
      </c>
      <c r="J135" s="4">
        <f t="shared" si="20"/>
        <v>1.0743009661159856E-2</v>
      </c>
      <c r="K135" s="4">
        <f t="shared" si="21"/>
        <v>0.19466016195403205</v>
      </c>
      <c r="L135" s="4">
        <f t="shared" si="22"/>
        <v>1.2054031716151918</v>
      </c>
      <c r="M135" s="25">
        <f t="shared" si="23"/>
        <v>0.82959794992080549</v>
      </c>
      <c r="N135" s="25">
        <f t="shared" si="24"/>
        <v>8.9123787908776224E-3</v>
      </c>
      <c r="O135" s="25">
        <f t="shared" si="25"/>
        <v>0.16148967128831695</v>
      </c>
      <c r="P135" s="2" t="str">
        <f t="shared" si="26"/>
        <v>Under</v>
      </c>
    </row>
    <row r="136" spans="1:16">
      <c r="A136" s="2">
        <f>IF(Participant_Data!A136="","",Participant_Data!A136)</f>
        <v>135</v>
      </c>
      <c r="B136" s="2" t="str">
        <f>IF(Participant_Data!B136="","",Participant_Data!B136)</f>
        <v/>
      </c>
      <c r="C136" s="3" t="str">
        <f>IF(Participant_Data!C136="","",Participant_Data!C136)</f>
        <v/>
      </c>
      <c r="D136" s="2">
        <f>IF(Participant_Data!F136="","",Participant_Data!F136)</f>
        <v>1</v>
      </c>
      <c r="E136" s="2">
        <f>IF(Participant_Data!AO136="","",Participant_Data!AO136)</f>
        <v>2</v>
      </c>
      <c r="F136" s="2">
        <f>IF(Participant_Data!AP136="","",Participant_Data!AP136)</f>
        <v>6</v>
      </c>
      <c r="G136" s="2">
        <f>IF(Participant_Data!AS136="","",Participant_Data!AS136)</f>
        <v>89</v>
      </c>
      <c r="H136" s="4">
        <f t="shared" si="18"/>
        <v>2.8759999999999963</v>
      </c>
      <c r="I136" s="4">
        <f t="shared" si="19"/>
        <v>1.7130000000000019</v>
      </c>
      <c r="J136" s="4">
        <f t="shared" si="20"/>
        <v>17.743158411250075</v>
      </c>
      <c r="K136" s="4">
        <f t="shared" si="21"/>
        <v>5.545573267282534</v>
      </c>
      <c r="L136" s="4">
        <f t="shared" si="22"/>
        <v>24.28873167853261</v>
      </c>
      <c r="M136" s="25">
        <f t="shared" si="23"/>
        <v>4.1171355229052228E-2</v>
      </c>
      <c r="N136" s="25">
        <f t="shared" si="24"/>
        <v>0.73050987783492272</v>
      </c>
      <c r="O136" s="25">
        <f t="shared" si="25"/>
        <v>0.22831876693602499</v>
      </c>
      <c r="P136" s="2" t="str">
        <f t="shared" si="26"/>
        <v>Over</v>
      </c>
    </row>
    <row r="137" spans="1:16">
      <c r="A137" s="2">
        <f>IF(Participant_Data!A137="","",Participant_Data!A137)</f>
        <v>136</v>
      </c>
      <c r="B137" s="2" t="str">
        <f>IF(Participant_Data!B137="","",Participant_Data!B137)</f>
        <v/>
      </c>
      <c r="C137" s="3" t="str">
        <f>IF(Participant_Data!C137="","",Participant_Data!C137)</f>
        <v/>
      </c>
      <c r="D137" s="2">
        <f>IF(Participant_Data!F137="","",Participant_Data!F137)</f>
        <v>1</v>
      </c>
      <c r="E137" s="2">
        <f>IF(Participant_Data!AO137="","",Participant_Data!AO137)</f>
        <v>0</v>
      </c>
      <c r="F137" s="2">
        <f>IF(Participant_Data!AP137="","",Participant_Data!AP137)</f>
        <v>4</v>
      </c>
      <c r="G137" s="2">
        <f>IF(Participant_Data!AS137="","",Participant_Data!AS137)</f>
        <v>62</v>
      </c>
      <c r="H137" s="4">
        <f t="shared" si="18"/>
        <v>-5.8310000000000013</v>
      </c>
      <c r="I137" s="4">
        <f t="shared" si="19"/>
        <v>-2.4539999999999997</v>
      </c>
      <c r="J137" s="4">
        <f t="shared" si="20"/>
        <v>2.935140371792256E-3</v>
      </c>
      <c r="K137" s="4">
        <f t="shared" si="21"/>
        <v>8.5949101582519852E-2</v>
      </c>
      <c r="L137" s="4">
        <f t="shared" si="22"/>
        <v>1.0888842419543121</v>
      </c>
      <c r="M137" s="25">
        <f t="shared" si="23"/>
        <v>0.91837126617354281</v>
      </c>
      <c r="N137" s="25">
        <f t="shared" si="24"/>
        <v>2.6955485796399375E-3</v>
      </c>
      <c r="O137" s="25">
        <f t="shared" si="25"/>
        <v>7.8933185246817208E-2</v>
      </c>
      <c r="P137" s="2" t="str">
        <f t="shared" si="26"/>
        <v>Under</v>
      </c>
    </row>
    <row r="138" spans="1:16">
      <c r="A138" s="2">
        <f>IF(Participant_Data!A138="","",Participant_Data!A138)</f>
        <v>137</v>
      </c>
      <c r="B138" s="2" t="str">
        <f>IF(Participant_Data!B138="","",Participant_Data!B138)</f>
        <v/>
      </c>
      <c r="C138" s="3" t="str">
        <f>IF(Participant_Data!C138="","",Participant_Data!C138)</f>
        <v/>
      </c>
      <c r="D138" s="2">
        <f>IF(Participant_Data!F138="","",Participant_Data!F138)</f>
        <v>1</v>
      </c>
      <c r="E138" s="2">
        <f>IF(Participant_Data!AO138="","",Participant_Data!AO138)</f>
        <v>0</v>
      </c>
      <c r="F138" s="2">
        <f>IF(Participant_Data!AP138="","",Participant_Data!AP138)</f>
        <v>4</v>
      </c>
      <c r="G138" s="2">
        <f>IF(Participant_Data!AS138="","",Participant_Data!AS138)</f>
        <v>82.5</v>
      </c>
      <c r="H138" s="4">
        <f t="shared" si="18"/>
        <v>1.3234999999999979</v>
      </c>
      <c r="I138" s="4">
        <f t="shared" si="19"/>
        <v>1.4204999999999997</v>
      </c>
      <c r="J138" s="4">
        <f t="shared" si="20"/>
        <v>3.756546307310491</v>
      </c>
      <c r="K138" s="4">
        <f t="shared" si="21"/>
        <v>4.1391895176977727</v>
      </c>
      <c r="L138" s="4">
        <f t="shared" si="22"/>
        <v>8.8957358250082628</v>
      </c>
      <c r="M138" s="25">
        <f t="shared" si="23"/>
        <v>0.11241341016318582</v>
      </c>
      <c r="N138" s="25">
        <f t="shared" si="24"/>
        <v>0.4222861808406953</v>
      </c>
      <c r="O138" s="25">
        <f t="shared" si="25"/>
        <v>0.46530040899611896</v>
      </c>
      <c r="P138" s="2" t="str">
        <f t="shared" si="26"/>
        <v>Normal</v>
      </c>
    </row>
    <row r="139" spans="1:16">
      <c r="A139" s="2">
        <f>IF(Participant_Data!A139="","",Participant_Data!A139)</f>
        <v>138</v>
      </c>
      <c r="B139" s="2" t="str">
        <f>IF(Participant_Data!B139="","",Participant_Data!B139)</f>
        <v/>
      </c>
      <c r="C139" s="3" t="str">
        <f>IF(Participant_Data!C139="","",Participant_Data!C139)</f>
        <v/>
      </c>
      <c r="D139" s="2">
        <f>IF(Participant_Data!F139="","",Participant_Data!F139)</f>
        <v>1</v>
      </c>
      <c r="E139" s="2">
        <f>IF(Participant_Data!AO139="","",Participant_Data!AO139)</f>
        <v>4</v>
      </c>
      <c r="F139" s="2">
        <f>IF(Participant_Data!AP139="","",Participant_Data!AP139)</f>
        <v>6</v>
      </c>
      <c r="G139" s="2">
        <f>IF(Participant_Data!AS139="","",Participant_Data!AS139)</f>
        <v>67</v>
      </c>
      <c r="H139" s="4">
        <f t="shared" si="18"/>
        <v>-4.7640000000000011</v>
      </c>
      <c r="I139" s="4">
        <f t="shared" si="19"/>
        <v>-2.3669999999999982</v>
      </c>
      <c r="J139" s="4">
        <f t="shared" si="20"/>
        <v>8.5314153935080305E-3</v>
      </c>
      <c r="K139" s="4">
        <f t="shared" si="21"/>
        <v>9.3761589541140028E-2</v>
      </c>
      <c r="L139" s="4">
        <f t="shared" si="22"/>
        <v>1.1022930049346482</v>
      </c>
      <c r="M139" s="25">
        <f t="shared" si="23"/>
        <v>0.90719980578964765</v>
      </c>
      <c r="N139" s="25">
        <f t="shared" si="24"/>
        <v>7.7396983881012956E-3</v>
      </c>
      <c r="O139" s="25">
        <f t="shared" si="25"/>
        <v>8.5060495822250892E-2</v>
      </c>
      <c r="P139" s="2" t="str">
        <f t="shared" si="26"/>
        <v>Under</v>
      </c>
    </row>
    <row r="140" spans="1:16">
      <c r="A140" s="2">
        <f>IF(Participant_Data!A140="","",Participant_Data!A140)</f>
        <v>139</v>
      </c>
      <c r="B140" s="2" t="str">
        <f>IF(Participant_Data!B140="","",Participant_Data!B140)</f>
        <v/>
      </c>
      <c r="C140" s="3" t="str">
        <f>IF(Participant_Data!C140="","",Participant_Data!C140)</f>
        <v/>
      </c>
      <c r="D140" s="2">
        <f>IF(Participant_Data!F140="","",Participant_Data!F140)</f>
        <v>1</v>
      </c>
      <c r="E140" s="2">
        <f>IF(Participant_Data!AO140="","",Participant_Data!AO140)</f>
        <v>4</v>
      </c>
      <c r="F140" s="2">
        <f>IF(Participant_Data!AP140="","",Participant_Data!AP140)</f>
        <v>4</v>
      </c>
      <c r="G140" s="2">
        <f>IF(Participant_Data!AS140="","",Participant_Data!AS140)</f>
        <v>78</v>
      </c>
      <c r="H140" s="4">
        <f t="shared" si="18"/>
        <v>-0.17100000000000071</v>
      </c>
      <c r="I140" s="4">
        <f t="shared" si="19"/>
        <v>0.72600000000000176</v>
      </c>
      <c r="J140" s="4">
        <f t="shared" si="20"/>
        <v>0.84282157347161935</v>
      </c>
      <c r="K140" s="4">
        <f t="shared" si="21"/>
        <v>2.0667968637762146</v>
      </c>
      <c r="L140" s="4">
        <f t="shared" si="22"/>
        <v>3.909618437247834</v>
      </c>
      <c r="M140" s="25">
        <f t="shared" si="23"/>
        <v>0.25577943629300753</v>
      </c>
      <c r="N140" s="25">
        <f t="shared" si="24"/>
        <v>0.21557642695815643</v>
      </c>
      <c r="O140" s="25">
        <f t="shared" si="25"/>
        <v>0.52864413674883604</v>
      </c>
      <c r="P140" s="2" t="str">
        <f t="shared" si="26"/>
        <v>Normal</v>
      </c>
    </row>
    <row r="141" spans="1:16">
      <c r="A141" s="2">
        <f>IF(Participant_Data!A141="","",Participant_Data!A141)</f>
        <v>140</v>
      </c>
      <c r="B141" s="2" t="str">
        <f>IF(Participant_Data!B141="","",Participant_Data!B141)</f>
        <v/>
      </c>
      <c r="C141" s="3" t="str">
        <f>IF(Participant_Data!C141="","",Participant_Data!C141)</f>
        <v/>
      </c>
      <c r="D141" s="2">
        <f>IF(Participant_Data!F141="","",Participant_Data!F141)</f>
        <v>1</v>
      </c>
      <c r="E141" s="2">
        <f>IF(Participant_Data!AO141="","",Participant_Data!AO141)</f>
        <v>2</v>
      </c>
      <c r="F141" s="2">
        <f>IF(Participant_Data!AP141="","",Participant_Data!AP141)</f>
        <v>4</v>
      </c>
      <c r="G141" s="2">
        <f>IF(Participant_Data!AS141="","",Participant_Data!AS141)</f>
        <v>95.7</v>
      </c>
      <c r="H141" s="4">
        <f t="shared" si="18"/>
        <v>5.9682999999999975</v>
      </c>
      <c r="I141" s="4">
        <f t="shared" si="19"/>
        <v>3.9932999999999987</v>
      </c>
      <c r="J141" s="4">
        <f t="shared" si="20"/>
        <v>390.84067651486504</v>
      </c>
      <c r="K141" s="4">
        <f t="shared" si="21"/>
        <v>54.233565151127124</v>
      </c>
      <c r="L141" s="4">
        <f t="shared" si="22"/>
        <v>446.07424166599219</v>
      </c>
      <c r="M141" s="25">
        <f t="shared" si="23"/>
        <v>2.2417792972425693E-3</v>
      </c>
      <c r="N141" s="25">
        <f t="shared" si="24"/>
        <v>0.87617853713130456</v>
      </c>
      <c r="O141" s="25">
        <f t="shared" si="25"/>
        <v>0.12157968357145287</v>
      </c>
      <c r="P141" s="2" t="str">
        <f t="shared" si="26"/>
        <v>Over</v>
      </c>
    </row>
    <row r="142" spans="1:16">
      <c r="A142" s="2">
        <f>IF(Participant_Data!A142="","",Participant_Data!A142)</f>
        <v>141</v>
      </c>
      <c r="B142" s="2" t="str">
        <f>IF(Participant_Data!B142="","",Participant_Data!B142)</f>
        <v/>
      </c>
      <c r="C142" s="3" t="str">
        <f>IF(Participant_Data!C142="","",Participant_Data!C142)</f>
        <v/>
      </c>
      <c r="D142" s="2">
        <f>IF(Participant_Data!F142="","",Participant_Data!F142)</f>
        <v>1</v>
      </c>
      <c r="E142" s="2">
        <f>IF(Participant_Data!AO142="","",Participant_Data!AO142)</f>
        <v>2</v>
      </c>
      <c r="F142" s="2">
        <f>IF(Participant_Data!AP142="","",Participant_Data!AP142)</f>
        <v>4</v>
      </c>
      <c r="G142" s="2">
        <f>IF(Participant_Data!AS142="","",Participant_Data!AS142)</f>
        <v>104</v>
      </c>
      <c r="H142" s="4">
        <f t="shared" si="18"/>
        <v>8.8650000000000002</v>
      </c>
      <c r="I142" s="4">
        <f t="shared" si="19"/>
        <v>5.5619999999999985</v>
      </c>
      <c r="J142" s="4">
        <f t="shared" si="20"/>
        <v>7079.7933612661873</v>
      </c>
      <c r="K142" s="4">
        <f t="shared" si="21"/>
        <v>260.34300198787275</v>
      </c>
      <c r="L142" s="4">
        <f t="shared" si="22"/>
        <v>7341.1363632540597</v>
      </c>
      <c r="M142" s="25">
        <f t="shared" si="23"/>
        <v>1.3621869292681769E-4</v>
      </c>
      <c r="N142" s="25">
        <f t="shared" si="24"/>
        <v>0.96440019786364128</v>
      </c>
      <c r="O142" s="25">
        <f t="shared" si="25"/>
        <v>3.546358344343193E-2</v>
      </c>
      <c r="P142" s="2" t="str">
        <f t="shared" si="26"/>
        <v>Over</v>
      </c>
    </row>
    <row r="143" spans="1:16">
      <c r="A143" s="2">
        <f>IF(Participant_Data!A143="","",Participant_Data!A143)</f>
        <v>142</v>
      </c>
      <c r="B143" s="2" t="str">
        <f>IF(Participant_Data!B143="","",Participant_Data!B143)</f>
        <v/>
      </c>
      <c r="C143" s="3" t="str">
        <f>IF(Participant_Data!C143="","",Participant_Data!C143)</f>
        <v/>
      </c>
      <c r="D143" s="2">
        <f>IF(Participant_Data!F143="","",Participant_Data!F143)</f>
        <v>1</v>
      </c>
      <c r="E143" s="2">
        <f>IF(Participant_Data!AO143="","",Participant_Data!AO143)</f>
        <v>2</v>
      </c>
      <c r="F143" s="2">
        <f>IF(Participant_Data!AP143="","",Participant_Data!AP143)</f>
        <v>4</v>
      </c>
      <c r="G143" s="2">
        <f>IF(Participant_Data!AS143="","",Participant_Data!AS143)</f>
        <v>88</v>
      </c>
      <c r="H143" s="4">
        <f t="shared" si="18"/>
        <v>3.2809999999999975</v>
      </c>
      <c r="I143" s="4">
        <f t="shared" si="19"/>
        <v>2.5380000000000011</v>
      </c>
      <c r="J143" s="4">
        <f t="shared" si="20"/>
        <v>26.602361764890517</v>
      </c>
      <c r="K143" s="4">
        <f t="shared" si="21"/>
        <v>12.654336971336386</v>
      </c>
      <c r="L143" s="4">
        <f t="shared" si="22"/>
        <v>40.256698736226902</v>
      </c>
      <c r="M143" s="25">
        <f t="shared" si="23"/>
        <v>2.4840586322099546E-2</v>
      </c>
      <c r="N143" s="25">
        <f t="shared" si="24"/>
        <v>0.66081826379248332</v>
      </c>
      <c r="O143" s="25">
        <f t="shared" si="25"/>
        <v>0.31434114988541723</v>
      </c>
      <c r="P143" s="2" t="str">
        <f t="shared" si="26"/>
        <v>Over</v>
      </c>
    </row>
    <row r="144" spans="1:16">
      <c r="A144" s="2">
        <f>IF(Participant_Data!A144="","",Participant_Data!A144)</f>
        <v>143</v>
      </c>
      <c r="B144" s="2" t="str">
        <f>IF(Participant_Data!B144="","",Participant_Data!B144)</f>
        <v/>
      </c>
      <c r="C144" s="3" t="str">
        <f>IF(Participant_Data!C144="","",Participant_Data!C144)</f>
        <v/>
      </c>
      <c r="D144" s="2">
        <f>IF(Participant_Data!F144="","",Participant_Data!F144)</f>
        <v>1</v>
      </c>
      <c r="E144" s="2">
        <f>IF(Participant_Data!AO144="","",Participant_Data!AO144)</f>
        <v>2</v>
      </c>
      <c r="F144" s="2">
        <f>IF(Participant_Data!AP144="","",Participant_Data!AP144)</f>
        <v>6</v>
      </c>
      <c r="G144" s="2">
        <f>IF(Participant_Data!AS144="","",Participant_Data!AS144)</f>
        <v>82</v>
      </c>
      <c r="H144" s="4">
        <f t="shared" si="18"/>
        <v>0.4329999999999985</v>
      </c>
      <c r="I144" s="4">
        <f t="shared" si="19"/>
        <v>0.38999999999999968</v>
      </c>
      <c r="J144" s="4">
        <f t="shared" si="20"/>
        <v>1.54187622070063</v>
      </c>
      <c r="K144" s="4">
        <f t="shared" si="21"/>
        <v>1.476980793882642</v>
      </c>
      <c r="L144" s="4">
        <f t="shared" si="22"/>
        <v>4.018857014583272</v>
      </c>
      <c r="M144" s="25">
        <f t="shared" si="23"/>
        <v>0.24882696656568987</v>
      </c>
      <c r="N144" s="25">
        <f t="shared" si="24"/>
        <v>0.38366038281670789</v>
      </c>
      <c r="O144" s="25">
        <f t="shared" si="25"/>
        <v>0.36751265061760224</v>
      </c>
      <c r="P144" s="2" t="str">
        <f t="shared" si="26"/>
        <v>Over</v>
      </c>
    </row>
    <row r="145" spans="1:16">
      <c r="A145" s="2">
        <f>IF(Participant_Data!A145="","",Participant_Data!A145)</f>
        <v>144</v>
      </c>
      <c r="B145" s="2" t="str">
        <f>IF(Participant_Data!B145="","",Participant_Data!B145)</f>
        <v/>
      </c>
      <c r="C145" s="3" t="str">
        <f>IF(Participant_Data!C145="","",Participant_Data!C145)</f>
        <v/>
      </c>
      <c r="D145" s="2">
        <f>IF(Participant_Data!F145="","",Participant_Data!F145)</f>
        <v>1</v>
      </c>
      <c r="E145" s="2">
        <f>IF(Participant_Data!AO145="","",Participant_Data!AO145)</f>
        <v>8</v>
      </c>
      <c r="F145" s="2">
        <f>IF(Participant_Data!AP145="","",Participant_Data!AP145)</f>
        <v>4</v>
      </c>
      <c r="G145" s="2">
        <f>IF(Participant_Data!AS145="","",Participant_Data!AS145)</f>
        <v>100.5</v>
      </c>
      <c r="H145" s="4">
        <f t="shared" si="18"/>
        <v>7.7575000000000021</v>
      </c>
      <c r="I145" s="4">
        <f t="shared" si="19"/>
        <v>5.1344999999999983</v>
      </c>
      <c r="J145" s="4">
        <f t="shared" si="20"/>
        <v>2339.0496654868921</v>
      </c>
      <c r="K145" s="4">
        <f t="shared" si="21"/>
        <v>169.779408944247</v>
      </c>
      <c r="L145" s="4">
        <f t="shared" si="22"/>
        <v>2509.8290744311389</v>
      </c>
      <c r="M145" s="25">
        <f t="shared" si="23"/>
        <v>3.9843350696168553E-4</v>
      </c>
      <c r="N145" s="25">
        <f t="shared" si="24"/>
        <v>0.9319557611774999</v>
      </c>
      <c r="O145" s="25">
        <f t="shared" si="25"/>
        <v>6.7645805315538488E-2</v>
      </c>
      <c r="P145" s="2" t="str">
        <f t="shared" si="26"/>
        <v>Over</v>
      </c>
    </row>
    <row r="146" spans="1:16">
      <c r="A146" s="2">
        <f>IF(Participant_Data!A146="","",Participant_Data!A146)</f>
        <v>145</v>
      </c>
      <c r="B146" s="2" t="str">
        <f>IF(Participant_Data!B146="","",Participant_Data!B146)</f>
        <v/>
      </c>
      <c r="C146" s="3" t="str">
        <f>IF(Participant_Data!C146="","",Participant_Data!C146)</f>
        <v/>
      </c>
      <c r="D146" s="2">
        <f>IF(Participant_Data!F146="","",Participant_Data!F146)</f>
        <v>1</v>
      </c>
      <c r="E146" s="2">
        <f>IF(Participant_Data!AO146="","",Participant_Data!AO146)</f>
        <v>2</v>
      </c>
      <c r="F146" s="2">
        <f>IF(Participant_Data!AP146="","",Participant_Data!AP146)</f>
        <v>4</v>
      </c>
      <c r="G146" s="2">
        <f>IF(Participant_Data!AS146="","",Participant_Data!AS146)</f>
        <v>74</v>
      </c>
      <c r="H146" s="4">
        <f t="shared" si="18"/>
        <v>-1.6050000000000018</v>
      </c>
      <c r="I146" s="4">
        <f t="shared" si="19"/>
        <v>-0.10799999999999965</v>
      </c>
      <c r="J146" s="4">
        <f t="shared" si="20"/>
        <v>0.20088955491023172</v>
      </c>
      <c r="K146" s="4">
        <f t="shared" si="21"/>
        <v>0.89762759643043522</v>
      </c>
      <c r="L146" s="4">
        <f t="shared" si="22"/>
        <v>2.0985171513406669</v>
      </c>
      <c r="M146" s="25">
        <f t="shared" si="23"/>
        <v>0.47652696064987415</v>
      </c>
      <c r="N146" s="25">
        <f t="shared" si="24"/>
        <v>9.5729289027678729E-2</v>
      </c>
      <c r="O146" s="25">
        <f t="shared" si="25"/>
        <v>0.42774375032244716</v>
      </c>
      <c r="P146" s="2" t="str">
        <f t="shared" si="26"/>
        <v>Under</v>
      </c>
    </row>
    <row r="147" spans="1:16">
      <c r="A147" s="2">
        <f>IF(Participant_Data!A147="","",Participant_Data!A147)</f>
        <v>146</v>
      </c>
      <c r="B147" s="2" t="str">
        <f>IF(Participant_Data!B147="","",Participant_Data!B147)</f>
        <v/>
      </c>
      <c r="C147" s="3" t="str">
        <f>IF(Participant_Data!C147="","",Participant_Data!C147)</f>
        <v/>
      </c>
      <c r="D147" s="2">
        <f>IF(Participant_Data!F147="","",Participant_Data!F147)</f>
        <v>1</v>
      </c>
      <c r="E147" s="2">
        <f>IF(Participant_Data!AO147="","",Participant_Data!AO147)</f>
        <v>4</v>
      </c>
      <c r="F147" s="2">
        <f>IF(Participant_Data!AP147="","",Participant_Data!AP147)</f>
        <v>4</v>
      </c>
      <c r="G147" s="2">
        <f>IF(Participant_Data!AS147="","",Participant_Data!AS147)</f>
        <v>77.5</v>
      </c>
      <c r="H147" s="4">
        <f t="shared" si="18"/>
        <v>-0.34549999999999903</v>
      </c>
      <c r="I147" s="4">
        <f t="shared" si="19"/>
        <v>0.63150000000000173</v>
      </c>
      <c r="J147" s="4">
        <f t="shared" si="20"/>
        <v>0.70786633180385816</v>
      </c>
      <c r="K147" s="4">
        <f t="shared" si="21"/>
        <v>1.8804291085016966</v>
      </c>
      <c r="L147" s="4">
        <f t="shared" si="22"/>
        <v>3.5882954403055551</v>
      </c>
      <c r="M147" s="25">
        <f t="shared" si="23"/>
        <v>0.27868385327682121</v>
      </c>
      <c r="N147" s="25">
        <f t="shared" si="24"/>
        <v>0.19727091695202806</v>
      </c>
      <c r="O147" s="25">
        <f t="shared" si="25"/>
        <v>0.52404522977115064</v>
      </c>
      <c r="P147" s="2" t="str">
        <f t="shared" si="26"/>
        <v>Normal</v>
      </c>
    </row>
    <row r="148" spans="1:16">
      <c r="A148" s="2">
        <f>IF(Participant_Data!A148="","",Participant_Data!A148)</f>
        <v>147</v>
      </c>
      <c r="B148" s="2" t="str">
        <f>IF(Participant_Data!B148="","",Participant_Data!B148)</f>
        <v/>
      </c>
      <c r="C148" s="3" t="str">
        <f>IF(Participant_Data!C148="","",Participant_Data!C148)</f>
        <v/>
      </c>
      <c r="D148" s="2">
        <f>IF(Participant_Data!F148="","",Participant_Data!F148)</f>
        <v>1</v>
      </c>
      <c r="E148" s="2">
        <f>IF(Participant_Data!AO148="","",Participant_Data!AO148)</f>
        <v>4</v>
      </c>
      <c r="F148" s="2">
        <f>IF(Participant_Data!AP148="","",Participant_Data!AP148)</f>
        <v>4</v>
      </c>
      <c r="G148" s="2">
        <f>IF(Participant_Data!AS148="","",Participant_Data!AS148)</f>
        <v>92</v>
      </c>
      <c r="H148" s="4">
        <f t="shared" si="18"/>
        <v>4.7149999999999981</v>
      </c>
      <c r="I148" s="4">
        <f t="shared" si="19"/>
        <v>3.3720000000000026</v>
      </c>
      <c r="J148" s="4">
        <f t="shared" si="20"/>
        <v>111.60881117370782</v>
      </c>
      <c r="K148" s="4">
        <f t="shared" si="21"/>
        <v>29.136742307757622</v>
      </c>
      <c r="L148" s="4">
        <f t="shared" si="22"/>
        <v>141.74555348146544</v>
      </c>
      <c r="M148" s="25">
        <f t="shared" si="23"/>
        <v>7.0548950244902001E-3</v>
      </c>
      <c r="N148" s="25">
        <f t="shared" si="24"/>
        <v>0.78738844663865748</v>
      </c>
      <c r="O148" s="25">
        <f t="shared" si="25"/>
        <v>0.20555665833685235</v>
      </c>
      <c r="P148" s="2" t="str">
        <f t="shared" si="26"/>
        <v>Over</v>
      </c>
    </row>
    <row r="149" spans="1:16">
      <c r="A149" s="2">
        <f>IF(Participant_Data!A149="","",Participant_Data!A149)</f>
        <v>148</v>
      </c>
      <c r="B149" s="2" t="str">
        <f>IF(Participant_Data!B149="","",Participant_Data!B149)</f>
        <v/>
      </c>
      <c r="C149" s="3" t="str">
        <f>IF(Participant_Data!C149="","",Participant_Data!C149)</f>
        <v/>
      </c>
      <c r="D149" s="2">
        <f>IF(Participant_Data!F149="","",Participant_Data!F149)</f>
        <v>1</v>
      </c>
      <c r="E149" s="2">
        <f>IF(Participant_Data!AO149="","",Participant_Data!AO149)</f>
        <v>6</v>
      </c>
      <c r="F149" s="2">
        <f>IF(Participant_Data!AP149="","",Participant_Data!AP149)</f>
        <v>4</v>
      </c>
      <c r="G149" s="2">
        <f>IF(Participant_Data!AS149="","",Participant_Data!AS149)</f>
        <v>63.5</v>
      </c>
      <c r="H149" s="4">
        <f t="shared" si="18"/>
        <v>-5.1934999999999985</v>
      </c>
      <c r="I149" s="4">
        <f t="shared" si="19"/>
        <v>-1.9364999999999997</v>
      </c>
      <c r="J149" s="4">
        <f t="shared" si="20"/>
        <v>5.5525388798277082E-3</v>
      </c>
      <c r="K149" s="4">
        <f t="shared" si="21"/>
        <v>0.14420779481640095</v>
      </c>
      <c r="L149" s="4">
        <f t="shared" si="22"/>
        <v>1.1497603336962285</v>
      </c>
      <c r="M149" s="25">
        <f t="shared" si="23"/>
        <v>0.86974647732472932</v>
      </c>
      <c r="N149" s="25">
        <f t="shared" si="24"/>
        <v>4.8293011309387471E-3</v>
      </c>
      <c r="O149" s="25">
        <f t="shared" si="25"/>
        <v>0.12542422154433208</v>
      </c>
      <c r="P149" s="2" t="str">
        <f t="shared" si="26"/>
        <v>Under</v>
      </c>
    </row>
    <row r="150" spans="1:16">
      <c r="A150" s="2">
        <f>IF(Participant_Data!A150="","",Participant_Data!A150)</f>
        <v>149</v>
      </c>
      <c r="B150" s="2" t="str">
        <f>IF(Participant_Data!B150="","",Participant_Data!B150)</f>
        <v/>
      </c>
      <c r="C150" s="3" t="str">
        <f>IF(Participant_Data!C150="","",Participant_Data!C150)</f>
        <v/>
      </c>
      <c r="D150" s="2">
        <f>IF(Participant_Data!F150="","",Participant_Data!F150)</f>
        <v>1</v>
      </c>
      <c r="E150" s="2">
        <f>IF(Participant_Data!AO150="","",Participant_Data!AO150)</f>
        <v>4</v>
      </c>
      <c r="F150" s="2">
        <f>IF(Participant_Data!AP150="","",Participant_Data!AP150)</f>
        <v>4</v>
      </c>
      <c r="G150" s="2">
        <f>IF(Participant_Data!AS150="","",Participant_Data!AS150)</f>
        <v>69</v>
      </c>
      <c r="H150" s="4">
        <f t="shared" si="18"/>
        <v>-3.3119999999999989</v>
      </c>
      <c r="I150" s="4">
        <f t="shared" si="19"/>
        <v>-0.97499999999999876</v>
      </c>
      <c r="J150" s="4">
        <f t="shared" si="20"/>
        <v>3.6443214389916573E-2</v>
      </c>
      <c r="K150" s="4">
        <f t="shared" si="21"/>
        <v>0.37719235356315739</v>
      </c>
      <c r="L150" s="4">
        <f t="shared" si="22"/>
        <v>1.4136355679530739</v>
      </c>
      <c r="M150" s="25">
        <f t="shared" si="23"/>
        <v>0.70739589655910196</v>
      </c>
      <c r="N150" s="25">
        <f t="shared" si="24"/>
        <v>2.57797803168506E-2</v>
      </c>
      <c r="O150" s="25">
        <f t="shared" si="25"/>
        <v>0.26682432312404752</v>
      </c>
      <c r="P150" s="2" t="str">
        <f t="shared" si="26"/>
        <v>Under</v>
      </c>
    </row>
    <row r="151" spans="1:16">
      <c r="A151" s="2">
        <f>IF(Participant_Data!A151="","",Participant_Data!A151)</f>
        <v>150</v>
      </c>
      <c r="B151" s="2" t="str">
        <f>IF(Participant_Data!B151="","",Participant_Data!B151)</f>
        <v/>
      </c>
      <c r="C151" s="3" t="str">
        <f>IF(Participant_Data!C151="","",Participant_Data!C151)</f>
        <v/>
      </c>
      <c r="D151" s="2">
        <f>IF(Participant_Data!F151="","",Participant_Data!F151)</f>
        <v>1</v>
      </c>
      <c r="E151" s="2">
        <f>IF(Participant_Data!AO151="","",Participant_Data!AO151)</f>
        <v>2</v>
      </c>
      <c r="F151" s="2">
        <f>IF(Participant_Data!AP151="","",Participant_Data!AP151)</f>
        <v>4</v>
      </c>
      <c r="G151" s="2">
        <f>IF(Participant_Data!AS151="","",Participant_Data!AS151)</f>
        <v>81</v>
      </c>
      <c r="H151" s="4">
        <f t="shared" si="18"/>
        <v>0.83799999999999963</v>
      </c>
      <c r="I151" s="4">
        <f t="shared" si="19"/>
        <v>1.214999999999999</v>
      </c>
      <c r="J151" s="4">
        <f t="shared" si="20"/>
        <v>2.3117388724745367</v>
      </c>
      <c r="K151" s="4">
        <f t="shared" si="21"/>
        <v>3.3702940643216035</v>
      </c>
      <c r="L151" s="4">
        <f t="shared" si="22"/>
        <v>6.6820329367961406</v>
      </c>
      <c r="M151" s="25">
        <f t="shared" si="23"/>
        <v>0.14965505400209442</v>
      </c>
      <c r="N151" s="25">
        <f t="shared" si="24"/>
        <v>0.34596340579891766</v>
      </c>
      <c r="O151" s="25">
        <f t="shared" si="25"/>
        <v>0.50438154019898784</v>
      </c>
      <c r="P151" s="2" t="str">
        <f t="shared" si="26"/>
        <v>Normal</v>
      </c>
    </row>
    <row r="152" spans="1:16">
      <c r="A152" s="2">
        <f>IF(Participant_Data!A152="","",Participant_Data!A152)</f>
        <v>151</v>
      </c>
      <c r="B152" s="2" t="str">
        <f>IF(Participant_Data!B152="","",Participant_Data!B152)</f>
        <v/>
      </c>
      <c r="C152" s="3" t="str">
        <f>IF(Participant_Data!C152="","",Participant_Data!C152)</f>
        <v/>
      </c>
      <c r="D152" s="2">
        <f>IF(Participant_Data!F152="","",Participant_Data!F152)</f>
        <v>1</v>
      </c>
      <c r="E152" s="2">
        <f>IF(Participant_Data!AO152="","",Participant_Data!AO152)</f>
        <v>6</v>
      </c>
      <c r="F152" s="2">
        <f>IF(Participant_Data!AP152="","",Participant_Data!AP152)</f>
        <v>4</v>
      </c>
      <c r="G152" s="2">
        <f>IF(Participant_Data!AS152="","",Participant_Data!AS152)</f>
        <v>81.5</v>
      </c>
      <c r="H152" s="4">
        <f t="shared" si="18"/>
        <v>1.0884999999999985</v>
      </c>
      <c r="I152" s="4">
        <f t="shared" si="19"/>
        <v>1.4654999999999996</v>
      </c>
      <c r="J152" s="4">
        <f t="shared" si="20"/>
        <v>2.9698160058401459</v>
      </c>
      <c r="K152" s="4">
        <f t="shared" si="21"/>
        <v>4.3297075529539955</v>
      </c>
      <c r="L152" s="4">
        <f t="shared" si="22"/>
        <v>8.2995235587941423</v>
      </c>
      <c r="M152" s="25">
        <f t="shared" si="23"/>
        <v>0.12048884407833314</v>
      </c>
      <c r="N152" s="25">
        <f t="shared" si="24"/>
        <v>0.35782969766901146</v>
      </c>
      <c r="O152" s="25">
        <f t="shared" si="25"/>
        <v>0.52168145825265533</v>
      </c>
      <c r="P152" s="2" t="str">
        <f t="shared" si="26"/>
        <v>Normal</v>
      </c>
    </row>
    <row r="153" spans="1:16">
      <c r="A153" s="2">
        <f>IF(Participant_Data!A153="","",Participant_Data!A153)</f>
        <v>152</v>
      </c>
      <c r="B153" s="2" t="str">
        <f>IF(Participant_Data!B153="","",Participant_Data!B153)</f>
        <v/>
      </c>
      <c r="C153" s="3" t="str">
        <f>IF(Participant_Data!C153="","",Participant_Data!C153)</f>
        <v/>
      </c>
      <c r="D153" s="2">
        <f>IF(Participant_Data!F153="","",Participant_Data!F153)</f>
        <v>1</v>
      </c>
      <c r="E153" s="2">
        <f>IF(Participant_Data!AO153="","",Participant_Data!AO153)</f>
        <v>2</v>
      </c>
      <c r="F153" s="2">
        <f>IF(Participant_Data!AP153="","",Participant_Data!AP153)</f>
        <v>6</v>
      </c>
      <c r="G153" s="2">
        <f>IF(Participant_Data!AS153="","",Participant_Data!AS153)</f>
        <v>98.5</v>
      </c>
      <c r="H153" s="4">
        <f t="shared" si="18"/>
        <v>6.1914999999999996</v>
      </c>
      <c r="I153" s="4">
        <f t="shared" si="19"/>
        <v>3.5084999999999988</v>
      </c>
      <c r="J153" s="4">
        <f t="shared" si="20"/>
        <v>488.57842447514764</v>
      </c>
      <c r="K153" s="4">
        <f t="shared" si="21"/>
        <v>33.398132992762612</v>
      </c>
      <c r="L153" s="4">
        <f t="shared" si="22"/>
        <v>522.9765574679102</v>
      </c>
      <c r="M153" s="25">
        <f t="shared" si="23"/>
        <v>1.9121315969528136E-3</v>
      </c>
      <c r="N153" s="25">
        <f t="shared" si="24"/>
        <v>0.93422624302835366</v>
      </c>
      <c r="O153" s="25">
        <f t="shared" si="25"/>
        <v>6.3861625374693629E-2</v>
      </c>
      <c r="P153" s="2" t="str">
        <f t="shared" si="26"/>
        <v>Over</v>
      </c>
    </row>
    <row r="154" spans="1:16">
      <c r="A154" s="2">
        <f>IF(Participant_Data!A154="","",Participant_Data!A154)</f>
        <v>153</v>
      </c>
      <c r="B154" s="2" t="str">
        <f>IF(Participant_Data!B154="","",Participant_Data!B154)</f>
        <v/>
      </c>
      <c r="C154" s="3" t="str">
        <f>IF(Participant_Data!C154="","",Participant_Data!C154)</f>
        <v/>
      </c>
      <c r="D154" s="2">
        <f>IF(Participant_Data!F154="","",Participant_Data!F154)</f>
        <v>1</v>
      </c>
      <c r="E154" s="2">
        <f>IF(Participant_Data!AO154="","",Participant_Data!AO154)</f>
        <v>8</v>
      </c>
      <c r="F154" s="2">
        <f>IF(Participant_Data!AP154="","",Participant_Data!AP154)</f>
        <v>4</v>
      </c>
      <c r="G154" s="2">
        <f>IF(Participant_Data!AS154="","",Participant_Data!AS154)</f>
        <v>104</v>
      </c>
      <c r="H154" s="4">
        <f t="shared" si="18"/>
        <v>8.979000000000001</v>
      </c>
      <c r="I154" s="4">
        <f t="shared" si="19"/>
        <v>5.7959999999999985</v>
      </c>
      <c r="J154" s="4">
        <f t="shared" si="20"/>
        <v>7934.6934533798049</v>
      </c>
      <c r="K154" s="4">
        <f t="shared" si="21"/>
        <v>328.9810005468139</v>
      </c>
      <c r="L154" s="4">
        <f t="shared" si="22"/>
        <v>8264.6744539266183</v>
      </c>
      <c r="M154" s="25">
        <f t="shared" si="23"/>
        <v>1.2099690139941222E-4</v>
      </c>
      <c r="N154" s="25">
        <f t="shared" si="24"/>
        <v>0.96007332141315782</v>
      </c>
      <c r="O154" s="25">
        <f t="shared" si="25"/>
        <v>3.9805681685442816E-2</v>
      </c>
      <c r="P154" s="2" t="str">
        <f t="shared" si="26"/>
        <v>Over</v>
      </c>
    </row>
    <row r="155" spans="1:16">
      <c r="A155" s="2">
        <f>IF(Participant_Data!A155="","",Participant_Data!A155)</f>
        <v>154</v>
      </c>
      <c r="B155" s="2" t="str">
        <f>IF(Participant_Data!B155="","",Participant_Data!B155)</f>
        <v/>
      </c>
      <c r="C155" s="3" t="str">
        <f>IF(Participant_Data!C155="","",Participant_Data!C155)</f>
        <v/>
      </c>
      <c r="D155" s="2">
        <f>IF(Participant_Data!F155="","",Participant_Data!F155)</f>
        <v>1</v>
      </c>
      <c r="E155" s="2">
        <f>IF(Participant_Data!AO155="","",Participant_Data!AO155)</f>
        <v>10</v>
      </c>
      <c r="F155" s="2">
        <f>IF(Participant_Data!AP155="","",Participant_Data!AP155)</f>
        <v>8</v>
      </c>
      <c r="G155" s="2">
        <f>IF(Participant_Data!AS155="","",Participant_Data!AS155)</f>
        <v>94.5</v>
      </c>
      <c r="H155" s="4">
        <f t="shared" si="18"/>
        <v>4.1934999999999985</v>
      </c>
      <c r="I155" s="4">
        <f t="shared" si="19"/>
        <v>2.050500000000004</v>
      </c>
      <c r="J155" s="4">
        <f t="shared" si="20"/>
        <v>66.254275590566849</v>
      </c>
      <c r="K155" s="4">
        <f t="shared" si="21"/>
        <v>7.771786028009446</v>
      </c>
      <c r="L155" s="4">
        <f t="shared" si="22"/>
        <v>75.026061618576293</v>
      </c>
      <c r="M155" s="25">
        <f t="shared" si="23"/>
        <v>1.3328701766112725E-2</v>
      </c>
      <c r="N155" s="25">
        <f t="shared" si="24"/>
        <v>0.88308348007650761</v>
      </c>
      <c r="O155" s="25">
        <f t="shared" si="25"/>
        <v>0.1035878181573797</v>
      </c>
      <c r="P155" s="2" t="str">
        <f t="shared" si="26"/>
        <v>Over</v>
      </c>
    </row>
    <row r="156" spans="1:16">
      <c r="A156" s="2">
        <f>IF(Participant_Data!A156="","",Participant_Data!A156)</f>
        <v>155</v>
      </c>
      <c r="B156" s="2" t="str">
        <f>IF(Participant_Data!B156="","",Participant_Data!B156)</f>
        <v/>
      </c>
      <c r="C156" s="3" t="str">
        <f>IF(Participant_Data!C156="","",Participant_Data!C156)</f>
        <v/>
      </c>
      <c r="D156" s="2">
        <f>IF(Participant_Data!F156="","",Participant_Data!F156)</f>
        <v>1</v>
      </c>
      <c r="E156" s="2">
        <f>IF(Participant_Data!AO156="","",Participant_Data!AO156)</f>
        <v>4</v>
      </c>
      <c r="F156" s="2">
        <f>IF(Participant_Data!AP156="","",Participant_Data!AP156)</f>
        <v>4</v>
      </c>
      <c r="G156" s="2">
        <f>IF(Participant_Data!AS156="","",Participant_Data!AS156)</f>
        <v>103.5</v>
      </c>
      <c r="H156" s="4">
        <f t="shared" si="18"/>
        <v>8.7284999999999986</v>
      </c>
      <c r="I156" s="4">
        <f t="shared" si="19"/>
        <v>5.5454999999999997</v>
      </c>
      <c r="J156" s="4">
        <f t="shared" si="20"/>
        <v>6176.4564745007256</v>
      </c>
      <c r="K156" s="4">
        <f t="shared" si="21"/>
        <v>256.08258753204808</v>
      </c>
      <c r="L156" s="4">
        <f t="shared" si="22"/>
        <v>6433.5390620327735</v>
      </c>
      <c r="M156" s="25">
        <f t="shared" si="23"/>
        <v>1.5543544390698625E-4</v>
      </c>
      <c r="N156" s="25">
        <f t="shared" si="24"/>
        <v>0.96004025388619951</v>
      </c>
      <c r="O156" s="25">
        <f t="shared" si="25"/>
        <v>3.9804310669893553E-2</v>
      </c>
      <c r="P156" s="2" t="str">
        <f t="shared" si="26"/>
        <v>Over</v>
      </c>
    </row>
    <row r="157" spans="1:16">
      <c r="A157" s="2">
        <f>IF(Participant_Data!A157="","",Participant_Data!A157)</f>
        <v>156</v>
      </c>
      <c r="B157" s="2" t="str">
        <f>IF(Participant_Data!B157="","",Participant_Data!B157)</f>
        <v/>
      </c>
      <c r="C157" s="3" t="str">
        <f>IF(Participant_Data!C157="","",Participant_Data!C157)</f>
        <v/>
      </c>
      <c r="D157" s="2">
        <f>IF(Participant_Data!F157="","",Participant_Data!F157)</f>
        <v>1</v>
      </c>
      <c r="E157" s="2">
        <f>IF(Participant_Data!AO157="","",Participant_Data!AO157)</f>
        <v>4</v>
      </c>
      <c r="F157" s="2">
        <f>IF(Participant_Data!AP157="","",Participant_Data!AP157)</f>
        <v>4</v>
      </c>
      <c r="G157" s="2">
        <f>IF(Participant_Data!AS157="","",Participant_Data!AS157)</f>
        <v>100.5</v>
      </c>
      <c r="H157" s="4">
        <f t="shared" si="18"/>
        <v>7.6815000000000015</v>
      </c>
      <c r="I157" s="4">
        <f t="shared" si="19"/>
        <v>4.9784999999999995</v>
      </c>
      <c r="J157" s="4">
        <f t="shared" si="20"/>
        <v>2167.8691379205525</v>
      </c>
      <c r="K157" s="4">
        <f t="shared" si="21"/>
        <v>145.25633365801019</v>
      </c>
      <c r="L157" s="4">
        <f t="shared" si="22"/>
        <v>2314.1254715785626</v>
      </c>
      <c r="M157" s="25">
        <f t="shared" si="23"/>
        <v>4.3212868631442781E-4</v>
      </c>
      <c r="N157" s="25">
        <f t="shared" si="24"/>
        <v>0.93679844267119949</v>
      </c>
      <c r="O157" s="25">
        <f t="shared" si="25"/>
        <v>6.276942864248615E-2</v>
      </c>
      <c r="P157" s="2" t="str">
        <f t="shared" si="26"/>
        <v>Over</v>
      </c>
    </row>
    <row r="158" spans="1:16">
      <c r="A158" s="2">
        <f>IF(Participant_Data!A158="","",Participant_Data!A158)</f>
        <v>157</v>
      </c>
      <c r="B158" s="2" t="str">
        <f>IF(Participant_Data!B158="","",Participant_Data!B158)</f>
        <v/>
      </c>
      <c r="C158" s="3" t="str">
        <f>IF(Participant_Data!C158="","",Participant_Data!C158)</f>
        <v/>
      </c>
      <c r="D158" s="2">
        <f>IF(Participant_Data!F158="","",Participant_Data!F158)</f>
        <v>1</v>
      </c>
      <c r="E158" s="2">
        <f>IF(Participant_Data!AO158="","",Participant_Data!AO158)</f>
        <v>2</v>
      </c>
      <c r="F158" s="2">
        <f>IF(Participant_Data!AP158="","",Participant_Data!AP158)</f>
        <v>4</v>
      </c>
      <c r="G158" s="2">
        <f>IF(Participant_Data!AS158="","",Participant_Data!AS158)</f>
        <v>104</v>
      </c>
      <c r="H158" s="4">
        <f t="shared" si="18"/>
        <v>8.8650000000000002</v>
      </c>
      <c r="I158" s="4">
        <f t="shared" si="19"/>
        <v>5.5619999999999985</v>
      </c>
      <c r="J158" s="4">
        <f t="shared" si="20"/>
        <v>7079.7933612661873</v>
      </c>
      <c r="K158" s="4">
        <f t="shared" si="21"/>
        <v>260.34300198787275</v>
      </c>
      <c r="L158" s="4">
        <f t="shared" si="22"/>
        <v>7341.1363632540597</v>
      </c>
      <c r="M158" s="25">
        <f t="shared" si="23"/>
        <v>1.3621869292681769E-4</v>
      </c>
      <c r="N158" s="25">
        <f t="shared" si="24"/>
        <v>0.96440019786364128</v>
      </c>
      <c r="O158" s="25">
        <f t="shared" si="25"/>
        <v>3.546358344343193E-2</v>
      </c>
      <c r="P158" s="2" t="str">
        <f t="shared" si="26"/>
        <v>Over</v>
      </c>
    </row>
    <row r="159" spans="1:16">
      <c r="A159" s="2">
        <f>IF(Participant_Data!A159="","",Participant_Data!A159)</f>
        <v>158</v>
      </c>
      <c r="B159" s="2" t="str">
        <f>IF(Participant_Data!B159="","",Participant_Data!B159)</f>
        <v/>
      </c>
      <c r="C159" s="3" t="str">
        <f>IF(Participant_Data!C159="","",Participant_Data!C159)</f>
        <v/>
      </c>
      <c r="D159" s="2">
        <f>IF(Participant_Data!F159="","",Participant_Data!F159)</f>
        <v>1</v>
      </c>
      <c r="E159" s="2">
        <f>IF(Participant_Data!AO159="","",Participant_Data!AO159)</f>
        <v>4</v>
      </c>
      <c r="F159" s="2">
        <f>IF(Participant_Data!AP159="","",Participant_Data!AP159)</f>
        <v>4</v>
      </c>
      <c r="G159" s="2">
        <f>IF(Participant_Data!AS159="","",Participant_Data!AS159)</f>
        <v>93</v>
      </c>
      <c r="H159" s="4">
        <f t="shared" si="18"/>
        <v>5.0640000000000018</v>
      </c>
      <c r="I159" s="4">
        <f t="shared" si="19"/>
        <v>3.5610000000000026</v>
      </c>
      <c r="J159" s="4">
        <f t="shared" si="20"/>
        <v>158.22214079543912</v>
      </c>
      <c r="K159" s="4">
        <f t="shared" si="21"/>
        <v>35.198377929712379</v>
      </c>
      <c r="L159" s="4">
        <f t="shared" si="22"/>
        <v>194.42051872515151</v>
      </c>
      <c r="M159" s="25">
        <f t="shared" si="23"/>
        <v>5.1434900315932217E-3</v>
      </c>
      <c r="N159" s="25">
        <f t="shared" si="24"/>
        <v>0.8138140039586802</v>
      </c>
      <c r="O159" s="25">
        <f t="shared" si="25"/>
        <v>0.18104250600972646</v>
      </c>
      <c r="P159" s="2" t="str">
        <f t="shared" si="26"/>
        <v>Over</v>
      </c>
    </row>
    <row r="160" spans="1:16">
      <c r="A160" s="2">
        <f>IF(Participant_Data!A160="","",Participant_Data!A160)</f>
        <v>159</v>
      </c>
      <c r="B160" s="2" t="str">
        <f>IF(Participant_Data!B160="","",Participant_Data!B160)</f>
        <v/>
      </c>
      <c r="C160" s="3" t="str">
        <f>IF(Participant_Data!C160="","",Participant_Data!C160)</f>
        <v/>
      </c>
      <c r="D160" s="2">
        <f>IF(Participant_Data!F160="","",Participant_Data!F160)</f>
        <v>1</v>
      </c>
      <c r="E160" s="2">
        <f>IF(Participant_Data!AO160="","",Participant_Data!AO160)</f>
        <v>16</v>
      </c>
      <c r="F160" s="2">
        <f>IF(Participant_Data!AP160="","",Participant_Data!AP160)</f>
        <v>6</v>
      </c>
      <c r="G160" s="2">
        <f>IF(Participant_Data!AS160="","",Participant_Data!AS160)</f>
        <v>97</v>
      </c>
      <c r="H160" s="4">
        <f t="shared" si="18"/>
        <v>5.9339999999999922</v>
      </c>
      <c r="I160" s="4">
        <f t="shared" si="19"/>
        <v>3.7709999999999999</v>
      </c>
      <c r="J160" s="4">
        <f t="shared" si="20"/>
        <v>377.66214513247621</v>
      </c>
      <c r="K160" s="4">
        <f t="shared" si="21"/>
        <v>43.423466597951702</v>
      </c>
      <c r="L160" s="4">
        <f t="shared" si="22"/>
        <v>422.0856117304279</v>
      </c>
      <c r="M160" s="25">
        <f t="shared" si="23"/>
        <v>2.3691876060410863E-3</v>
      </c>
      <c r="N160" s="25">
        <f t="shared" si="24"/>
        <v>0.89475247351875264</v>
      </c>
      <c r="O160" s="25">
        <f t="shared" si="25"/>
        <v>0.10287833887520627</v>
      </c>
      <c r="P160" s="2" t="str">
        <f t="shared" si="26"/>
        <v>Over</v>
      </c>
    </row>
    <row r="161" spans="1:16">
      <c r="A161" s="2">
        <f>IF(Participant_Data!A161="","",Participant_Data!A161)</f>
        <v>160</v>
      </c>
      <c r="B161" s="2" t="str">
        <f>IF(Participant_Data!B161="","",Participant_Data!B161)</f>
        <v/>
      </c>
      <c r="C161" s="3" t="str">
        <f>IF(Participant_Data!C161="","",Participant_Data!C161)</f>
        <v/>
      </c>
      <c r="D161" s="2">
        <f>IF(Participant_Data!F161="","",Participant_Data!F161)</f>
        <v>1</v>
      </c>
      <c r="E161" s="2">
        <f>IF(Participant_Data!AO161="","",Participant_Data!AO161)</f>
        <v>6</v>
      </c>
      <c r="F161" s="2">
        <f>IF(Participant_Data!AP161="","",Participant_Data!AP161)</f>
        <v>6</v>
      </c>
      <c r="G161" s="2">
        <f>IF(Participant_Data!AS161="","",Participant_Data!AS161)</f>
        <v>93.5</v>
      </c>
      <c r="H161" s="4">
        <f t="shared" si="18"/>
        <v>4.5224999999999955</v>
      </c>
      <c r="I161" s="4">
        <f t="shared" si="19"/>
        <v>2.7195000000000027</v>
      </c>
      <c r="J161" s="4">
        <f t="shared" si="20"/>
        <v>92.065474198650193</v>
      </c>
      <c r="K161" s="4">
        <f t="shared" si="21"/>
        <v>15.172733981055524</v>
      </c>
      <c r="L161" s="4">
        <f t="shared" si="22"/>
        <v>108.23820817970572</v>
      </c>
      <c r="M161" s="25">
        <f t="shared" si="23"/>
        <v>9.2388816926802786E-3</v>
      </c>
      <c r="N161" s="25">
        <f t="shared" si="24"/>
        <v>0.85058202410183781</v>
      </c>
      <c r="O161" s="25">
        <f t="shared" si="25"/>
        <v>0.14017909420548183</v>
      </c>
      <c r="P161" s="2" t="str">
        <f t="shared" si="26"/>
        <v>Over</v>
      </c>
    </row>
    <row r="162" spans="1:16">
      <c r="A162" s="2">
        <f>IF(Participant_Data!A162="","",Participant_Data!A162)</f>
        <v>161</v>
      </c>
      <c r="B162" s="2" t="str">
        <f>IF(Participant_Data!B162="","",Participant_Data!B162)</f>
        <v/>
      </c>
      <c r="C162" s="3" t="str">
        <f>IF(Participant_Data!C162="","",Participant_Data!C162)</f>
        <v/>
      </c>
      <c r="D162" s="2">
        <f>IF(Participant_Data!F162="","",Participant_Data!F162)</f>
        <v>1</v>
      </c>
      <c r="E162" s="2">
        <f>IF(Participant_Data!AO162="","",Participant_Data!AO162)</f>
        <v>6</v>
      </c>
      <c r="F162" s="2">
        <f>IF(Participant_Data!AP162="","",Participant_Data!AP162)</f>
        <v>4</v>
      </c>
      <c r="G162" s="2">
        <f>IF(Participant_Data!AS162="","",Participant_Data!AS162)</f>
        <v>79.5</v>
      </c>
      <c r="H162" s="4">
        <f t="shared" si="18"/>
        <v>0.39050000000000162</v>
      </c>
      <c r="I162" s="4">
        <f t="shared" si="19"/>
        <v>1.0875000000000012</v>
      </c>
      <c r="J162" s="4">
        <f t="shared" si="20"/>
        <v>1.4777194689329598</v>
      </c>
      <c r="K162" s="4">
        <f t="shared" si="21"/>
        <v>2.9668476742474712</v>
      </c>
      <c r="L162" s="4">
        <f t="shared" si="22"/>
        <v>5.4445671431804303</v>
      </c>
      <c r="M162" s="25">
        <f t="shared" si="23"/>
        <v>0.18366933012343245</v>
      </c>
      <c r="N162" s="25">
        <f t="shared" si="24"/>
        <v>0.27141174496927106</v>
      </c>
      <c r="O162" s="25">
        <f t="shared" si="25"/>
        <v>0.54491892490729654</v>
      </c>
      <c r="P162" s="2" t="str">
        <f t="shared" si="26"/>
        <v>Normal</v>
      </c>
    </row>
    <row r="163" spans="1:16">
      <c r="A163" s="2">
        <f>IF(Participant_Data!A163="","",Participant_Data!A163)</f>
        <v>162</v>
      </c>
      <c r="B163" s="2" t="str">
        <f>IF(Participant_Data!B163="","",Participant_Data!B163)</f>
        <v/>
      </c>
      <c r="C163" s="3" t="str">
        <f>IF(Participant_Data!C163="","",Participant_Data!C163)</f>
        <v/>
      </c>
      <c r="D163" s="2">
        <f>IF(Participant_Data!F163="","",Participant_Data!F163)</f>
        <v>1</v>
      </c>
      <c r="E163" s="2">
        <f>IF(Participant_Data!AO163="","",Participant_Data!AO163)</f>
        <v>8</v>
      </c>
      <c r="F163" s="2">
        <f>IF(Participant_Data!AP163="","",Participant_Data!AP163)</f>
        <v>6</v>
      </c>
      <c r="G163" s="2">
        <f>IF(Participant_Data!AS163="","",Participant_Data!AS163)</f>
        <v>102</v>
      </c>
      <c r="H163" s="4">
        <f t="shared" si="18"/>
        <v>7.5269999999999992</v>
      </c>
      <c r="I163" s="4">
        <f t="shared" si="19"/>
        <v>4.403999999999999</v>
      </c>
      <c r="J163" s="4">
        <f t="shared" si="20"/>
        <v>1857.5245626429185</v>
      </c>
      <c r="K163" s="4">
        <f t="shared" si="21"/>
        <v>81.777324616255996</v>
      </c>
      <c r="L163" s="4">
        <f t="shared" si="22"/>
        <v>1940.3018872591745</v>
      </c>
      <c r="M163" s="25">
        <f t="shared" si="23"/>
        <v>5.1538371764023631E-4</v>
      </c>
      <c r="N163" s="25">
        <f t="shared" si="24"/>
        <v>0.95733791470296137</v>
      </c>
      <c r="O163" s="25">
        <f t="shared" si="25"/>
        <v>4.2146701579398427E-2</v>
      </c>
      <c r="P163" s="2" t="str">
        <f t="shared" si="26"/>
        <v>Over</v>
      </c>
    </row>
    <row r="164" spans="1:16">
      <c r="A164" s="2">
        <f>IF(Participant_Data!A164="","",Participant_Data!A164)</f>
        <v>163</v>
      </c>
      <c r="B164" s="2" t="str">
        <f>IF(Participant_Data!B164="","",Participant_Data!B164)</f>
        <v/>
      </c>
      <c r="C164" s="3" t="str">
        <f>IF(Participant_Data!C164="","",Participant_Data!C164)</f>
        <v/>
      </c>
      <c r="D164" s="2">
        <f>IF(Participant_Data!F164="","",Participant_Data!F164)</f>
        <v>1</v>
      </c>
      <c r="E164" s="2">
        <f>IF(Participant_Data!AO164="","",Participant_Data!AO164)</f>
        <v>10</v>
      </c>
      <c r="F164" s="2">
        <f>IF(Participant_Data!AP164="","",Participant_Data!AP164)</f>
        <v>4</v>
      </c>
      <c r="G164" s="2">
        <f>IF(Participant_Data!AS164="","",Participant_Data!AS164)</f>
        <v>90</v>
      </c>
      <c r="H164" s="4">
        <f t="shared" si="18"/>
        <v>4.1309999999999985</v>
      </c>
      <c r="I164" s="4">
        <f t="shared" si="19"/>
        <v>3.2280000000000024</v>
      </c>
      <c r="J164" s="4">
        <f t="shared" si="20"/>
        <v>62.240131957022513</v>
      </c>
      <c r="K164" s="4">
        <f t="shared" si="21"/>
        <v>25.229148182645606</v>
      </c>
      <c r="L164" s="4">
        <f t="shared" si="22"/>
        <v>88.469280139668115</v>
      </c>
      <c r="M164" s="25">
        <f t="shared" si="23"/>
        <v>1.1303358616926476E-2</v>
      </c>
      <c r="N164" s="25">
        <f t="shared" si="24"/>
        <v>0.70352253187505143</v>
      </c>
      <c r="O164" s="25">
        <f t="shared" si="25"/>
        <v>0.28517410950802219</v>
      </c>
      <c r="P164" s="2" t="str">
        <f t="shared" si="26"/>
        <v>Over</v>
      </c>
    </row>
    <row r="165" spans="1:16">
      <c r="A165" s="2">
        <f>IF(Participant_Data!A165="","",Participant_Data!A165)</f>
        <v>164</v>
      </c>
      <c r="B165" s="2" t="str">
        <f>IF(Participant_Data!B165="","",Participant_Data!B165)</f>
        <v/>
      </c>
      <c r="C165" s="3" t="str">
        <f>IF(Participant_Data!C165="","",Participant_Data!C165)</f>
        <v/>
      </c>
      <c r="D165" s="2">
        <f>IF(Participant_Data!F165="","",Participant_Data!F165)</f>
        <v>1</v>
      </c>
      <c r="E165" s="2">
        <f>IF(Participant_Data!AO165="","",Participant_Data!AO165)</f>
        <v>6</v>
      </c>
      <c r="F165" s="2">
        <f>IF(Participant_Data!AP165="","",Participant_Data!AP165)</f>
        <v>6</v>
      </c>
      <c r="G165" s="2">
        <f>IF(Participant_Data!AS165="","",Participant_Data!AS165)</f>
        <v>70.5</v>
      </c>
      <c r="H165" s="4">
        <f t="shared" si="18"/>
        <v>-3.5045000000000015</v>
      </c>
      <c r="I165" s="4">
        <f t="shared" si="19"/>
        <v>-1.6274999999999986</v>
      </c>
      <c r="J165" s="4">
        <f t="shared" si="20"/>
        <v>3.0061800487317897E-2</v>
      </c>
      <c r="K165" s="4">
        <f t="shared" si="21"/>
        <v>0.19642001085269836</v>
      </c>
      <c r="L165" s="4">
        <f t="shared" si="22"/>
        <v>1.2264818113400162</v>
      </c>
      <c r="M165" s="25">
        <f t="shared" si="23"/>
        <v>0.81534026086161915</v>
      </c>
      <c r="N165" s="25">
        <f t="shared" si="24"/>
        <v>2.4510596251299723E-2</v>
      </c>
      <c r="O165" s="25">
        <f t="shared" si="25"/>
        <v>0.16014914288708115</v>
      </c>
      <c r="P165" s="2" t="str">
        <f t="shared" si="26"/>
        <v>Under</v>
      </c>
    </row>
    <row r="166" spans="1:16">
      <c r="A166" s="2">
        <f>IF(Participant_Data!A166="","",Participant_Data!A166)</f>
        <v>165</v>
      </c>
      <c r="B166" s="2" t="str">
        <f>IF(Participant_Data!B166="","",Participant_Data!B166)</f>
        <v/>
      </c>
      <c r="C166" s="3" t="str">
        <f>IF(Participant_Data!C166="","",Participant_Data!C166)</f>
        <v/>
      </c>
      <c r="D166" s="2">
        <f>IF(Participant_Data!F166="","",Participant_Data!F166)</f>
        <v>1</v>
      </c>
      <c r="E166" s="2">
        <f>IF(Participant_Data!AO166="","",Participant_Data!AO166)</f>
        <v>10</v>
      </c>
      <c r="F166" s="2">
        <f>IF(Participant_Data!AP166="","",Participant_Data!AP166)</f>
        <v>4</v>
      </c>
      <c r="G166" s="2">
        <f>IF(Participant_Data!AS166="","",Participant_Data!AS166)</f>
        <v>94</v>
      </c>
      <c r="H166" s="4">
        <f t="shared" si="18"/>
        <v>5.5269999999999992</v>
      </c>
      <c r="I166" s="4">
        <f t="shared" si="19"/>
        <v>3.9840000000000027</v>
      </c>
      <c r="J166" s="4">
        <f t="shared" si="20"/>
        <v>251.3886128042445</v>
      </c>
      <c r="K166" s="4">
        <f t="shared" si="21"/>
        <v>53.731531072094761</v>
      </c>
      <c r="L166" s="4">
        <f t="shared" si="22"/>
        <v>306.12014387633928</v>
      </c>
      <c r="M166" s="25">
        <f t="shared" si="23"/>
        <v>3.2666912648648219E-3</v>
      </c>
      <c r="N166" s="25">
        <f t="shared" si="24"/>
        <v>0.82120898553411037</v>
      </c>
      <c r="O166" s="25">
        <f t="shared" si="25"/>
        <v>0.17552432320102471</v>
      </c>
      <c r="P166" s="2" t="str">
        <f t="shared" si="26"/>
        <v>Over</v>
      </c>
    </row>
    <row r="167" spans="1:16">
      <c r="A167" s="2">
        <f>IF(Participant_Data!A167="","",Participant_Data!A167)</f>
        <v>166</v>
      </c>
      <c r="B167" s="2" t="str">
        <f>IF(Participant_Data!B167="","",Participant_Data!B167)</f>
        <v/>
      </c>
      <c r="C167" s="3" t="str">
        <f>IF(Participant_Data!C167="","",Participant_Data!C167)</f>
        <v/>
      </c>
      <c r="D167" s="2">
        <f>IF(Participant_Data!F167="","",Participant_Data!F167)</f>
        <v>1</v>
      </c>
      <c r="E167" s="2">
        <f>IF(Participant_Data!AO167="","",Participant_Data!AO167)</f>
        <v>8</v>
      </c>
      <c r="F167" s="2">
        <f>IF(Participant_Data!AP167="","",Participant_Data!AP167)</f>
        <v>4</v>
      </c>
      <c r="G167" s="2">
        <f>IF(Participant_Data!AS167="","",Participant_Data!AS167)</f>
        <v>87</v>
      </c>
      <c r="H167" s="4">
        <f t="shared" si="18"/>
        <v>3.0460000000000016</v>
      </c>
      <c r="I167" s="4">
        <f t="shared" si="19"/>
        <v>2.5830000000000011</v>
      </c>
      <c r="J167" s="4">
        <f t="shared" si="20"/>
        <v>21.031051742600575</v>
      </c>
      <c r="K167" s="4">
        <f t="shared" si="21"/>
        <v>13.236789020690754</v>
      </c>
      <c r="L167" s="4">
        <f t="shared" si="22"/>
        <v>35.267840763291332</v>
      </c>
      <c r="M167" s="25">
        <f t="shared" si="23"/>
        <v>2.8354443548493445E-2</v>
      </c>
      <c r="N167" s="25">
        <f t="shared" si="24"/>
        <v>0.59632376940101262</v>
      </c>
      <c r="O167" s="25">
        <f t="shared" si="25"/>
        <v>0.37532178705049379</v>
      </c>
      <c r="P167" s="2" t="str">
        <f t="shared" si="26"/>
        <v>Over</v>
      </c>
    </row>
    <row r="168" spans="1:16">
      <c r="A168" s="2">
        <f>IF(Participant_Data!A168="","",Participant_Data!A168)</f>
        <v>167</v>
      </c>
      <c r="B168" s="2" t="str">
        <f>IF(Participant_Data!B168="","",Participant_Data!B168)</f>
        <v/>
      </c>
      <c r="C168" s="3" t="str">
        <f>IF(Participant_Data!C168="","",Participant_Data!C168)</f>
        <v/>
      </c>
      <c r="D168" s="2">
        <f>IF(Participant_Data!F168="","",Participant_Data!F168)</f>
        <v>1</v>
      </c>
      <c r="E168" s="2">
        <f>IF(Participant_Data!AO168="","",Participant_Data!AO168)</f>
        <v>16</v>
      </c>
      <c r="F168" s="2">
        <f>IF(Participant_Data!AP168="","",Participant_Data!AP168)</f>
        <v>6</v>
      </c>
      <c r="G168" s="2">
        <f>IF(Participant_Data!AS168="","",Participant_Data!AS168)</f>
        <v>73</v>
      </c>
      <c r="H168" s="4">
        <f t="shared" si="18"/>
        <v>-2.4420000000000051</v>
      </c>
      <c r="I168" s="4">
        <f t="shared" si="19"/>
        <v>-0.7649999999999979</v>
      </c>
      <c r="J168" s="4">
        <f t="shared" si="20"/>
        <v>8.6986703964603437E-2</v>
      </c>
      <c r="K168" s="4">
        <f t="shared" si="21"/>
        <v>0.46533393097431436</v>
      </c>
      <c r="L168" s="4">
        <f t="shared" si="22"/>
        <v>1.5523206349389178</v>
      </c>
      <c r="M168" s="25">
        <f t="shared" si="23"/>
        <v>0.64419680927539102</v>
      </c>
      <c r="N168" s="25">
        <f t="shared" si="24"/>
        <v>5.6036557143380544E-2</v>
      </c>
      <c r="O168" s="25">
        <f t="shared" si="25"/>
        <v>0.2997666335812284</v>
      </c>
      <c r="P168" s="2" t="str">
        <f t="shared" si="26"/>
        <v>Under</v>
      </c>
    </row>
    <row r="169" spans="1:16">
      <c r="A169" s="2">
        <f>IF(Participant_Data!A169="","",Participant_Data!A169)</f>
        <v>168</v>
      </c>
      <c r="B169" s="2" t="str">
        <f>IF(Participant_Data!B169="","",Participant_Data!B169)</f>
        <v/>
      </c>
      <c r="C169" s="3" t="str">
        <f>IF(Participant_Data!C169="","",Participant_Data!C169)</f>
        <v/>
      </c>
      <c r="D169" s="2">
        <f>IF(Participant_Data!F169="","",Participant_Data!F169)</f>
        <v>1</v>
      </c>
      <c r="E169" s="2">
        <f>IF(Participant_Data!AO169="","",Participant_Data!AO169)</f>
        <v>8</v>
      </c>
      <c r="F169" s="2">
        <f>IF(Participant_Data!AP169="","",Participant_Data!AP169)</f>
        <v>4</v>
      </c>
      <c r="G169" s="2">
        <f>IF(Participant_Data!AS169="","",Participant_Data!AS169)</f>
        <v>106</v>
      </c>
      <c r="H169" s="4">
        <f t="shared" si="18"/>
        <v>9.6770000000000014</v>
      </c>
      <c r="I169" s="4">
        <f t="shared" si="19"/>
        <v>6.1739999999999986</v>
      </c>
      <c r="J169" s="4">
        <f t="shared" si="20"/>
        <v>15946.585339569287</v>
      </c>
      <c r="K169" s="4">
        <f t="shared" si="21"/>
        <v>480.10268110822244</v>
      </c>
      <c r="L169" s="4">
        <f t="shared" si="22"/>
        <v>16427.688020677509</v>
      </c>
      <c r="M169" s="25">
        <f t="shared" si="23"/>
        <v>6.0872838511499692E-5</v>
      </c>
      <c r="N169" s="25">
        <f t="shared" si="24"/>
        <v>0.97071391418544961</v>
      </c>
      <c r="O169" s="25">
        <f t="shared" si="25"/>
        <v>2.9225212976038858E-2</v>
      </c>
      <c r="P169" s="2" t="str">
        <f t="shared" si="26"/>
        <v>Over</v>
      </c>
    </row>
    <row r="170" spans="1:16">
      <c r="A170" s="2">
        <f>IF(Participant_Data!A170="","",Participant_Data!A170)</f>
        <v>169</v>
      </c>
      <c r="B170" s="2" t="str">
        <f>IF(Participant_Data!B170="","",Participant_Data!B170)</f>
        <v/>
      </c>
      <c r="C170" s="3" t="str">
        <f>IF(Participant_Data!C170="","",Participant_Data!C170)</f>
        <v/>
      </c>
      <c r="D170" s="2">
        <f>IF(Participant_Data!F170="","",Participant_Data!F170)</f>
        <v>1</v>
      </c>
      <c r="E170" s="2">
        <f>IF(Participant_Data!AO170="","",Participant_Data!AO170)</f>
        <v>6</v>
      </c>
      <c r="F170" s="2">
        <f>IF(Participant_Data!AP170="","",Participant_Data!AP170)</f>
        <v>6</v>
      </c>
      <c r="G170" s="2">
        <f>IF(Participant_Data!AS170="","",Participant_Data!AS170)</f>
        <v>57</v>
      </c>
      <c r="H170" s="4">
        <f t="shared" si="18"/>
        <v>-8.2160000000000029</v>
      </c>
      <c r="I170" s="4">
        <f t="shared" si="19"/>
        <v>-4.1789999999999994</v>
      </c>
      <c r="J170" s="4">
        <f t="shared" si="20"/>
        <v>2.7029408176030038E-4</v>
      </c>
      <c r="K170" s="4">
        <f t="shared" si="21"/>
        <v>1.5313813726096422E-2</v>
      </c>
      <c r="L170" s="4">
        <f t="shared" si="22"/>
        <v>1.0155841078078567</v>
      </c>
      <c r="M170" s="25">
        <f t="shared" si="23"/>
        <v>0.98465502986109632</v>
      </c>
      <c r="N170" s="25">
        <f t="shared" si="24"/>
        <v>2.6614642714696616E-4</v>
      </c>
      <c r="O170" s="25">
        <f t="shared" si="25"/>
        <v>1.5078823711756738E-2</v>
      </c>
      <c r="P170" s="2" t="str">
        <f t="shared" si="26"/>
        <v>Under</v>
      </c>
    </row>
    <row r="171" spans="1:16">
      <c r="A171" s="2">
        <f>IF(Participant_Data!A171="","",Participant_Data!A171)</f>
        <v>170</v>
      </c>
      <c r="B171" s="2" t="str">
        <f>IF(Participant_Data!B171="","",Participant_Data!B171)</f>
        <v/>
      </c>
      <c r="C171" s="3" t="str">
        <f>IF(Participant_Data!C171="","",Participant_Data!C171)</f>
        <v/>
      </c>
      <c r="D171" s="2">
        <f>IF(Participant_Data!F171="","",Participant_Data!F171)</f>
        <v>1</v>
      </c>
      <c r="E171" s="2">
        <f>IF(Participant_Data!AO171="","",Participant_Data!AO171)</f>
        <v>6</v>
      </c>
      <c r="F171" s="2">
        <f>IF(Participant_Data!AP171="","",Participant_Data!AP171)</f>
        <v>4</v>
      </c>
      <c r="G171" s="2">
        <f>IF(Participant_Data!AS171="","",Participant_Data!AS171)</f>
        <v>92.5</v>
      </c>
      <c r="H171" s="4">
        <f t="shared" si="18"/>
        <v>4.9275000000000002</v>
      </c>
      <c r="I171" s="4">
        <f t="shared" si="19"/>
        <v>3.544500000000002</v>
      </c>
      <c r="J171" s="4">
        <f t="shared" si="20"/>
        <v>138.03399563494864</v>
      </c>
      <c r="K171" s="4">
        <f t="shared" si="21"/>
        <v>34.622369828828887</v>
      </c>
      <c r="L171" s="4">
        <f t="shared" si="22"/>
        <v>173.65636546377752</v>
      </c>
      <c r="M171" s="25">
        <f t="shared" si="23"/>
        <v>5.7584989604575545E-3</v>
      </c>
      <c r="N171" s="25">
        <f t="shared" si="24"/>
        <v>0.79486862037165429</v>
      </c>
      <c r="O171" s="25">
        <f t="shared" si="25"/>
        <v>0.19937288066788814</v>
      </c>
      <c r="P171" s="2" t="str">
        <f t="shared" si="26"/>
        <v>Over</v>
      </c>
    </row>
    <row r="172" spans="1:16">
      <c r="A172" s="2">
        <f>IF(Participant_Data!A172="","",Participant_Data!A172)</f>
        <v>171</v>
      </c>
      <c r="B172" s="2" t="str">
        <f>IF(Participant_Data!B172="","",Participant_Data!B172)</f>
        <v/>
      </c>
      <c r="C172" s="3" t="str">
        <f>IF(Participant_Data!C172="","",Participant_Data!C172)</f>
        <v/>
      </c>
      <c r="D172" s="2">
        <f>IF(Participant_Data!F172="","",Participant_Data!F172)</f>
        <v>1</v>
      </c>
      <c r="E172" s="2">
        <f>IF(Participant_Data!AO172="","",Participant_Data!AO172)</f>
        <v>2</v>
      </c>
      <c r="F172" s="2">
        <f>IF(Participant_Data!AP172="","",Participant_Data!AP172)</f>
        <v>4</v>
      </c>
      <c r="G172" s="2">
        <f>IF(Participant_Data!AS172="","",Participant_Data!AS172)</f>
        <v>82</v>
      </c>
      <c r="H172" s="4">
        <f t="shared" si="18"/>
        <v>1.1869999999999998</v>
      </c>
      <c r="I172" s="4">
        <f t="shared" si="19"/>
        <v>1.403999999999999</v>
      </c>
      <c r="J172" s="4">
        <f t="shared" si="20"/>
        <v>3.2772347408456235</v>
      </c>
      <c r="K172" s="4">
        <f t="shared" si="21"/>
        <v>4.0714532516105404</v>
      </c>
      <c r="L172" s="4">
        <f t="shared" si="22"/>
        <v>8.3486879924561634</v>
      </c>
      <c r="M172" s="25">
        <f t="shared" si="23"/>
        <v>0.11977929956223007</v>
      </c>
      <c r="N172" s="25">
        <f t="shared" si="24"/>
        <v>0.39254488175949537</v>
      </c>
      <c r="O172" s="25">
        <f t="shared" si="25"/>
        <v>0.48767581867827459</v>
      </c>
      <c r="P172" s="2" t="str">
        <f t="shared" si="26"/>
        <v>Normal</v>
      </c>
    </row>
    <row r="173" spans="1:16">
      <c r="A173" s="2">
        <f>IF(Participant_Data!A173="","",Participant_Data!A173)</f>
        <v>172</v>
      </c>
      <c r="B173" s="2" t="str">
        <f>IF(Participant_Data!B173="","",Participant_Data!B173)</f>
        <v/>
      </c>
      <c r="C173" s="3" t="str">
        <f>IF(Participant_Data!C173="","",Participant_Data!C173)</f>
        <v/>
      </c>
      <c r="D173" s="2">
        <f>IF(Participant_Data!F173="","",Participant_Data!F173)</f>
        <v>1</v>
      </c>
      <c r="E173" s="2">
        <f>IF(Participant_Data!AO173="","",Participant_Data!AO173)</f>
        <v>8</v>
      </c>
      <c r="F173" s="2">
        <f>IF(Participant_Data!AP173="","",Participant_Data!AP173)</f>
        <v>4</v>
      </c>
      <c r="G173" s="2">
        <f>IF(Participant_Data!AS173="","",Participant_Data!AS173)</f>
        <v>70</v>
      </c>
      <c r="H173" s="4">
        <f t="shared" si="18"/>
        <v>-2.8869999999999982</v>
      </c>
      <c r="I173" s="4">
        <f t="shared" si="19"/>
        <v>-0.62999999999999989</v>
      </c>
      <c r="J173" s="4">
        <f t="shared" si="20"/>
        <v>5.5743191592555009E-2</v>
      </c>
      <c r="K173" s="4">
        <f t="shared" si="21"/>
        <v>0.53259180100689729</v>
      </c>
      <c r="L173" s="4">
        <f t="shared" si="22"/>
        <v>1.5883349925994523</v>
      </c>
      <c r="M173" s="25">
        <f t="shared" si="23"/>
        <v>0.62959010829536066</v>
      </c>
      <c r="N173" s="25">
        <f t="shared" si="24"/>
        <v>3.5095362031485743E-2</v>
      </c>
      <c r="O173" s="25">
        <f t="shared" si="25"/>
        <v>0.33531452967315362</v>
      </c>
      <c r="P173" s="2" t="str">
        <f t="shared" si="26"/>
        <v>Under</v>
      </c>
    </row>
    <row r="174" spans="1:16">
      <c r="A174" s="2">
        <f>IF(Participant_Data!A174="","",Participant_Data!A174)</f>
        <v>173</v>
      </c>
      <c r="B174" s="2" t="str">
        <f>IF(Participant_Data!B174="","",Participant_Data!B174)</f>
        <v/>
      </c>
      <c r="C174" s="3" t="str">
        <f>IF(Participant_Data!C174="","",Participant_Data!C174)</f>
        <v/>
      </c>
      <c r="D174" s="2">
        <f>IF(Participant_Data!F174="","",Participant_Data!F174)</f>
        <v>1</v>
      </c>
      <c r="E174" s="2">
        <f>IF(Participant_Data!AO174="","",Participant_Data!AO174)</f>
        <v>8</v>
      </c>
      <c r="F174" s="2">
        <f>IF(Participant_Data!AP174="","",Participant_Data!AP174)</f>
        <v>8</v>
      </c>
      <c r="G174" s="2">
        <f>IF(Participant_Data!AS174="","",Participant_Data!AS174)</f>
        <v>93</v>
      </c>
      <c r="H174" s="4">
        <f t="shared" si="18"/>
        <v>3.6320000000000037</v>
      </c>
      <c r="I174" s="4">
        <f t="shared" si="19"/>
        <v>1.6890000000000009</v>
      </c>
      <c r="J174" s="4">
        <f t="shared" si="20"/>
        <v>37.788317726358393</v>
      </c>
      <c r="K174" s="4">
        <f t="shared" si="21"/>
        <v>5.414063933263412</v>
      </c>
      <c r="L174" s="4">
        <f t="shared" si="22"/>
        <v>44.202381659621807</v>
      </c>
      <c r="M174" s="25">
        <f t="shared" si="23"/>
        <v>2.2623215366548554E-2</v>
      </c>
      <c r="N174" s="25">
        <f t="shared" si="24"/>
        <v>0.85489325026297025</v>
      </c>
      <c r="O174" s="25">
        <f t="shared" si="25"/>
        <v>0.12248353437048112</v>
      </c>
      <c r="P174" s="2" t="str">
        <f t="shared" si="26"/>
        <v>Over</v>
      </c>
    </row>
    <row r="175" spans="1:16">
      <c r="A175" s="2">
        <f>IF(Participant_Data!A175="","",Participant_Data!A175)</f>
        <v>174</v>
      </c>
      <c r="B175" s="2" t="str">
        <f>IF(Participant_Data!B175="","",Participant_Data!B175)</f>
        <v/>
      </c>
      <c r="C175" s="3" t="str">
        <f>IF(Participant_Data!C175="","",Participant_Data!C175)</f>
        <v/>
      </c>
      <c r="D175" s="2">
        <f>IF(Participant_Data!F175="","",Participant_Data!F175)</f>
        <v>1</v>
      </c>
      <c r="E175" s="2">
        <f>IF(Participant_Data!AO175="","",Participant_Data!AO175)</f>
        <v>10</v>
      </c>
      <c r="F175" s="2">
        <f>IF(Participant_Data!AP175="","",Participant_Data!AP175)</f>
        <v>6</v>
      </c>
      <c r="G175" s="2">
        <f>IF(Participant_Data!AS175="","",Participant_Data!AS175)</f>
        <v>88</v>
      </c>
      <c r="H175" s="4">
        <f t="shared" si="18"/>
        <v>2.6789999999999972</v>
      </c>
      <c r="I175" s="4">
        <f t="shared" si="19"/>
        <v>1.836000000000003</v>
      </c>
      <c r="J175" s="4">
        <f t="shared" si="20"/>
        <v>14.570515492701274</v>
      </c>
      <c r="K175" s="4">
        <f t="shared" si="21"/>
        <v>6.2714024131926918</v>
      </c>
      <c r="L175" s="4">
        <f t="shared" si="22"/>
        <v>21.841917905893965</v>
      </c>
      <c r="M175" s="25">
        <f t="shared" si="23"/>
        <v>4.578352525215533E-2</v>
      </c>
      <c r="N175" s="25">
        <f t="shared" si="24"/>
        <v>0.66708956399700925</v>
      </c>
      <c r="O175" s="25">
        <f t="shared" si="25"/>
        <v>0.28712691075083546</v>
      </c>
      <c r="P175" s="2" t="str">
        <f t="shared" si="26"/>
        <v>Over</v>
      </c>
    </row>
    <row r="176" spans="1:16">
      <c r="A176" s="2">
        <f>IF(Participant_Data!A176="","",Participant_Data!A176)</f>
        <v>175</v>
      </c>
      <c r="B176" s="2" t="str">
        <f>IF(Participant_Data!B176="","",Participant_Data!B176)</f>
        <v/>
      </c>
      <c r="C176" s="3" t="str">
        <f>IF(Participant_Data!C176="","",Participant_Data!C176)</f>
        <v/>
      </c>
      <c r="D176" s="2">
        <f>IF(Participant_Data!F176="","",Participant_Data!F176)</f>
        <v>1</v>
      </c>
      <c r="E176" s="2">
        <f>IF(Participant_Data!AO176="","",Participant_Data!AO176)</f>
        <v>6</v>
      </c>
      <c r="F176" s="2">
        <f>IF(Participant_Data!AP176="","",Participant_Data!AP176)</f>
        <v>6</v>
      </c>
      <c r="G176" s="2">
        <f>IF(Participant_Data!AS176="","",Participant_Data!AS176)</f>
        <v>72</v>
      </c>
      <c r="H176" s="4">
        <f t="shared" si="18"/>
        <v>-2.9809999999999994</v>
      </c>
      <c r="I176" s="4">
        <f t="shared" si="19"/>
        <v>-1.3439999999999985</v>
      </c>
      <c r="J176" s="4">
        <f t="shared" si="20"/>
        <v>5.0742066418987208E-2</v>
      </c>
      <c r="K176" s="4">
        <f t="shared" si="21"/>
        <v>0.26080037788112403</v>
      </c>
      <c r="L176" s="4">
        <f t="shared" si="22"/>
        <v>1.3115424443001114</v>
      </c>
      <c r="M176" s="25">
        <f t="shared" si="23"/>
        <v>0.76246102773565805</v>
      </c>
      <c r="N176" s="25">
        <f t="shared" si="24"/>
        <v>3.8688848111252012E-2</v>
      </c>
      <c r="O176" s="25">
        <f t="shared" si="25"/>
        <v>0.19885012415308981</v>
      </c>
      <c r="P176" s="2" t="str">
        <f t="shared" si="26"/>
        <v>Under</v>
      </c>
    </row>
    <row r="177" spans="1:16">
      <c r="A177" s="2">
        <f>IF(Participant_Data!A177="","",Participant_Data!A177)</f>
        <v>176</v>
      </c>
      <c r="B177" s="2" t="str">
        <f>IF(Participant_Data!B177="","",Participant_Data!B177)</f>
        <v/>
      </c>
      <c r="C177" s="3" t="str">
        <f>IF(Participant_Data!C177="","",Participant_Data!C177)</f>
        <v/>
      </c>
      <c r="D177" s="2">
        <f>IF(Participant_Data!F177="","",Participant_Data!F177)</f>
        <v>1</v>
      </c>
      <c r="E177" s="2">
        <f>IF(Participant_Data!AO177="","",Participant_Data!AO177)</f>
        <v>8</v>
      </c>
      <c r="F177" s="2">
        <f>IF(Participant_Data!AP177="","",Participant_Data!AP177)</f>
        <v>6</v>
      </c>
      <c r="G177" s="2">
        <f>IF(Participant_Data!AS177="","",Participant_Data!AS177)</f>
        <v>97.5</v>
      </c>
      <c r="H177" s="4">
        <f t="shared" si="18"/>
        <v>5.9564999999999966</v>
      </c>
      <c r="I177" s="4">
        <f t="shared" si="19"/>
        <v>3.5534999999999988</v>
      </c>
      <c r="J177" s="4">
        <f t="shared" si="20"/>
        <v>386.25586014758534</v>
      </c>
      <c r="K177" s="4">
        <f t="shared" si="21"/>
        <v>34.93537757936619</v>
      </c>
      <c r="L177" s="4">
        <f t="shared" si="22"/>
        <v>422.1912377269515</v>
      </c>
      <c r="M177" s="25">
        <f t="shared" si="23"/>
        <v>2.3685948703813255E-3</v>
      </c>
      <c r="N177" s="25">
        <f t="shared" si="24"/>
        <v>0.91488364900029717</v>
      </c>
      <c r="O177" s="25">
        <f t="shared" si="25"/>
        <v>8.2747756129321517E-2</v>
      </c>
      <c r="P177" s="2" t="str">
        <f t="shared" si="26"/>
        <v>Over</v>
      </c>
    </row>
    <row r="178" spans="1:16">
      <c r="A178" s="2">
        <f>IF(Participant_Data!A178="","",Participant_Data!A178)</f>
        <v>177</v>
      </c>
      <c r="B178" s="2" t="str">
        <f>IF(Participant_Data!B178="","",Participant_Data!B178)</f>
        <v/>
      </c>
      <c r="C178" s="3" t="str">
        <f>IF(Participant_Data!C178="","",Participant_Data!C178)</f>
        <v/>
      </c>
      <c r="D178" s="2">
        <f>IF(Participant_Data!F178="","",Participant_Data!F178)</f>
        <v>1</v>
      </c>
      <c r="E178" s="2">
        <f>IF(Participant_Data!AO178="","",Participant_Data!AO178)</f>
        <v>6</v>
      </c>
      <c r="F178" s="2">
        <f>IF(Participant_Data!AP178="","",Participant_Data!AP178)</f>
        <v>4</v>
      </c>
      <c r="G178" s="2">
        <f>IF(Participant_Data!AS178="","",Participant_Data!AS178)</f>
        <v>80</v>
      </c>
      <c r="H178" s="4">
        <f t="shared" si="18"/>
        <v>0.56499999999999995</v>
      </c>
      <c r="I178" s="4">
        <f t="shared" si="19"/>
        <v>1.1820000000000013</v>
      </c>
      <c r="J178" s="4">
        <f t="shared" si="20"/>
        <v>1.7594477827218149</v>
      </c>
      <c r="K178" s="4">
        <f t="shared" si="21"/>
        <v>3.2608894643851962</v>
      </c>
      <c r="L178" s="4">
        <f t="shared" si="22"/>
        <v>6.0203372471070118</v>
      </c>
      <c r="M178" s="25">
        <f t="shared" si="23"/>
        <v>0.1661036514990146</v>
      </c>
      <c r="N178" s="25">
        <f t="shared" si="24"/>
        <v>0.29225070133193831</v>
      </c>
      <c r="O178" s="25">
        <f t="shared" si="25"/>
        <v>0.54164564716904695</v>
      </c>
      <c r="P178" s="2" t="str">
        <f t="shared" si="26"/>
        <v>Normal</v>
      </c>
    </row>
    <row r="179" spans="1:16">
      <c r="A179" s="2">
        <f>IF(Participant_Data!A179="","",Participant_Data!A179)</f>
        <v>178</v>
      </c>
      <c r="B179" s="2" t="str">
        <f>IF(Participant_Data!B179="","",Participant_Data!B179)</f>
        <v/>
      </c>
      <c r="C179" s="3" t="str">
        <f>IF(Participant_Data!C179="","",Participant_Data!C179)</f>
        <v/>
      </c>
      <c r="D179" s="2">
        <f>IF(Participant_Data!F179="","",Participant_Data!F179)</f>
        <v>1</v>
      </c>
      <c r="E179" s="2">
        <f>IF(Participant_Data!AO179="","",Participant_Data!AO179)</f>
        <v>8</v>
      </c>
      <c r="F179" s="2">
        <f>IF(Participant_Data!AP179="","",Participant_Data!AP179)</f>
        <v>4</v>
      </c>
      <c r="G179" s="2">
        <f>IF(Participant_Data!AS179="","",Participant_Data!AS179)</f>
        <v>69.5</v>
      </c>
      <c r="H179" s="4">
        <f t="shared" si="18"/>
        <v>-3.0615000000000001</v>
      </c>
      <c r="I179" s="4">
        <f t="shared" si="19"/>
        <v>-0.72449999999999992</v>
      </c>
      <c r="J179" s="4">
        <f t="shared" si="20"/>
        <v>4.6817416399451181E-2</v>
      </c>
      <c r="K179" s="4">
        <f t="shared" si="21"/>
        <v>0.48456679179050266</v>
      </c>
      <c r="L179" s="4">
        <f t="shared" si="22"/>
        <v>1.5313842081899538</v>
      </c>
      <c r="M179" s="25">
        <f t="shared" si="23"/>
        <v>0.6530039911943244</v>
      </c>
      <c r="N179" s="25">
        <f t="shared" si="24"/>
        <v>3.0571959766248238E-2</v>
      </c>
      <c r="O179" s="25">
        <f t="shared" si="25"/>
        <v>0.31642404903942739</v>
      </c>
      <c r="P179" s="2" t="str">
        <f t="shared" si="26"/>
        <v>Under</v>
      </c>
    </row>
    <row r="180" spans="1:16">
      <c r="A180" s="2">
        <f>IF(Participant_Data!A180="","",Participant_Data!A180)</f>
        <v>179</v>
      </c>
      <c r="B180" s="2" t="str">
        <f>IF(Participant_Data!B180="","",Participant_Data!B180)</f>
        <v/>
      </c>
      <c r="C180" s="3" t="str">
        <f>IF(Participant_Data!C180="","",Participant_Data!C180)</f>
        <v/>
      </c>
      <c r="D180" s="2">
        <f>IF(Participant_Data!F180="","",Participant_Data!F180)</f>
        <v>1</v>
      </c>
      <c r="E180" s="2">
        <f>IF(Participant_Data!AO180="","",Participant_Data!AO180)</f>
        <v>12</v>
      </c>
      <c r="F180" s="2">
        <f>IF(Participant_Data!AP180="","",Participant_Data!AP180)</f>
        <v>6</v>
      </c>
      <c r="G180" s="2">
        <f>IF(Participant_Data!AS180="","",Participant_Data!AS180)</f>
        <v>82.5</v>
      </c>
      <c r="H180" s="4">
        <f t="shared" si="18"/>
        <v>0.7974999999999981</v>
      </c>
      <c r="I180" s="4">
        <f t="shared" si="19"/>
        <v>0.87450000000000028</v>
      </c>
      <c r="J180" s="4">
        <f t="shared" si="20"/>
        <v>2.2199840251945746</v>
      </c>
      <c r="K180" s="4">
        <f t="shared" si="21"/>
        <v>2.3976761561295565</v>
      </c>
      <c r="L180" s="4">
        <f t="shared" si="22"/>
        <v>5.6176601813241316</v>
      </c>
      <c r="M180" s="25">
        <f t="shared" si="23"/>
        <v>0.17801005538293191</v>
      </c>
      <c r="N180" s="25">
        <f t="shared" si="24"/>
        <v>0.39517947927411035</v>
      </c>
      <c r="O180" s="25">
        <f t="shared" si="25"/>
        <v>0.42681046534295769</v>
      </c>
      <c r="P180" s="2" t="str">
        <f t="shared" si="26"/>
        <v>Normal</v>
      </c>
    </row>
    <row r="181" spans="1:16">
      <c r="A181" s="2">
        <f>IF(Participant_Data!A181="","",Participant_Data!A181)</f>
        <v>180</v>
      </c>
      <c r="B181" s="2" t="str">
        <f>IF(Participant_Data!B181="","",Participant_Data!B181)</f>
        <v/>
      </c>
      <c r="C181" s="3" t="str">
        <f>IF(Participant_Data!C181="","",Participant_Data!C181)</f>
        <v/>
      </c>
      <c r="D181" s="2">
        <f>IF(Participant_Data!F181="","",Participant_Data!F181)</f>
        <v>1</v>
      </c>
      <c r="E181" s="2">
        <f>IF(Participant_Data!AO181="","",Participant_Data!AO181)</f>
        <v>6</v>
      </c>
      <c r="F181" s="2">
        <f>IF(Participant_Data!AP181="","",Participant_Data!AP181)</f>
        <v>4</v>
      </c>
      <c r="G181" s="2">
        <f>IF(Participant_Data!AS181="","",Participant_Data!AS181)</f>
        <v>85.5</v>
      </c>
      <c r="H181" s="4">
        <f t="shared" si="18"/>
        <v>2.4844999999999993</v>
      </c>
      <c r="I181" s="4">
        <f t="shared" si="19"/>
        <v>2.2215000000000016</v>
      </c>
      <c r="J181" s="4">
        <f t="shared" si="20"/>
        <v>11.995121194593811</v>
      </c>
      <c r="K181" s="4">
        <f t="shared" si="21"/>
        <v>9.2211522256093801</v>
      </c>
      <c r="L181" s="4">
        <f t="shared" si="22"/>
        <v>22.216273420203191</v>
      </c>
      <c r="M181" s="25">
        <f t="shared" si="23"/>
        <v>4.501204954970589E-2</v>
      </c>
      <c r="N181" s="25">
        <f t="shared" si="24"/>
        <v>0.53992498956578394</v>
      </c>
      <c r="O181" s="25">
        <f t="shared" si="25"/>
        <v>0.41506296088451017</v>
      </c>
      <c r="P181" s="2" t="str">
        <f t="shared" si="26"/>
        <v>Over</v>
      </c>
    </row>
    <row r="182" spans="1:16">
      <c r="A182" s="2">
        <f>IF(Participant_Data!A182="","",Participant_Data!A182)</f>
        <v>181</v>
      </c>
      <c r="B182" s="2" t="str">
        <f>IF(Participant_Data!B182="","",Participant_Data!B182)</f>
        <v/>
      </c>
      <c r="C182" s="3" t="str">
        <f>IF(Participant_Data!C182="","",Participant_Data!C182)</f>
        <v/>
      </c>
      <c r="D182" s="2">
        <f>IF(Participant_Data!F182="","",Participant_Data!F182)</f>
        <v>1</v>
      </c>
      <c r="E182" s="2">
        <f>IF(Participant_Data!AO182="","",Participant_Data!AO182)</f>
        <v>4</v>
      </c>
      <c r="F182" s="2">
        <f>IF(Participant_Data!AP182="","",Participant_Data!AP182)</f>
        <v>4</v>
      </c>
      <c r="G182" s="2">
        <f>IF(Participant_Data!AS182="","",Participant_Data!AS182)</f>
        <v>77</v>
      </c>
      <c r="H182" s="4">
        <f t="shared" si="18"/>
        <v>-0.52000000000000091</v>
      </c>
      <c r="I182" s="4">
        <f t="shared" si="19"/>
        <v>0.5370000000000017</v>
      </c>
      <c r="J182" s="4">
        <f t="shared" si="20"/>
        <v>0.59452054797019382</v>
      </c>
      <c r="K182" s="4">
        <f t="shared" si="21"/>
        <v>1.7108665559129439</v>
      </c>
      <c r="L182" s="4">
        <f t="shared" si="22"/>
        <v>3.3053871038831377</v>
      </c>
      <c r="M182" s="25">
        <f t="shared" si="23"/>
        <v>0.30253642571098838</v>
      </c>
      <c r="N182" s="25">
        <f t="shared" si="24"/>
        <v>0.17986412159464066</v>
      </c>
      <c r="O182" s="25">
        <f t="shared" si="25"/>
        <v>0.51759945269437091</v>
      </c>
      <c r="P182" s="2" t="str">
        <f t="shared" si="26"/>
        <v>Normal</v>
      </c>
    </row>
    <row r="183" spans="1:16">
      <c r="A183" s="2">
        <f>IF(Participant_Data!A183="","",Participant_Data!A183)</f>
        <v>182</v>
      </c>
      <c r="B183" s="2" t="str">
        <f>IF(Participant_Data!B183="","",Participant_Data!B183)</f>
        <v/>
      </c>
      <c r="C183" s="3" t="str">
        <f>IF(Participant_Data!C183="","",Participant_Data!C183)</f>
        <v/>
      </c>
      <c r="D183" s="2">
        <f>IF(Participant_Data!F183="","",Participant_Data!F183)</f>
        <v>1</v>
      </c>
      <c r="E183" s="2">
        <f>IF(Participant_Data!AO183="","",Participant_Data!AO183)</f>
        <v>8</v>
      </c>
      <c r="F183" s="2">
        <f>IF(Participant_Data!AP183="","",Participant_Data!AP183)</f>
        <v>8</v>
      </c>
      <c r="G183" s="2">
        <f>IF(Participant_Data!AS183="","",Participant_Data!AS183)</f>
        <v>94.5</v>
      </c>
      <c r="H183" s="4">
        <f t="shared" si="18"/>
        <v>4.1555000000000017</v>
      </c>
      <c r="I183" s="4">
        <f t="shared" si="19"/>
        <v>1.972500000000001</v>
      </c>
      <c r="J183" s="4">
        <f t="shared" si="20"/>
        <v>63.783848500410841</v>
      </c>
      <c r="K183" s="4">
        <f t="shared" si="21"/>
        <v>7.188625606616827</v>
      </c>
      <c r="L183" s="4">
        <f t="shared" si="22"/>
        <v>71.972474107027665</v>
      </c>
      <c r="M183" s="25">
        <f t="shared" si="23"/>
        <v>1.3894200698352208E-2</v>
      </c>
      <c r="N183" s="25">
        <f t="shared" si="24"/>
        <v>0.88622559237799969</v>
      </c>
      <c r="O183" s="25">
        <f t="shared" si="25"/>
        <v>9.9880206923648088E-2</v>
      </c>
      <c r="P183" s="2" t="str">
        <f t="shared" si="26"/>
        <v>Over</v>
      </c>
    </row>
    <row r="184" spans="1:16">
      <c r="A184" s="2">
        <f>IF(Participant_Data!A184="","",Participant_Data!A184)</f>
        <v>183</v>
      </c>
      <c r="B184" s="2" t="str">
        <f>IF(Participant_Data!B184="","",Participant_Data!B184)</f>
        <v/>
      </c>
      <c r="C184" s="3" t="str">
        <f>IF(Participant_Data!C184="","",Participant_Data!C184)</f>
        <v/>
      </c>
      <c r="D184" s="2">
        <f>IF(Participant_Data!F184="","",Participant_Data!F184)</f>
        <v>1</v>
      </c>
      <c r="E184" s="2">
        <f>IF(Participant_Data!AO184="","",Participant_Data!AO184)</f>
        <v>6</v>
      </c>
      <c r="F184" s="2">
        <f>IF(Participant_Data!AP184="","",Participant_Data!AP184)</f>
        <v>4</v>
      </c>
      <c r="G184" s="2">
        <f>IF(Participant_Data!AS184="","",Participant_Data!AS184)</f>
        <v>80</v>
      </c>
      <c r="H184" s="4">
        <f t="shared" si="18"/>
        <v>0.56499999999999995</v>
      </c>
      <c r="I184" s="4">
        <f t="shared" si="19"/>
        <v>1.1820000000000013</v>
      </c>
      <c r="J184" s="4">
        <f t="shared" si="20"/>
        <v>1.7594477827218149</v>
      </c>
      <c r="K184" s="4">
        <f t="shared" si="21"/>
        <v>3.2608894643851962</v>
      </c>
      <c r="L184" s="4">
        <f t="shared" si="22"/>
        <v>6.0203372471070118</v>
      </c>
      <c r="M184" s="25">
        <f t="shared" si="23"/>
        <v>0.1661036514990146</v>
      </c>
      <c r="N184" s="25">
        <f t="shared" si="24"/>
        <v>0.29225070133193831</v>
      </c>
      <c r="O184" s="25">
        <f t="shared" si="25"/>
        <v>0.54164564716904695</v>
      </c>
      <c r="P184" s="2" t="str">
        <f t="shared" si="26"/>
        <v>Normal</v>
      </c>
    </row>
    <row r="185" spans="1:16">
      <c r="A185" s="2">
        <f>IF(Participant_Data!A185="","",Participant_Data!A185)</f>
        <v>184</v>
      </c>
      <c r="B185" s="2" t="str">
        <f>IF(Participant_Data!B185="","",Participant_Data!B185)</f>
        <v/>
      </c>
      <c r="C185" s="3" t="str">
        <f>IF(Participant_Data!C185="","",Participant_Data!C185)</f>
        <v/>
      </c>
      <c r="D185" s="2">
        <f>IF(Participant_Data!F185="","",Participant_Data!F185)</f>
        <v>1</v>
      </c>
      <c r="E185" s="2">
        <f>IF(Participant_Data!AO185="","",Participant_Data!AO185)</f>
        <v>4</v>
      </c>
      <c r="F185" s="2">
        <f>IF(Participant_Data!AP185="","",Participant_Data!AP185)</f>
        <v>10</v>
      </c>
      <c r="G185" s="2">
        <f>IF(Participant_Data!AS185="","",Participant_Data!AS185)</f>
        <v>63</v>
      </c>
      <c r="H185" s="4">
        <f t="shared" si="18"/>
        <v>-7.668000000000001</v>
      </c>
      <c r="I185" s="4">
        <f t="shared" si="19"/>
        <v>-5.1509999999999989</v>
      </c>
      <c r="J185" s="4">
        <f t="shared" si="20"/>
        <v>4.6755199320861981E-4</v>
      </c>
      <c r="K185" s="4">
        <f t="shared" si="21"/>
        <v>5.7936082208513446E-3</v>
      </c>
      <c r="L185" s="4">
        <f t="shared" si="22"/>
        <v>1.0062611602140601</v>
      </c>
      <c r="M185" s="25">
        <f t="shared" si="23"/>
        <v>0.99377779798961119</v>
      </c>
      <c r="N185" s="25">
        <f t="shared" si="24"/>
        <v>4.6464279025651585E-4</v>
      </c>
      <c r="O185" s="25">
        <f t="shared" si="25"/>
        <v>5.7575592201321579E-3</v>
      </c>
      <c r="P185" s="2" t="str">
        <f t="shared" si="26"/>
        <v>Under</v>
      </c>
    </row>
    <row r="186" spans="1:16">
      <c r="A186" s="2">
        <f>IF(Participant_Data!A186="","",Participant_Data!A186)</f>
        <v>185</v>
      </c>
      <c r="B186" s="2" t="str">
        <f>IF(Participant_Data!B186="","",Participant_Data!B186)</f>
        <v/>
      </c>
      <c r="C186" s="3" t="str">
        <f>IF(Participant_Data!C186="","",Participant_Data!C186)</f>
        <v/>
      </c>
      <c r="D186" s="2">
        <f>IF(Participant_Data!F186="","",Participant_Data!F186)</f>
        <v>1</v>
      </c>
      <c r="E186" s="2">
        <f>IF(Participant_Data!AO186="","",Participant_Data!AO186)</f>
        <v>6</v>
      </c>
      <c r="F186" s="2">
        <f>IF(Participant_Data!AP186="","",Participant_Data!AP186)</f>
        <v>8</v>
      </c>
      <c r="G186" s="2">
        <f>IF(Participant_Data!AS186="","",Participant_Data!AS186)</f>
        <v>68.5</v>
      </c>
      <c r="H186" s="4">
        <f t="shared" si="18"/>
        <v>-4.9565000000000037</v>
      </c>
      <c r="I186" s="4">
        <f t="shared" si="19"/>
        <v>-3.0194999999999999</v>
      </c>
      <c r="J186" s="4">
        <f t="shared" si="20"/>
        <v>7.0375160843395151E-3</v>
      </c>
      <c r="K186" s="4">
        <f t="shared" si="21"/>
        <v>4.8825625072363085E-2</v>
      </c>
      <c r="L186" s="4">
        <f t="shared" si="22"/>
        <v>1.0558631411567025</v>
      </c>
      <c r="M186" s="25">
        <f t="shared" si="23"/>
        <v>0.94709244126515846</v>
      </c>
      <c r="N186" s="25">
        <f t="shared" si="24"/>
        <v>6.6651782887599299E-3</v>
      </c>
      <c r="O186" s="25">
        <f t="shared" si="25"/>
        <v>4.6242380446081685E-2</v>
      </c>
      <c r="P186" s="2" t="str">
        <f t="shared" si="26"/>
        <v>Under</v>
      </c>
    </row>
    <row r="187" spans="1:16">
      <c r="A187" s="2">
        <f>IF(Participant_Data!A187="","",Participant_Data!A187)</f>
        <v>186</v>
      </c>
      <c r="B187" s="2" t="str">
        <f>IF(Participant_Data!B187="","",Participant_Data!B187)</f>
        <v/>
      </c>
      <c r="C187" s="3" t="str">
        <f>IF(Participant_Data!C187="","",Participant_Data!C187)</f>
        <v/>
      </c>
      <c r="D187" s="2">
        <f>IF(Participant_Data!F187="","",Participant_Data!F187)</f>
        <v>1</v>
      </c>
      <c r="E187" s="2">
        <f>IF(Participant_Data!AO187="","",Participant_Data!AO187)</f>
        <v>10</v>
      </c>
      <c r="F187" s="2">
        <f>IF(Participant_Data!AP187="","",Participant_Data!AP187)</f>
        <v>6</v>
      </c>
      <c r="G187" s="2">
        <f>IF(Participant_Data!AS187="","",Participant_Data!AS187)</f>
        <v>78</v>
      </c>
      <c r="H187" s="4">
        <f t="shared" si="18"/>
        <v>-0.81100000000000128</v>
      </c>
      <c r="I187" s="4">
        <f t="shared" si="19"/>
        <v>-5.3999999999997605E-2</v>
      </c>
      <c r="J187" s="4">
        <f t="shared" si="20"/>
        <v>0.44441343051162624</v>
      </c>
      <c r="K187" s="4">
        <f t="shared" si="21"/>
        <v>0.94743210650180054</v>
      </c>
      <c r="L187" s="4">
        <f t="shared" si="22"/>
        <v>2.3918455370134266</v>
      </c>
      <c r="M187" s="25">
        <f t="shared" si="23"/>
        <v>0.41808719857748344</v>
      </c>
      <c r="N187" s="25">
        <f t="shared" si="24"/>
        <v>0.1858035661728149</v>
      </c>
      <c r="O187" s="25">
        <f t="shared" si="25"/>
        <v>0.39610923524970171</v>
      </c>
      <c r="P187" s="2" t="str">
        <f t="shared" si="26"/>
        <v>Under</v>
      </c>
    </row>
    <row r="188" spans="1:16">
      <c r="A188" s="2">
        <f>IF(Participant_Data!A188="","",Participant_Data!A188)</f>
        <v>187</v>
      </c>
      <c r="B188" s="2" t="str">
        <f>IF(Participant_Data!B188="","",Participant_Data!B188)</f>
        <v/>
      </c>
      <c r="C188" s="3" t="str">
        <f>IF(Participant_Data!C188="","",Participant_Data!C188)</f>
        <v/>
      </c>
      <c r="D188" s="2">
        <f>IF(Participant_Data!F188="","",Participant_Data!F188)</f>
        <v>1</v>
      </c>
      <c r="E188" s="2">
        <f>IF(Participant_Data!AO188="","",Participant_Data!AO188)</f>
        <v>14</v>
      </c>
      <c r="F188" s="2">
        <f>IF(Participant_Data!AP188="","",Participant_Data!AP188)</f>
        <v>10</v>
      </c>
      <c r="G188" s="2">
        <f>IF(Participant_Data!AS188="","",Participant_Data!AS188)</f>
        <v>106</v>
      </c>
      <c r="H188" s="4">
        <f t="shared" si="18"/>
        <v>7.5289999999999981</v>
      </c>
      <c r="I188" s="4">
        <f t="shared" si="19"/>
        <v>3.3659999999999988</v>
      </c>
      <c r="J188" s="4">
        <f t="shared" si="20"/>
        <v>1861.2433292952658</v>
      </c>
      <c r="K188" s="4">
        <f t="shared" si="21"/>
        <v>28.962445267921279</v>
      </c>
      <c r="L188" s="4">
        <f t="shared" si="22"/>
        <v>1891.2057745631871</v>
      </c>
      <c r="M188" s="25">
        <f t="shared" si="23"/>
        <v>5.2876319089654349E-4</v>
      </c>
      <c r="N188" s="25">
        <f t="shared" si="24"/>
        <v>0.98415696183307089</v>
      </c>
      <c r="O188" s="25">
        <f t="shared" si="25"/>
        <v>1.5314274976032553E-2</v>
      </c>
      <c r="P188" s="2" t="str">
        <f t="shared" si="26"/>
        <v>Over</v>
      </c>
    </row>
    <row r="189" spans="1:16">
      <c r="A189" s="2">
        <f>IF(Participant_Data!A189="","",Participant_Data!A189)</f>
        <v>188</v>
      </c>
      <c r="B189" s="2" t="str">
        <f>IF(Participant_Data!B189="","",Participant_Data!B189)</f>
        <v/>
      </c>
      <c r="C189" s="3" t="str">
        <f>IF(Participant_Data!C189="","",Participant_Data!C189)</f>
        <v/>
      </c>
      <c r="D189" s="2">
        <f>IF(Participant_Data!F189="","",Participant_Data!F189)</f>
        <v>1</v>
      </c>
      <c r="E189" s="2">
        <f>IF(Participant_Data!AO189="","",Participant_Data!AO189)</f>
        <v>8</v>
      </c>
      <c r="F189" s="2">
        <f>IF(Participant_Data!AP189="","",Participant_Data!AP189)</f>
        <v>4</v>
      </c>
      <c r="G189" s="2">
        <f>IF(Participant_Data!AS189="","",Participant_Data!AS189)</f>
        <v>84</v>
      </c>
      <c r="H189" s="4">
        <f t="shared" si="18"/>
        <v>1.999000000000001</v>
      </c>
      <c r="I189" s="4">
        <f t="shared" si="19"/>
        <v>2.0159999999999991</v>
      </c>
      <c r="J189" s="4">
        <f t="shared" si="20"/>
        <v>7.3816707361285747</v>
      </c>
      <c r="K189" s="4">
        <f t="shared" si="21"/>
        <v>7.5082318601982827</v>
      </c>
      <c r="L189" s="4">
        <f t="shared" si="22"/>
        <v>15.889902596326857</v>
      </c>
      <c r="M189" s="25">
        <f t="shared" si="23"/>
        <v>6.2933047823160476E-2</v>
      </c>
      <c r="N189" s="25">
        <f t="shared" si="24"/>
        <v>0.46455103745160381</v>
      </c>
      <c r="O189" s="25">
        <f t="shared" si="25"/>
        <v>0.47251591472523569</v>
      </c>
      <c r="P189" s="2" t="str">
        <f t="shared" si="26"/>
        <v>Normal</v>
      </c>
    </row>
    <row r="190" spans="1:16">
      <c r="A190" s="2">
        <f>IF(Participant_Data!A190="","",Participant_Data!A190)</f>
        <v>189</v>
      </c>
      <c r="B190" s="2" t="str">
        <f>IF(Participant_Data!B190="","",Participant_Data!B190)</f>
        <v/>
      </c>
      <c r="C190" s="3" t="str">
        <f>IF(Participant_Data!C190="","",Participant_Data!C190)</f>
        <v/>
      </c>
      <c r="D190" s="2">
        <f>IF(Participant_Data!F190="","",Participant_Data!F190)</f>
        <v>1</v>
      </c>
      <c r="E190" s="2">
        <f>IF(Participant_Data!AO190="","",Participant_Data!AO190)</f>
        <v>6</v>
      </c>
      <c r="F190" s="2">
        <f>IF(Participant_Data!AP190="","",Participant_Data!AP190)</f>
        <v>4</v>
      </c>
      <c r="G190" s="2">
        <f>IF(Participant_Data!AS190="","",Participant_Data!AS190)</f>
        <v>90</v>
      </c>
      <c r="H190" s="4">
        <f t="shared" si="18"/>
        <v>4.0549999999999979</v>
      </c>
      <c r="I190" s="4">
        <f t="shared" si="19"/>
        <v>3.0720000000000018</v>
      </c>
      <c r="J190" s="4">
        <f t="shared" si="20"/>
        <v>57.685162996162951</v>
      </c>
      <c r="K190" s="4">
        <f t="shared" si="21"/>
        <v>21.585029592894717</v>
      </c>
      <c r="L190" s="4">
        <f t="shared" si="22"/>
        <v>80.270192589057672</v>
      </c>
      <c r="M190" s="25">
        <f t="shared" si="23"/>
        <v>1.2457924514015912E-2</v>
      </c>
      <c r="N190" s="25">
        <f t="shared" si="24"/>
        <v>0.71863740618490202</v>
      </c>
      <c r="O190" s="25">
        <f t="shared" si="25"/>
        <v>0.26890466930108203</v>
      </c>
      <c r="P190" s="2" t="str">
        <f t="shared" si="26"/>
        <v>Over</v>
      </c>
    </row>
    <row r="191" spans="1:16">
      <c r="A191" s="2">
        <f>IF(Participant_Data!A191="","",Participant_Data!A191)</f>
        <v>190</v>
      </c>
      <c r="B191" s="2" t="str">
        <f>IF(Participant_Data!B191="","",Participant_Data!B191)</f>
        <v/>
      </c>
      <c r="C191" s="3" t="str">
        <f>IF(Participant_Data!C191="","",Participant_Data!C191)</f>
        <v/>
      </c>
      <c r="D191" s="2">
        <f>IF(Participant_Data!F191="","",Participant_Data!F191)</f>
        <v>1</v>
      </c>
      <c r="E191" s="2">
        <f>IF(Participant_Data!AO191="","",Participant_Data!AO191)</f>
        <v>12</v>
      </c>
      <c r="F191" s="2">
        <f>IF(Participant_Data!AP191="","",Participant_Data!AP191)</f>
        <v>6</v>
      </c>
      <c r="G191" s="2">
        <f>IF(Participant_Data!AS191="","",Participant_Data!AS191)</f>
        <v>97</v>
      </c>
      <c r="H191" s="4">
        <f t="shared" si="18"/>
        <v>5.8579999999999952</v>
      </c>
      <c r="I191" s="4">
        <f t="shared" si="19"/>
        <v>3.6149999999999993</v>
      </c>
      <c r="J191" s="4">
        <f t="shared" si="20"/>
        <v>350.0233967127615</v>
      </c>
      <c r="K191" s="4">
        <f t="shared" si="21"/>
        <v>37.151345925646503</v>
      </c>
      <c r="L191" s="4">
        <f t="shared" si="22"/>
        <v>388.17474263840802</v>
      </c>
      <c r="M191" s="25">
        <f t="shared" si="23"/>
        <v>2.576159368852905E-3</v>
      </c>
      <c r="N191" s="25">
        <f t="shared" si="24"/>
        <v>0.90171605275929756</v>
      </c>
      <c r="O191" s="25">
        <f t="shared" si="25"/>
        <v>9.5707787871849428E-2</v>
      </c>
      <c r="P191" s="2" t="str">
        <f t="shared" si="26"/>
        <v>Over</v>
      </c>
    </row>
    <row r="192" spans="1:16">
      <c r="A192" s="2">
        <f>IF(Participant_Data!A192="","",Participant_Data!A192)</f>
        <v>191</v>
      </c>
      <c r="B192" s="2" t="str">
        <f>IF(Participant_Data!B192="","",Participant_Data!B192)</f>
        <v/>
      </c>
      <c r="C192" s="3" t="str">
        <f>IF(Participant_Data!C192="","",Participant_Data!C192)</f>
        <v/>
      </c>
      <c r="D192" s="2">
        <f>IF(Participant_Data!F192="","",Participant_Data!F192)</f>
        <v>1</v>
      </c>
      <c r="E192" s="2">
        <f>IF(Participant_Data!AO192="","",Participant_Data!AO192)</f>
        <v>10</v>
      </c>
      <c r="F192" s="2">
        <f>IF(Participant_Data!AP192="","",Participant_Data!AP192)</f>
        <v>6</v>
      </c>
      <c r="G192" s="2">
        <f>IF(Participant_Data!AS192="","",Participant_Data!AS192)</f>
        <v>95</v>
      </c>
      <c r="H192" s="4">
        <f t="shared" si="18"/>
        <v>5.1220000000000017</v>
      </c>
      <c r="I192" s="4">
        <f t="shared" si="19"/>
        <v>3.1590000000000034</v>
      </c>
      <c r="J192" s="4">
        <f t="shared" si="20"/>
        <v>167.67037525431124</v>
      </c>
      <c r="K192" s="4">
        <f t="shared" si="21"/>
        <v>23.547037114509649</v>
      </c>
      <c r="L192" s="4">
        <f t="shared" si="22"/>
        <v>192.21741236882087</v>
      </c>
      <c r="M192" s="25">
        <f t="shared" si="23"/>
        <v>5.2024423161062573E-3</v>
      </c>
      <c r="N192" s="25">
        <f t="shared" si="24"/>
        <v>0.87229545538044428</v>
      </c>
      <c r="O192" s="25">
        <f t="shared" si="25"/>
        <v>0.12250210230344959</v>
      </c>
      <c r="P192" s="2" t="str">
        <f t="shared" si="26"/>
        <v>Over</v>
      </c>
    </row>
    <row r="193" spans="1:16">
      <c r="A193" s="2">
        <f>IF(Participant_Data!A193="","",Participant_Data!A193)</f>
        <v>192</v>
      </c>
      <c r="B193" s="2" t="str">
        <f>IF(Participant_Data!B193="","",Participant_Data!B193)</f>
        <v/>
      </c>
      <c r="C193" s="3" t="str">
        <f>IF(Participant_Data!C193="","",Participant_Data!C193)</f>
        <v/>
      </c>
      <c r="D193" s="2">
        <f>IF(Participant_Data!F193="","",Participant_Data!F193)</f>
        <v>1</v>
      </c>
      <c r="E193" s="2">
        <f>IF(Participant_Data!AO193="","",Participant_Data!AO193)</f>
        <v>10</v>
      </c>
      <c r="F193" s="2">
        <f>IF(Participant_Data!AP193="","",Participant_Data!AP193)</f>
        <v>4</v>
      </c>
      <c r="G193" s="2">
        <f>IF(Participant_Data!AS193="","",Participant_Data!AS193)</f>
        <v>75</v>
      </c>
      <c r="H193" s="4">
        <f t="shared" si="18"/>
        <v>-1.1040000000000005</v>
      </c>
      <c r="I193" s="4">
        <f t="shared" si="19"/>
        <v>0.39300000000000157</v>
      </c>
      <c r="J193" s="4">
        <f t="shared" si="20"/>
        <v>0.33154225878487953</v>
      </c>
      <c r="K193" s="4">
        <f t="shared" si="21"/>
        <v>1.4814183893292667</v>
      </c>
      <c r="L193" s="4">
        <f t="shared" si="22"/>
        <v>2.8129606481141463</v>
      </c>
      <c r="M193" s="25">
        <f t="shared" si="23"/>
        <v>0.35549733007122442</v>
      </c>
      <c r="N193" s="25">
        <f t="shared" si="24"/>
        <v>0.11786238780380762</v>
      </c>
      <c r="O193" s="25">
        <f t="shared" si="25"/>
        <v>0.52664028212496794</v>
      </c>
      <c r="P193" s="2" t="str">
        <f t="shared" si="26"/>
        <v>Normal</v>
      </c>
    </row>
    <row r="194" spans="1:16">
      <c r="A194" s="2">
        <f>IF(Participant_Data!A194="","",Participant_Data!A194)</f>
        <v>193</v>
      </c>
      <c r="B194" s="2" t="str">
        <f>IF(Participant_Data!B194="","",Participant_Data!B194)</f>
        <v/>
      </c>
      <c r="C194" s="3" t="str">
        <f>IF(Participant_Data!C194="","",Participant_Data!C194)</f>
        <v/>
      </c>
      <c r="D194" s="2">
        <f>IF(Participant_Data!F194="","",Participant_Data!F194)</f>
        <v>1</v>
      </c>
      <c r="E194" s="2">
        <f>IF(Participant_Data!AO194="","",Participant_Data!AO194)</f>
        <v>6</v>
      </c>
      <c r="F194" s="2">
        <f>IF(Participant_Data!AP194="","",Participant_Data!AP194)</f>
        <v>6</v>
      </c>
      <c r="G194" s="2">
        <f>IF(Participant_Data!AS194="","",Participant_Data!AS194)</f>
        <v>69</v>
      </c>
      <c r="H194" s="4">
        <f t="shared" ref="H194:H257" si="27">IF(OR(D194="",E194="",F194="",G194=""),"", -23.625 + 0.019*E194 - 0.377*F194 + 0.349*G194 - 2.336*D194)</f>
        <v>-4.0280000000000005</v>
      </c>
      <c r="I194" s="4">
        <f t="shared" ref="I194:I257" si="28">IF(OR(D194="",E194="",F194="",G194=""),"", -9.655 + 0.039*E194 - 0.507*F194 + 0.189*G194 - 2.489*D194)</f>
        <v>-1.9109999999999987</v>
      </c>
      <c r="J194" s="4">
        <f t="shared" ref="J194:J257" si="29">IF(H194="","",EXP(H194))</f>
        <v>1.7809914185937626E-2</v>
      </c>
      <c r="K194" s="4">
        <f t="shared" ref="K194:K257" si="30">IF(I194="","",EXP(I194))</f>
        <v>0.14793238022438659</v>
      </c>
      <c r="L194" s="4">
        <f t="shared" ref="L194:L257" si="31">IF(OR(J194="",K194=""),"",1+J194+K194)</f>
        <v>1.1657422944103242</v>
      </c>
      <c r="M194" s="25">
        <f t="shared" ref="M194:M257" si="32">IF(L194="","",1/L194)</f>
        <v>0.85782252629500522</v>
      </c>
      <c r="N194" s="25">
        <f t="shared" ref="N194:N257" si="33">IF(L194="","",J194/L194)</f>
        <v>1.5277745580078265E-2</v>
      </c>
      <c r="O194" s="25">
        <f t="shared" ref="O194:O257" si="34">IF(L194="","",K194/L194)</f>
        <v>0.12689972812491657</v>
      </c>
      <c r="P194" s="2" t="str">
        <f t="shared" ref="P194:P257" si="35">IF(OR(M194="",N194="",O194=""),"",IF(M194=MAX(M194:O194),"Under",IF(N194=MAX(M194:O194),"Over","Normal")))</f>
        <v>Under</v>
      </c>
    </row>
    <row r="195" spans="1:16">
      <c r="A195" s="2">
        <f>IF(Participant_Data!A195="","",Participant_Data!A195)</f>
        <v>194</v>
      </c>
      <c r="B195" s="2" t="str">
        <f>IF(Participant_Data!B195="","",Participant_Data!B195)</f>
        <v/>
      </c>
      <c r="C195" s="3" t="str">
        <f>IF(Participant_Data!C195="","",Participant_Data!C195)</f>
        <v/>
      </c>
      <c r="D195" s="2">
        <f>IF(Participant_Data!F195="","",Participant_Data!F195)</f>
        <v>1</v>
      </c>
      <c r="E195" s="2">
        <f>IF(Participant_Data!AO195="","",Participant_Data!AO195)</f>
        <v>6</v>
      </c>
      <c r="F195" s="2">
        <f>IF(Participant_Data!AP195="","",Participant_Data!AP195)</f>
        <v>4</v>
      </c>
      <c r="G195" s="2">
        <f>IF(Participant_Data!AS195="","",Participant_Data!AS195)</f>
        <v>90</v>
      </c>
      <c r="H195" s="4">
        <f t="shared" si="27"/>
        <v>4.0549999999999979</v>
      </c>
      <c r="I195" s="4">
        <f t="shared" si="28"/>
        <v>3.0720000000000018</v>
      </c>
      <c r="J195" s="4">
        <f t="shared" si="29"/>
        <v>57.685162996162951</v>
      </c>
      <c r="K195" s="4">
        <f t="shared" si="30"/>
        <v>21.585029592894717</v>
      </c>
      <c r="L195" s="4">
        <f t="shared" si="31"/>
        <v>80.270192589057672</v>
      </c>
      <c r="M195" s="25">
        <f t="shared" si="32"/>
        <v>1.2457924514015912E-2</v>
      </c>
      <c r="N195" s="25">
        <f t="shared" si="33"/>
        <v>0.71863740618490202</v>
      </c>
      <c r="O195" s="25">
        <f t="shared" si="34"/>
        <v>0.26890466930108203</v>
      </c>
      <c r="P195" s="2" t="str">
        <f t="shared" si="35"/>
        <v>Over</v>
      </c>
    </row>
    <row r="196" spans="1:16">
      <c r="A196" s="2">
        <f>IF(Participant_Data!A196="","",Participant_Data!A196)</f>
        <v>195</v>
      </c>
      <c r="B196" s="2" t="str">
        <f>IF(Participant_Data!B196="","",Participant_Data!B196)</f>
        <v/>
      </c>
      <c r="C196" s="3" t="str">
        <f>IF(Participant_Data!C196="","",Participant_Data!C196)</f>
        <v/>
      </c>
      <c r="D196" s="2">
        <f>IF(Participant_Data!F196="","",Participant_Data!F196)</f>
        <v>1</v>
      </c>
      <c r="E196" s="2">
        <f>IF(Participant_Data!AO196="","",Participant_Data!AO196)</f>
        <v>4</v>
      </c>
      <c r="F196" s="2">
        <f>IF(Participant_Data!AP196="","",Participant_Data!AP196)</f>
        <v>4</v>
      </c>
      <c r="G196" s="2">
        <f>IF(Participant_Data!AS196="","",Participant_Data!AS196)</f>
        <v>85</v>
      </c>
      <c r="H196" s="4">
        <f t="shared" si="27"/>
        <v>2.2720000000000007</v>
      </c>
      <c r="I196" s="4">
        <f t="shared" si="28"/>
        <v>2.0490000000000022</v>
      </c>
      <c r="J196" s="4">
        <f t="shared" si="29"/>
        <v>9.6987789874149453</v>
      </c>
      <c r="K196" s="4">
        <f t="shared" si="30"/>
        <v>7.760137087856708</v>
      </c>
      <c r="L196" s="4">
        <f t="shared" si="31"/>
        <v>18.458916075271652</v>
      </c>
      <c r="M196" s="25">
        <f t="shared" si="32"/>
        <v>5.4174361913896039E-2</v>
      </c>
      <c r="N196" s="25">
        <f t="shared" si="33"/>
        <v>0.5254251629871074</v>
      </c>
      <c r="O196" s="25">
        <f t="shared" si="34"/>
        <v>0.42040047509899658</v>
      </c>
      <c r="P196" s="2" t="str">
        <f t="shared" si="35"/>
        <v>Over</v>
      </c>
    </row>
    <row r="197" spans="1:16">
      <c r="A197" s="2">
        <f>IF(Participant_Data!A197="","",Participant_Data!A197)</f>
        <v>196</v>
      </c>
      <c r="B197" s="2" t="str">
        <f>IF(Participant_Data!B197="","",Participant_Data!B197)</f>
        <v/>
      </c>
      <c r="C197" s="3" t="str">
        <f>IF(Participant_Data!C197="","",Participant_Data!C197)</f>
        <v/>
      </c>
      <c r="D197" s="2">
        <f>IF(Participant_Data!F197="","",Participant_Data!F197)</f>
        <v>1</v>
      </c>
      <c r="E197" s="2">
        <f>IF(Participant_Data!AO197="","",Participant_Data!AO197)</f>
        <v>4</v>
      </c>
      <c r="F197" s="2">
        <f>IF(Participant_Data!AP197="","",Participant_Data!AP197)</f>
        <v>6</v>
      </c>
      <c r="G197" s="2">
        <f>IF(Participant_Data!AS197="","",Participant_Data!AS197)</f>
        <v>80</v>
      </c>
      <c r="H197" s="4">
        <f t="shared" si="27"/>
        <v>-0.22700000000000164</v>
      </c>
      <c r="I197" s="4">
        <f t="shared" si="28"/>
        <v>9.0000000000002522E-2</v>
      </c>
      <c r="J197" s="4">
        <f t="shared" si="29"/>
        <v>0.7969207822901383</v>
      </c>
      <c r="K197" s="4">
        <f t="shared" si="30"/>
        <v>1.0941742837052131</v>
      </c>
      <c r="L197" s="4">
        <f t="shared" si="31"/>
        <v>2.8910950659953514</v>
      </c>
      <c r="M197" s="25">
        <f t="shared" si="32"/>
        <v>0.345889698253737</v>
      </c>
      <c r="N197" s="25">
        <f t="shared" si="33"/>
        <v>0.275646688918468</v>
      </c>
      <c r="O197" s="25">
        <f t="shared" si="34"/>
        <v>0.378463612827795</v>
      </c>
      <c r="P197" s="2" t="str">
        <f t="shared" si="35"/>
        <v>Normal</v>
      </c>
    </row>
    <row r="198" spans="1:16">
      <c r="A198" s="2">
        <f>IF(Participant_Data!A198="","",Participant_Data!A198)</f>
        <v>197</v>
      </c>
      <c r="B198" s="2" t="str">
        <f>IF(Participant_Data!B198="","",Participant_Data!B198)</f>
        <v/>
      </c>
      <c r="C198" s="3" t="str">
        <f>IF(Participant_Data!C198="","",Participant_Data!C198)</f>
        <v/>
      </c>
      <c r="D198" s="2">
        <f>IF(Participant_Data!F198="","",Participant_Data!F198)</f>
        <v>1</v>
      </c>
      <c r="E198" s="2">
        <f>IF(Participant_Data!AO198="","",Participant_Data!AO198)</f>
        <v>10</v>
      </c>
      <c r="F198" s="2">
        <f>IF(Participant_Data!AP198="","",Participant_Data!AP198)</f>
        <v>6</v>
      </c>
      <c r="G198" s="2">
        <f>IF(Participant_Data!AS198="","",Participant_Data!AS198)</f>
        <v>88</v>
      </c>
      <c r="H198" s="4">
        <f t="shared" si="27"/>
        <v>2.6789999999999972</v>
      </c>
      <c r="I198" s="4">
        <f t="shared" si="28"/>
        <v>1.836000000000003</v>
      </c>
      <c r="J198" s="4">
        <f t="shared" si="29"/>
        <v>14.570515492701274</v>
      </c>
      <c r="K198" s="4">
        <f t="shared" si="30"/>
        <v>6.2714024131926918</v>
      </c>
      <c r="L198" s="4">
        <f t="shared" si="31"/>
        <v>21.841917905893965</v>
      </c>
      <c r="M198" s="25">
        <f t="shared" si="32"/>
        <v>4.578352525215533E-2</v>
      </c>
      <c r="N198" s="25">
        <f t="shared" si="33"/>
        <v>0.66708956399700925</v>
      </c>
      <c r="O198" s="25">
        <f t="shared" si="34"/>
        <v>0.28712691075083546</v>
      </c>
      <c r="P198" s="2" t="str">
        <f t="shared" si="35"/>
        <v>Over</v>
      </c>
    </row>
    <row r="199" spans="1:16">
      <c r="A199" s="2">
        <f>IF(Participant_Data!A199="","",Participant_Data!A199)</f>
        <v>198</v>
      </c>
      <c r="B199" s="2" t="str">
        <f>IF(Participant_Data!B199="","",Participant_Data!B199)</f>
        <v/>
      </c>
      <c r="C199" s="3" t="str">
        <f>IF(Participant_Data!C199="","",Participant_Data!C199)</f>
        <v/>
      </c>
      <c r="D199" s="2">
        <f>IF(Participant_Data!F199="","",Participant_Data!F199)</f>
        <v>1</v>
      </c>
      <c r="E199" s="2">
        <f>IF(Participant_Data!AO199="","",Participant_Data!AO199)</f>
        <v>4</v>
      </c>
      <c r="F199" s="2">
        <f>IF(Participant_Data!AP199="","",Participant_Data!AP199)</f>
        <v>4</v>
      </c>
      <c r="G199" s="2">
        <f>IF(Participant_Data!AS199="","",Participant_Data!AS199)</f>
        <v>71.5</v>
      </c>
      <c r="H199" s="4">
        <f t="shared" si="27"/>
        <v>-2.4395000000000002</v>
      </c>
      <c r="I199" s="4">
        <f t="shared" si="28"/>
        <v>-0.50249999999999861</v>
      </c>
      <c r="J199" s="4">
        <f t="shared" si="29"/>
        <v>8.7204442784634781E-2</v>
      </c>
      <c r="K199" s="4">
        <f t="shared" si="30"/>
        <v>0.60501622689314405</v>
      </c>
      <c r="L199" s="4">
        <f t="shared" si="31"/>
        <v>1.6922206696777788</v>
      </c>
      <c r="M199" s="25">
        <f t="shared" si="32"/>
        <v>0.59093947847263517</v>
      </c>
      <c r="N199" s="25">
        <f t="shared" si="33"/>
        <v>5.1532547939648829E-2</v>
      </c>
      <c r="O199" s="25">
        <f t="shared" si="34"/>
        <v>0.35752797358771604</v>
      </c>
      <c r="P199" s="2" t="str">
        <f t="shared" si="35"/>
        <v>Under</v>
      </c>
    </row>
    <row r="200" spans="1:16">
      <c r="A200" s="2">
        <f>IF(Participant_Data!A200="","",Participant_Data!A200)</f>
        <v>199</v>
      </c>
      <c r="B200" s="2" t="str">
        <f>IF(Participant_Data!B200="","",Participant_Data!B200)</f>
        <v/>
      </c>
      <c r="C200" s="3" t="str">
        <f>IF(Participant_Data!C200="","",Participant_Data!C200)</f>
        <v/>
      </c>
      <c r="D200" s="2">
        <f>IF(Participant_Data!F200="","",Participant_Data!F200)</f>
        <v>1</v>
      </c>
      <c r="E200" s="2">
        <f>IF(Participant_Data!AO200="","",Participant_Data!AO200)</f>
        <v>6</v>
      </c>
      <c r="F200" s="2">
        <f>IF(Participant_Data!AP200="","",Participant_Data!AP200)</f>
        <v>4</v>
      </c>
      <c r="G200" s="2">
        <f>IF(Participant_Data!AS200="","",Participant_Data!AS200)</f>
        <v>74</v>
      </c>
      <c r="H200" s="4">
        <f t="shared" si="27"/>
        <v>-1.5290000000000012</v>
      </c>
      <c r="I200" s="4">
        <f t="shared" si="28"/>
        <v>4.8000000000000931E-2</v>
      </c>
      <c r="J200" s="4">
        <f t="shared" si="29"/>
        <v>0.21675231128725475</v>
      </c>
      <c r="K200" s="4">
        <f t="shared" si="30"/>
        <v>1.0491706553244715</v>
      </c>
      <c r="L200" s="4">
        <f t="shared" si="31"/>
        <v>2.2659229666117264</v>
      </c>
      <c r="M200" s="25">
        <f t="shared" si="32"/>
        <v>0.44132126940542782</v>
      </c>
      <c r="N200" s="25">
        <f t="shared" si="33"/>
        <v>9.5657405163851711E-2</v>
      </c>
      <c r="O200" s="25">
        <f t="shared" si="34"/>
        <v>0.46302132543072039</v>
      </c>
      <c r="P200" s="2" t="str">
        <f t="shared" si="35"/>
        <v>Normal</v>
      </c>
    </row>
    <row r="201" spans="1:16">
      <c r="A201" s="2">
        <f>IF(Participant_Data!A201="","",Participant_Data!A201)</f>
        <v>200</v>
      </c>
      <c r="B201" s="2" t="str">
        <f>IF(Participant_Data!B201="","",Participant_Data!B201)</f>
        <v/>
      </c>
      <c r="C201" s="3" t="str">
        <f>IF(Participant_Data!C201="","",Participant_Data!C201)</f>
        <v/>
      </c>
      <c r="D201" s="2">
        <f>IF(Participant_Data!F201="","",Participant_Data!F201)</f>
        <v>1</v>
      </c>
      <c r="E201" s="2">
        <f>IF(Participant_Data!AO201="","",Participant_Data!AO201)</f>
        <v>4</v>
      </c>
      <c r="F201" s="2">
        <f>IF(Participant_Data!AP201="","",Participant_Data!AP201)</f>
        <v>4</v>
      </c>
      <c r="G201" s="2">
        <f>IF(Participant_Data!AS201="","",Participant_Data!AS201)</f>
        <v>88</v>
      </c>
      <c r="H201" s="4">
        <f t="shared" si="27"/>
        <v>3.3189999999999977</v>
      </c>
      <c r="I201" s="4">
        <f t="shared" si="28"/>
        <v>2.6160000000000023</v>
      </c>
      <c r="J201" s="4">
        <f t="shared" si="29"/>
        <v>27.632704033524544</v>
      </c>
      <c r="K201" s="4">
        <f t="shared" si="30"/>
        <v>13.680890430158337</v>
      </c>
      <c r="L201" s="4">
        <f t="shared" si="31"/>
        <v>42.313594463682882</v>
      </c>
      <c r="M201" s="25">
        <f t="shared" si="32"/>
        <v>2.3633066693454389E-2</v>
      </c>
      <c r="N201" s="25">
        <f t="shared" si="33"/>
        <v>0.65304553734477166</v>
      </c>
      <c r="O201" s="25">
        <f t="shared" si="34"/>
        <v>0.32332139596177389</v>
      </c>
      <c r="P201" s="2" t="str">
        <f t="shared" si="35"/>
        <v>Over</v>
      </c>
    </row>
    <row r="202" spans="1:16">
      <c r="A202" s="2">
        <f>IF(Participant_Data!A202="","",Participant_Data!A202)</f>
        <v>201</v>
      </c>
      <c r="B202" s="2" t="str">
        <f>IF(Participant_Data!B202="","",Participant_Data!B202)</f>
        <v/>
      </c>
      <c r="C202" s="3" t="str">
        <f>IF(Participant_Data!C202="","",Participant_Data!C202)</f>
        <v/>
      </c>
      <c r="D202" s="2" t="str">
        <f>IF(Participant_Data!F202="","",Participant_Data!F202)</f>
        <v/>
      </c>
      <c r="E202" s="2" t="str">
        <f>IF(Participant_Data!AO202="","",Participant_Data!AO202)</f>
        <v/>
      </c>
      <c r="F202" s="2" t="str">
        <f>IF(Participant_Data!AP202="","",Participant_Data!AP202)</f>
        <v/>
      </c>
      <c r="G202" s="2" t="str">
        <f>IF(Participant_Data!AS202="","",Participant_Data!AS202)</f>
        <v/>
      </c>
      <c r="H202" s="4" t="str">
        <f t="shared" si="27"/>
        <v/>
      </c>
      <c r="I202" s="4" t="str">
        <f t="shared" si="28"/>
        <v/>
      </c>
      <c r="J202" s="4" t="str">
        <f t="shared" si="29"/>
        <v/>
      </c>
      <c r="K202" s="4" t="str">
        <f t="shared" si="30"/>
        <v/>
      </c>
      <c r="L202" s="4" t="str">
        <f t="shared" si="31"/>
        <v/>
      </c>
      <c r="M202" s="25" t="str">
        <f t="shared" si="32"/>
        <v/>
      </c>
      <c r="N202" s="25" t="str">
        <f t="shared" si="33"/>
        <v/>
      </c>
      <c r="O202" s="25" t="str">
        <f t="shared" si="34"/>
        <v/>
      </c>
      <c r="P202" s="2" t="str">
        <f t="shared" si="35"/>
        <v/>
      </c>
    </row>
    <row r="203" spans="1:16">
      <c r="A203" s="2">
        <f>IF(Participant_Data!A203="","",Participant_Data!A203)</f>
        <v>202</v>
      </c>
      <c r="B203" s="2" t="str">
        <f>IF(Participant_Data!B203="","",Participant_Data!B203)</f>
        <v/>
      </c>
      <c r="C203" s="3" t="str">
        <f>IF(Participant_Data!C203="","",Participant_Data!C203)</f>
        <v/>
      </c>
      <c r="D203" s="2" t="str">
        <f>IF(Participant_Data!F203="","",Participant_Data!F203)</f>
        <v/>
      </c>
      <c r="E203" s="2" t="str">
        <f>IF(Participant_Data!AO203="","",Participant_Data!AO203)</f>
        <v/>
      </c>
      <c r="F203" s="2" t="str">
        <f>IF(Participant_Data!AP203="","",Participant_Data!AP203)</f>
        <v/>
      </c>
      <c r="G203" s="2" t="str">
        <f>IF(Participant_Data!AS203="","",Participant_Data!AS203)</f>
        <v/>
      </c>
      <c r="H203" s="4" t="str">
        <f t="shared" si="27"/>
        <v/>
      </c>
      <c r="I203" s="4" t="str">
        <f t="shared" si="28"/>
        <v/>
      </c>
      <c r="J203" s="4" t="str">
        <f t="shared" si="29"/>
        <v/>
      </c>
      <c r="K203" s="4" t="str">
        <f t="shared" si="30"/>
        <v/>
      </c>
      <c r="L203" s="4" t="str">
        <f t="shared" si="31"/>
        <v/>
      </c>
      <c r="M203" s="25" t="str">
        <f t="shared" si="32"/>
        <v/>
      </c>
      <c r="N203" s="25" t="str">
        <f t="shared" si="33"/>
        <v/>
      </c>
      <c r="O203" s="25" t="str">
        <f t="shared" si="34"/>
        <v/>
      </c>
      <c r="P203" s="2" t="str">
        <f t="shared" si="35"/>
        <v/>
      </c>
    </row>
    <row r="204" spans="1:16">
      <c r="A204" s="2">
        <f>IF(Participant_Data!A204="","",Participant_Data!A204)</f>
        <v>203</v>
      </c>
      <c r="B204" s="2" t="str">
        <f>IF(Participant_Data!B204="","",Participant_Data!B204)</f>
        <v/>
      </c>
      <c r="C204" s="3" t="str">
        <f>IF(Participant_Data!C204="","",Participant_Data!C204)</f>
        <v/>
      </c>
      <c r="D204" s="2" t="str">
        <f>IF(Participant_Data!F204="","",Participant_Data!F204)</f>
        <v/>
      </c>
      <c r="E204" s="2" t="str">
        <f>IF(Participant_Data!AO204="","",Participant_Data!AO204)</f>
        <v/>
      </c>
      <c r="F204" s="2" t="str">
        <f>IF(Participant_Data!AP204="","",Participant_Data!AP204)</f>
        <v/>
      </c>
      <c r="G204" s="2" t="str">
        <f>IF(Participant_Data!AS204="","",Participant_Data!AS204)</f>
        <v/>
      </c>
      <c r="H204" s="4" t="str">
        <f t="shared" si="27"/>
        <v/>
      </c>
      <c r="I204" s="4" t="str">
        <f t="shared" si="28"/>
        <v/>
      </c>
      <c r="J204" s="4" t="str">
        <f t="shared" si="29"/>
        <v/>
      </c>
      <c r="K204" s="4" t="str">
        <f t="shared" si="30"/>
        <v/>
      </c>
      <c r="L204" s="4" t="str">
        <f t="shared" si="31"/>
        <v/>
      </c>
      <c r="M204" s="25" t="str">
        <f t="shared" si="32"/>
        <v/>
      </c>
      <c r="N204" s="25" t="str">
        <f t="shared" si="33"/>
        <v/>
      </c>
      <c r="O204" s="25" t="str">
        <f t="shared" si="34"/>
        <v/>
      </c>
      <c r="P204" s="2" t="str">
        <f t="shared" si="35"/>
        <v/>
      </c>
    </row>
    <row r="205" spans="1:16">
      <c r="A205" s="2">
        <f>IF(Participant_Data!A205="","",Participant_Data!A205)</f>
        <v>204</v>
      </c>
      <c r="B205" s="2" t="str">
        <f>IF(Participant_Data!B205="","",Participant_Data!B205)</f>
        <v/>
      </c>
      <c r="C205" s="3" t="str">
        <f>IF(Participant_Data!C205="","",Participant_Data!C205)</f>
        <v/>
      </c>
      <c r="D205" s="2" t="str">
        <f>IF(Participant_Data!F205="","",Participant_Data!F205)</f>
        <v/>
      </c>
      <c r="E205" s="2" t="str">
        <f>IF(Participant_Data!AO205="","",Participant_Data!AO205)</f>
        <v/>
      </c>
      <c r="F205" s="2" t="str">
        <f>IF(Participant_Data!AP205="","",Participant_Data!AP205)</f>
        <v/>
      </c>
      <c r="G205" s="2" t="str">
        <f>IF(Participant_Data!AS205="","",Participant_Data!AS205)</f>
        <v/>
      </c>
      <c r="H205" s="4" t="str">
        <f t="shared" si="27"/>
        <v/>
      </c>
      <c r="I205" s="4" t="str">
        <f t="shared" si="28"/>
        <v/>
      </c>
      <c r="J205" s="4" t="str">
        <f t="shared" si="29"/>
        <v/>
      </c>
      <c r="K205" s="4" t="str">
        <f t="shared" si="30"/>
        <v/>
      </c>
      <c r="L205" s="4" t="str">
        <f t="shared" si="31"/>
        <v/>
      </c>
      <c r="M205" s="25" t="str">
        <f t="shared" si="32"/>
        <v/>
      </c>
      <c r="N205" s="25" t="str">
        <f t="shared" si="33"/>
        <v/>
      </c>
      <c r="O205" s="25" t="str">
        <f t="shared" si="34"/>
        <v/>
      </c>
      <c r="P205" s="2" t="str">
        <f t="shared" si="35"/>
        <v/>
      </c>
    </row>
    <row r="206" spans="1:16">
      <c r="A206" s="2">
        <f>IF(Participant_Data!A206="","",Participant_Data!A206)</f>
        <v>205</v>
      </c>
      <c r="B206" s="2" t="str">
        <f>IF(Participant_Data!B206="","",Participant_Data!B206)</f>
        <v/>
      </c>
      <c r="C206" s="3" t="str">
        <f>IF(Participant_Data!C206="","",Participant_Data!C206)</f>
        <v/>
      </c>
      <c r="D206" s="2" t="str">
        <f>IF(Participant_Data!F206="","",Participant_Data!F206)</f>
        <v/>
      </c>
      <c r="E206" s="2" t="str">
        <f>IF(Participant_Data!AO206="","",Participant_Data!AO206)</f>
        <v/>
      </c>
      <c r="F206" s="2" t="str">
        <f>IF(Participant_Data!AP206="","",Participant_Data!AP206)</f>
        <v/>
      </c>
      <c r="G206" s="2" t="str">
        <f>IF(Participant_Data!AS206="","",Participant_Data!AS206)</f>
        <v/>
      </c>
      <c r="H206" s="4" t="str">
        <f t="shared" si="27"/>
        <v/>
      </c>
      <c r="I206" s="4" t="str">
        <f t="shared" si="28"/>
        <v/>
      </c>
      <c r="J206" s="4" t="str">
        <f t="shared" si="29"/>
        <v/>
      </c>
      <c r="K206" s="4" t="str">
        <f t="shared" si="30"/>
        <v/>
      </c>
      <c r="L206" s="4" t="str">
        <f t="shared" si="31"/>
        <v/>
      </c>
      <c r="M206" s="25" t="str">
        <f t="shared" si="32"/>
        <v/>
      </c>
      <c r="N206" s="25" t="str">
        <f t="shared" si="33"/>
        <v/>
      </c>
      <c r="O206" s="25" t="str">
        <f t="shared" si="34"/>
        <v/>
      </c>
      <c r="P206" s="2" t="str">
        <f t="shared" si="35"/>
        <v/>
      </c>
    </row>
    <row r="207" spans="1:16">
      <c r="A207" s="2">
        <f>IF(Participant_Data!A207="","",Participant_Data!A207)</f>
        <v>206</v>
      </c>
      <c r="B207" s="2" t="str">
        <f>IF(Participant_Data!B207="","",Participant_Data!B207)</f>
        <v/>
      </c>
      <c r="C207" s="3" t="str">
        <f>IF(Participant_Data!C207="","",Participant_Data!C207)</f>
        <v/>
      </c>
      <c r="D207" s="2" t="str">
        <f>IF(Participant_Data!F207="","",Participant_Data!F207)</f>
        <v/>
      </c>
      <c r="E207" s="2" t="str">
        <f>IF(Participant_Data!AO207="","",Participant_Data!AO207)</f>
        <v/>
      </c>
      <c r="F207" s="2" t="str">
        <f>IF(Participant_Data!AP207="","",Participant_Data!AP207)</f>
        <v/>
      </c>
      <c r="G207" s="2" t="str">
        <f>IF(Participant_Data!AS207="","",Participant_Data!AS207)</f>
        <v/>
      </c>
      <c r="H207" s="4" t="str">
        <f t="shared" si="27"/>
        <v/>
      </c>
      <c r="I207" s="4" t="str">
        <f t="shared" si="28"/>
        <v/>
      </c>
      <c r="J207" s="4" t="str">
        <f t="shared" si="29"/>
        <v/>
      </c>
      <c r="K207" s="4" t="str">
        <f t="shared" si="30"/>
        <v/>
      </c>
      <c r="L207" s="4" t="str">
        <f t="shared" si="31"/>
        <v/>
      </c>
      <c r="M207" s="25" t="str">
        <f t="shared" si="32"/>
        <v/>
      </c>
      <c r="N207" s="25" t="str">
        <f t="shared" si="33"/>
        <v/>
      </c>
      <c r="O207" s="25" t="str">
        <f t="shared" si="34"/>
        <v/>
      </c>
      <c r="P207" s="2" t="str">
        <f t="shared" si="35"/>
        <v/>
      </c>
    </row>
    <row r="208" spans="1:16">
      <c r="A208" s="2">
        <f>IF(Participant_Data!A208="","",Participant_Data!A208)</f>
        <v>207</v>
      </c>
      <c r="B208" s="2" t="str">
        <f>IF(Participant_Data!B208="","",Participant_Data!B208)</f>
        <v/>
      </c>
      <c r="C208" s="3" t="str">
        <f>IF(Participant_Data!C208="","",Participant_Data!C208)</f>
        <v/>
      </c>
      <c r="D208" s="2" t="str">
        <f>IF(Participant_Data!F208="","",Participant_Data!F208)</f>
        <v/>
      </c>
      <c r="E208" s="2" t="str">
        <f>IF(Participant_Data!AO208="","",Participant_Data!AO208)</f>
        <v/>
      </c>
      <c r="F208" s="2" t="str">
        <f>IF(Participant_Data!AP208="","",Participant_Data!AP208)</f>
        <v/>
      </c>
      <c r="G208" s="2" t="str">
        <f>IF(Participant_Data!AS208="","",Participant_Data!AS208)</f>
        <v/>
      </c>
      <c r="H208" s="4" t="str">
        <f t="shared" si="27"/>
        <v/>
      </c>
      <c r="I208" s="4" t="str">
        <f t="shared" si="28"/>
        <v/>
      </c>
      <c r="J208" s="4" t="str">
        <f t="shared" si="29"/>
        <v/>
      </c>
      <c r="K208" s="4" t="str">
        <f t="shared" si="30"/>
        <v/>
      </c>
      <c r="L208" s="4" t="str">
        <f t="shared" si="31"/>
        <v/>
      </c>
      <c r="M208" s="25" t="str">
        <f t="shared" si="32"/>
        <v/>
      </c>
      <c r="N208" s="25" t="str">
        <f t="shared" si="33"/>
        <v/>
      </c>
      <c r="O208" s="25" t="str">
        <f t="shared" si="34"/>
        <v/>
      </c>
      <c r="P208" s="2" t="str">
        <f t="shared" si="35"/>
        <v/>
      </c>
    </row>
    <row r="209" spans="1:16">
      <c r="A209" s="2">
        <f>IF(Participant_Data!A209="","",Participant_Data!A209)</f>
        <v>208</v>
      </c>
      <c r="B209" s="2" t="str">
        <f>IF(Participant_Data!B209="","",Participant_Data!B209)</f>
        <v/>
      </c>
      <c r="C209" s="3" t="str">
        <f>IF(Participant_Data!C209="","",Participant_Data!C209)</f>
        <v/>
      </c>
      <c r="D209" s="2" t="str">
        <f>IF(Participant_Data!F209="","",Participant_Data!F209)</f>
        <v/>
      </c>
      <c r="E209" s="2" t="str">
        <f>IF(Participant_Data!AO209="","",Participant_Data!AO209)</f>
        <v/>
      </c>
      <c r="F209" s="2" t="str">
        <f>IF(Participant_Data!AP209="","",Participant_Data!AP209)</f>
        <v/>
      </c>
      <c r="G209" s="2" t="str">
        <f>IF(Participant_Data!AS209="","",Participant_Data!AS209)</f>
        <v/>
      </c>
      <c r="H209" s="4" t="str">
        <f t="shared" si="27"/>
        <v/>
      </c>
      <c r="I209" s="4" t="str">
        <f t="shared" si="28"/>
        <v/>
      </c>
      <c r="J209" s="4" t="str">
        <f t="shared" si="29"/>
        <v/>
      </c>
      <c r="K209" s="4" t="str">
        <f t="shared" si="30"/>
        <v/>
      </c>
      <c r="L209" s="4" t="str">
        <f t="shared" si="31"/>
        <v/>
      </c>
      <c r="M209" s="25" t="str">
        <f t="shared" si="32"/>
        <v/>
      </c>
      <c r="N209" s="25" t="str">
        <f t="shared" si="33"/>
        <v/>
      </c>
      <c r="O209" s="25" t="str">
        <f t="shared" si="34"/>
        <v/>
      </c>
      <c r="P209" s="2" t="str">
        <f t="shared" si="35"/>
        <v/>
      </c>
    </row>
    <row r="210" spans="1:16">
      <c r="A210" s="2">
        <f>IF(Participant_Data!A210="","",Participant_Data!A210)</f>
        <v>209</v>
      </c>
      <c r="B210" s="2" t="str">
        <f>IF(Participant_Data!B210="","",Participant_Data!B210)</f>
        <v/>
      </c>
      <c r="C210" s="3" t="str">
        <f>IF(Participant_Data!C210="","",Participant_Data!C210)</f>
        <v/>
      </c>
      <c r="D210" s="2" t="str">
        <f>IF(Participant_Data!F210="","",Participant_Data!F210)</f>
        <v/>
      </c>
      <c r="E210" s="2" t="str">
        <f>IF(Participant_Data!AO210="","",Participant_Data!AO210)</f>
        <v/>
      </c>
      <c r="F210" s="2" t="str">
        <f>IF(Participant_Data!AP210="","",Participant_Data!AP210)</f>
        <v/>
      </c>
      <c r="G210" s="2" t="str">
        <f>IF(Participant_Data!AS210="","",Participant_Data!AS210)</f>
        <v/>
      </c>
      <c r="H210" s="4" t="str">
        <f t="shared" si="27"/>
        <v/>
      </c>
      <c r="I210" s="4" t="str">
        <f t="shared" si="28"/>
        <v/>
      </c>
      <c r="J210" s="4" t="str">
        <f t="shared" si="29"/>
        <v/>
      </c>
      <c r="K210" s="4" t="str">
        <f t="shared" si="30"/>
        <v/>
      </c>
      <c r="L210" s="4" t="str">
        <f t="shared" si="31"/>
        <v/>
      </c>
      <c r="M210" s="25" t="str">
        <f t="shared" si="32"/>
        <v/>
      </c>
      <c r="N210" s="25" t="str">
        <f t="shared" si="33"/>
        <v/>
      </c>
      <c r="O210" s="25" t="str">
        <f t="shared" si="34"/>
        <v/>
      </c>
      <c r="P210" s="2" t="str">
        <f t="shared" si="35"/>
        <v/>
      </c>
    </row>
    <row r="211" spans="1:16">
      <c r="A211" s="2">
        <f>IF(Participant_Data!A211="","",Participant_Data!A211)</f>
        <v>210</v>
      </c>
      <c r="B211" s="2" t="str">
        <f>IF(Participant_Data!B211="","",Participant_Data!B211)</f>
        <v/>
      </c>
      <c r="C211" s="3" t="str">
        <f>IF(Participant_Data!C211="","",Participant_Data!C211)</f>
        <v/>
      </c>
      <c r="D211" s="2" t="str">
        <f>IF(Participant_Data!F211="","",Participant_Data!F211)</f>
        <v/>
      </c>
      <c r="E211" s="2" t="str">
        <f>IF(Participant_Data!AO211="","",Participant_Data!AO211)</f>
        <v/>
      </c>
      <c r="F211" s="2" t="str">
        <f>IF(Participant_Data!AP211="","",Participant_Data!AP211)</f>
        <v/>
      </c>
      <c r="G211" s="2" t="str">
        <f>IF(Participant_Data!AS211="","",Participant_Data!AS211)</f>
        <v/>
      </c>
      <c r="H211" s="4" t="str">
        <f t="shared" si="27"/>
        <v/>
      </c>
      <c r="I211" s="4" t="str">
        <f t="shared" si="28"/>
        <v/>
      </c>
      <c r="J211" s="4" t="str">
        <f t="shared" si="29"/>
        <v/>
      </c>
      <c r="K211" s="4" t="str">
        <f t="shared" si="30"/>
        <v/>
      </c>
      <c r="L211" s="4" t="str">
        <f t="shared" si="31"/>
        <v/>
      </c>
      <c r="M211" s="25" t="str">
        <f t="shared" si="32"/>
        <v/>
      </c>
      <c r="N211" s="25" t="str">
        <f t="shared" si="33"/>
        <v/>
      </c>
      <c r="O211" s="25" t="str">
        <f t="shared" si="34"/>
        <v/>
      </c>
      <c r="P211" s="2" t="str">
        <f t="shared" si="35"/>
        <v/>
      </c>
    </row>
    <row r="212" spans="1:16">
      <c r="A212" s="2">
        <f>IF(Participant_Data!A212="","",Participant_Data!A212)</f>
        <v>211</v>
      </c>
      <c r="B212" s="2" t="str">
        <f>IF(Participant_Data!B212="","",Participant_Data!B212)</f>
        <v/>
      </c>
      <c r="C212" s="3" t="str">
        <f>IF(Participant_Data!C212="","",Participant_Data!C212)</f>
        <v/>
      </c>
      <c r="D212" s="2" t="str">
        <f>IF(Participant_Data!F212="","",Participant_Data!F212)</f>
        <v/>
      </c>
      <c r="E212" s="2" t="str">
        <f>IF(Participant_Data!AO212="","",Participant_Data!AO212)</f>
        <v/>
      </c>
      <c r="F212" s="2" t="str">
        <f>IF(Participant_Data!AP212="","",Participant_Data!AP212)</f>
        <v/>
      </c>
      <c r="G212" s="2" t="str">
        <f>IF(Participant_Data!AS212="","",Participant_Data!AS212)</f>
        <v/>
      </c>
      <c r="H212" s="4" t="str">
        <f t="shared" si="27"/>
        <v/>
      </c>
      <c r="I212" s="4" t="str">
        <f t="shared" si="28"/>
        <v/>
      </c>
      <c r="J212" s="4" t="str">
        <f t="shared" si="29"/>
        <v/>
      </c>
      <c r="K212" s="4" t="str">
        <f t="shared" si="30"/>
        <v/>
      </c>
      <c r="L212" s="4" t="str">
        <f t="shared" si="31"/>
        <v/>
      </c>
      <c r="M212" s="25" t="str">
        <f t="shared" si="32"/>
        <v/>
      </c>
      <c r="N212" s="25" t="str">
        <f t="shared" si="33"/>
        <v/>
      </c>
      <c r="O212" s="25" t="str">
        <f t="shared" si="34"/>
        <v/>
      </c>
      <c r="P212" s="2" t="str">
        <f t="shared" si="35"/>
        <v/>
      </c>
    </row>
    <row r="213" spans="1:16">
      <c r="A213" s="2">
        <f>IF(Participant_Data!A213="","",Participant_Data!A213)</f>
        <v>212</v>
      </c>
      <c r="B213" s="2" t="str">
        <f>IF(Participant_Data!B213="","",Participant_Data!B213)</f>
        <v/>
      </c>
      <c r="C213" s="3" t="str">
        <f>IF(Participant_Data!C213="","",Participant_Data!C213)</f>
        <v/>
      </c>
      <c r="D213" s="2" t="str">
        <f>IF(Participant_Data!F213="","",Participant_Data!F213)</f>
        <v/>
      </c>
      <c r="E213" s="2" t="str">
        <f>IF(Participant_Data!AO213="","",Participant_Data!AO213)</f>
        <v/>
      </c>
      <c r="F213" s="2" t="str">
        <f>IF(Participant_Data!AP213="","",Participant_Data!AP213)</f>
        <v/>
      </c>
      <c r="G213" s="2" t="str">
        <f>IF(Participant_Data!AS213="","",Participant_Data!AS213)</f>
        <v/>
      </c>
      <c r="H213" s="4" t="str">
        <f t="shared" si="27"/>
        <v/>
      </c>
      <c r="I213" s="4" t="str">
        <f t="shared" si="28"/>
        <v/>
      </c>
      <c r="J213" s="4" t="str">
        <f t="shared" si="29"/>
        <v/>
      </c>
      <c r="K213" s="4" t="str">
        <f t="shared" si="30"/>
        <v/>
      </c>
      <c r="L213" s="4" t="str">
        <f t="shared" si="31"/>
        <v/>
      </c>
      <c r="M213" s="25" t="str">
        <f t="shared" si="32"/>
        <v/>
      </c>
      <c r="N213" s="25" t="str">
        <f t="shared" si="33"/>
        <v/>
      </c>
      <c r="O213" s="25" t="str">
        <f t="shared" si="34"/>
        <v/>
      </c>
      <c r="P213" s="2" t="str">
        <f t="shared" si="35"/>
        <v/>
      </c>
    </row>
    <row r="214" spans="1:16">
      <c r="A214" s="2">
        <f>IF(Participant_Data!A214="","",Participant_Data!A214)</f>
        <v>213</v>
      </c>
      <c r="B214" s="2" t="str">
        <f>IF(Participant_Data!B214="","",Participant_Data!B214)</f>
        <v/>
      </c>
      <c r="C214" s="3" t="str">
        <f>IF(Participant_Data!C214="","",Participant_Data!C214)</f>
        <v/>
      </c>
      <c r="D214" s="2" t="str">
        <f>IF(Participant_Data!F214="","",Participant_Data!F214)</f>
        <v/>
      </c>
      <c r="E214" s="2" t="str">
        <f>IF(Participant_Data!AO214="","",Participant_Data!AO214)</f>
        <v/>
      </c>
      <c r="F214" s="2" t="str">
        <f>IF(Participant_Data!AP214="","",Participant_Data!AP214)</f>
        <v/>
      </c>
      <c r="G214" s="2" t="str">
        <f>IF(Participant_Data!AS214="","",Participant_Data!AS214)</f>
        <v/>
      </c>
      <c r="H214" s="4" t="str">
        <f t="shared" si="27"/>
        <v/>
      </c>
      <c r="I214" s="4" t="str">
        <f t="shared" si="28"/>
        <v/>
      </c>
      <c r="J214" s="4" t="str">
        <f t="shared" si="29"/>
        <v/>
      </c>
      <c r="K214" s="4" t="str">
        <f t="shared" si="30"/>
        <v/>
      </c>
      <c r="L214" s="4" t="str">
        <f t="shared" si="31"/>
        <v/>
      </c>
      <c r="M214" s="25" t="str">
        <f t="shared" si="32"/>
        <v/>
      </c>
      <c r="N214" s="25" t="str">
        <f t="shared" si="33"/>
        <v/>
      </c>
      <c r="O214" s="25" t="str">
        <f t="shared" si="34"/>
        <v/>
      </c>
      <c r="P214" s="2" t="str">
        <f t="shared" si="35"/>
        <v/>
      </c>
    </row>
    <row r="215" spans="1:16">
      <c r="A215" s="2">
        <f>IF(Participant_Data!A215="","",Participant_Data!A215)</f>
        <v>214</v>
      </c>
      <c r="B215" s="2" t="str">
        <f>IF(Participant_Data!B215="","",Participant_Data!B215)</f>
        <v/>
      </c>
      <c r="C215" s="3" t="str">
        <f>IF(Participant_Data!C215="","",Participant_Data!C215)</f>
        <v/>
      </c>
      <c r="D215" s="2" t="str">
        <f>IF(Participant_Data!F215="","",Participant_Data!F215)</f>
        <v/>
      </c>
      <c r="E215" s="2" t="str">
        <f>IF(Participant_Data!AO215="","",Participant_Data!AO215)</f>
        <v/>
      </c>
      <c r="F215" s="2" t="str">
        <f>IF(Participant_Data!AP215="","",Participant_Data!AP215)</f>
        <v/>
      </c>
      <c r="G215" s="2" t="str">
        <f>IF(Participant_Data!AS215="","",Participant_Data!AS215)</f>
        <v/>
      </c>
      <c r="H215" s="4" t="str">
        <f t="shared" si="27"/>
        <v/>
      </c>
      <c r="I215" s="4" t="str">
        <f t="shared" si="28"/>
        <v/>
      </c>
      <c r="J215" s="4" t="str">
        <f t="shared" si="29"/>
        <v/>
      </c>
      <c r="K215" s="4" t="str">
        <f t="shared" si="30"/>
        <v/>
      </c>
      <c r="L215" s="4" t="str">
        <f t="shared" si="31"/>
        <v/>
      </c>
      <c r="M215" s="25" t="str">
        <f t="shared" si="32"/>
        <v/>
      </c>
      <c r="N215" s="25" t="str">
        <f t="shared" si="33"/>
        <v/>
      </c>
      <c r="O215" s="25" t="str">
        <f t="shared" si="34"/>
        <v/>
      </c>
      <c r="P215" s="2" t="str">
        <f t="shared" si="35"/>
        <v/>
      </c>
    </row>
    <row r="216" spans="1:16">
      <c r="A216" s="2">
        <f>IF(Participant_Data!A216="","",Participant_Data!A216)</f>
        <v>215</v>
      </c>
      <c r="B216" s="2" t="str">
        <f>IF(Participant_Data!B216="","",Participant_Data!B216)</f>
        <v/>
      </c>
      <c r="C216" s="3" t="str">
        <f>IF(Participant_Data!C216="","",Participant_Data!C216)</f>
        <v/>
      </c>
      <c r="D216" s="2" t="str">
        <f>IF(Participant_Data!F216="","",Participant_Data!F216)</f>
        <v/>
      </c>
      <c r="E216" s="2" t="str">
        <f>IF(Participant_Data!AO216="","",Participant_Data!AO216)</f>
        <v/>
      </c>
      <c r="F216" s="2" t="str">
        <f>IF(Participant_Data!AP216="","",Participant_Data!AP216)</f>
        <v/>
      </c>
      <c r="G216" s="2" t="str">
        <f>IF(Participant_Data!AS216="","",Participant_Data!AS216)</f>
        <v/>
      </c>
      <c r="H216" s="4" t="str">
        <f t="shared" si="27"/>
        <v/>
      </c>
      <c r="I216" s="4" t="str">
        <f t="shared" si="28"/>
        <v/>
      </c>
      <c r="J216" s="4" t="str">
        <f t="shared" si="29"/>
        <v/>
      </c>
      <c r="K216" s="4" t="str">
        <f t="shared" si="30"/>
        <v/>
      </c>
      <c r="L216" s="4" t="str">
        <f t="shared" si="31"/>
        <v/>
      </c>
      <c r="M216" s="25" t="str">
        <f t="shared" si="32"/>
        <v/>
      </c>
      <c r="N216" s="25" t="str">
        <f t="shared" si="33"/>
        <v/>
      </c>
      <c r="O216" s="25" t="str">
        <f t="shared" si="34"/>
        <v/>
      </c>
      <c r="P216" s="2" t="str">
        <f t="shared" si="35"/>
        <v/>
      </c>
    </row>
    <row r="217" spans="1:16">
      <c r="A217" s="2">
        <f>IF(Participant_Data!A217="","",Participant_Data!A217)</f>
        <v>216</v>
      </c>
      <c r="B217" s="2" t="str">
        <f>IF(Participant_Data!B217="","",Participant_Data!B217)</f>
        <v/>
      </c>
      <c r="C217" s="3" t="str">
        <f>IF(Participant_Data!C217="","",Participant_Data!C217)</f>
        <v/>
      </c>
      <c r="D217" s="2" t="str">
        <f>IF(Participant_Data!F217="","",Participant_Data!F217)</f>
        <v/>
      </c>
      <c r="E217" s="2" t="str">
        <f>IF(Participant_Data!AO217="","",Participant_Data!AO217)</f>
        <v/>
      </c>
      <c r="F217" s="2" t="str">
        <f>IF(Participant_Data!AP217="","",Participant_Data!AP217)</f>
        <v/>
      </c>
      <c r="G217" s="2" t="str">
        <f>IF(Participant_Data!AS217="","",Participant_Data!AS217)</f>
        <v/>
      </c>
      <c r="H217" s="4" t="str">
        <f t="shared" si="27"/>
        <v/>
      </c>
      <c r="I217" s="4" t="str">
        <f t="shared" si="28"/>
        <v/>
      </c>
      <c r="J217" s="4" t="str">
        <f t="shared" si="29"/>
        <v/>
      </c>
      <c r="K217" s="4" t="str">
        <f t="shared" si="30"/>
        <v/>
      </c>
      <c r="L217" s="4" t="str">
        <f t="shared" si="31"/>
        <v/>
      </c>
      <c r="M217" s="25" t="str">
        <f t="shared" si="32"/>
        <v/>
      </c>
      <c r="N217" s="25" t="str">
        <f t="shared" si="33"/>
        <v/>
      </c>
      <c r="O217" s="25" t="str">
        <f t="shared" si="34"/>
        <v/>
      </c>
      <c r="P217" s="2" t="str">
        <f t="shared" si="35"/>
        <v/>
      </c>
    </row>
    <row r="218" spans="1:16">
      <c r="A218" s="2">
        <f>IF(Participant_Data!A218="","",Participant_Data!A218)</f>
        <v>217</v>
      </c>
      <c r="B218" s="2" t="str">
        <f>IF(Participant_Data!B218="","",Participant_Data!B218)</f>
        <v/>
      </c>
      <c r="C218" s="3" t="str">
        <f>IF(Participant_Data!C218="","",Participant_Data!C218)</f>
        <v/>
      </c>
      <c r="D218" s="2" t="str">
        <f>IF(Participant_Data!F218="","",Participant_Data!F218)</f>
        <v/>
      </c>
      <c r="E218" s="2" t="str">
        <f>IF(Participant_Data!AO218="","",Participant_Data!AO218)</f>
        <v/>
      </c>
      <c r="F218" s="2" t="str">
        <f>IF(Participant_Data!AP218="","",Participant_Data!AP218)</f>
        <v/>
      </c>
      <c r="G218" s="2" t="str">
        <f>IF(Participant_Data!AS218="","",Participant_Data!AS218)</f>
        <v/>
      </c>
      <c r="H218" s="4" t="str">
        <f t="shared" si="27"/>
        <v/>
      </c>
      <c r="I218" s="4" t="str">
        <f t="shared" si="28"/>
        <v/>
      </c>
      <c r="J218" s="4" t="str">
        <f t="shared" si="29"/>
        <v/>
      </c>
      <c r="K218" s="4" t="str">
        <f t="shared" si="30"/>
        <v/>
      </c>
      <c r="L218" s="4" t="str">
        <f t="shared" si="31"/>
        <v/>
      </c>
      <c r="M218" s="25" t="str">
        <f t="shared" si="32"/>
        <v/>
      </c>
      <c r="N218" s="25" t="str">
        <f t="shared" si="33"/>
        <v/>
      </c>
      <c r="O218" s="25" t="str">
        <f t="shared" si="34"/>
        <v/>
      </c>
      <c r="P218" s="2" t="str">
        <f t="shared" si="35"/>
        <v/>
      </c>
    </row>
    <row r="219" spans="1:16">
      <c r="A219" s="2">
        <f>IF(Participant_Data!A219="","",Participant_Data!A219)</f>
        <v>218</v>
      </c>
      <c r="B219" s="2" t="str">
        <f>IF(Participant_Data!B219="","",Participant_Data!B219)</f>
        <v/>
      </c>
      <c r="C219" s="3" t="str">
        <f>IF(Participant_Data!C219="","",Participant_Data!C219)</f>
        <v/>
      </c>
      <c r="D219" s="2" t="str">
        <f>IF(Participant_Data!F219="","",Participant_Data!F219)</f>
        <v/>
      </c>
      <c r="E219" s="2" t="str">
        <f>IF(Participant_Data!AO219="","",Participant_Data!AO219)</f>
        <v/>
      </c>
      <c r="F219" s="2" t="str">
        <f>IF(Participant_Data!AP219="","",Participant_Data!AP219)</f>
        <v/>
      </c>
      <c r="G219" s="2" t="str">
        <f>IF(Participant_Data!AS219="","",Participant_Data!AS219)</f>
        <v/>
      </c>
      <c r="H219" s="4" t="str">
        <f t="shared" si="27"/>
        <v/>
      </c>
      <c r="I219" s="4" t="str">
        <f t="shared" si="28"/>
        <v/>
      </c>
      <c r="J219" s="4" t="str">
        <f t="shared" si="29"/>
        <v/>
      </c>
      <c r="K219" s="4" t="str">
        <f t="shared" si="30"/>
        <v/>
      </c>
      <c r="L219" s="4" t="str">
        <f t="shared" si="31"/>
        <v/>
      </c>
      <c r="M219" s="25" t="str">
        <f t="shared" si="32"/>
        <v/>
      </c>
      <c r="N219" s="25" t="str">
        <f t="shared" si="33"/>
        <v/>
      </c>
      <c r="O219" s="25" t="str">
        <f t="shared" si="34"/>
        <v/>
      </c>
      <c r="P219" s="2" t="str">
        <f t="shared" si="35"/>
        <v/>
      </c>
    </row>
    <row r="220" spans="1:16">
      <c r="A220" s="2">
        <f>IF(Participant_Data!A220="","",Participant_Data!A220)</f>
        <v>219</v>
      </c>
      <c r="B220" s="2" t="str">
        <f>IF(Participant_Data!B220="","",Participant_Data!B220)</f>
        <v/>
      </c>
      <c r="C220" s="3" t="str">
        <f>IF(Participant_Data!C220="","",Participant_Data!C220)</f>
        <v/>
      </c>
      <c r="D220" s="2" t="str">
        <f>IF(Participant_Data!F220="","",Participant_Data!F220)</f>
        <v/>
      </c>
      <c r="E220" s="2" t="str">
        <f>IF(Participant_Data!AO220="","",Participant_Data!AO220)</f>
        <v/>
      </c>
      <c r="F220" s="2" t="str">
        <f>IF(Participant_Data!AP220="","",Participant_Data!AP220)</f>
        <v/>
      </c>
      <c r="G220" s="2" t="str">
        <f>IF(Participant_Data!AS220="","",Participant_Data!AS220)</f>
        <v/>
      </c>
      <c r="H220" s="4" t="str">
        <f t="shared" si="27"/>
        <v/>
      </c>
      <c r="I220" s="4" t="str">
        <f t="shared" si="28"/>
        <v/>
      </c>
      <c r="J220" s="4" t="str">
        <f t="shared" si="29"/>
        <v/>
      </c>
      <c r="K220" s="4" t="str">
        <f t="shared" si="30"/>
        <v/>
      </c>
      <c r="L220" s="4" t="str">
        <f t="shared" si="31"/>
        <v/>
      </c>
      <c r="M220" s="25" t="str">
        <f t="shared" si="32"/>
        <v/>
      </c>
      <c r="N220" s="25" t="str">
        <f t="shared" si="33"/>
        <v/>
      </c>
      <c r="O220" s="25" t="str">
        <f t="shared" si="34"/>
        <v/>
      </c>
      <c r="P220" s="2" t="str">
        <f t="shared" si="35"/>
        <v/>
      </c>
    </row>
    <row r="221" spans="1:16">
      <c r="A221" s="2">
        <f>IF(Participant_Data!A221="","",Participant_Data!A221)</f>
        <v>220</v>
      </c>
      <c r="B221" s="2" t="str">
        <f>IF(Participant_Data!B221="","",Participant_Data!B221)</f>
        <v/>
      </c>
      <c r="C221" s="3" t="str">
        <f>IF(Participant_Data!C221="","",Participant_Data!C221)</f>
        <v/>
      </c>
      <c r="D221" s="2" t="str">
        <f>IF(Participant_Data!F221="","",Participant_Data!F221)</f>
        <v/>
      </c>
      <c r="E221" s="2" t="str">
        <f>IF(Participant_Data!AO221="","",Participant_Data!AO221)</f>
        <v/>
      </c>
      <c r="F221" s="2" t="str">
        <f>IF(Participant_Data!AP221="","",Participant_Data!AP221)</f>
        <v/>
      </c>
      <c r="G221" s="2" t="str">
        <f>IF(Participant_Data!AS221="","",Participant_Data!AS221)</f>
        <v/>
      </c>
      <c r="H221" s="4" t="str">
        <f t="shared" si="27"/>
        <v/>
      </c>
      <c r="I221" s="4" t="str">
        <f t="shared" si="28"/>
        <v/>
      </c>
      <c r="J221" s="4" t="str">
        <f t="shared" si="29"/>
        <v/>
      </c>
      <c r="K221" s="4" t="str">
        <f t="shared" si="30"/>
        <v/>
      </c>
      <c r="L221" s="4" t="str">
        <f t="shared" si="31"/>
        <v/>
      </c>
      <c r="M221" s="25" t="str">
        <f t="shared" si="32"/>
        <v/>
      </c>
      <c r="N221" s="25" t="str">
        <f t="shared" si="33"/>
        <v/>
      </c>
      <c r="O221" s="25" t="str">
        <f t="shared" si="34"/>
        <v/>
      </c>
      <c r="P221" s="2" t="str">
        <f t="shared" si="35"/>
        <v/>
      </c>
    </row>
    <row r="222" spans="1:16">
      <c r="A222" s="2">
        <f>IF(Participant_Data!A222="","",Participant_Data!A222)</f>
        <v>221</v>
      </c>
      <c r="B222" s="2" t="str">
        <f>IF(Participant_Data!B222="","",Participant_Data!B222)</f>
        <v/>
      </c>
      <c r="C222" s="3" t="str">
        <f>IF(Participant_Data!C222="","",Participant_Data!C222)</f>
        <v/>
      </c>
      <c r="D222" s="2" t="str">
        <f>IF(Participant_Data!F222="","",Participant_Data!F222)</f>
        <v/>
      </c>
      <c r="E222" s="2" t="str">
        <f>IF(Participant_Data!AO222="","",Participant_Data!AO222)</f>
        <v/>
      </c>
      <c r="F222" s="2" t="str">
        <f>IF(Participant_Data!AP222="","",Participant_Data!AP222)</f>
        <v/>
      </c>
      <c r="G222" s="2" t="str">
        <f>IF(Participant_Data!AS222="","",Participant_Data!AS222)</f>
        <v/>
      </c>
      <c r="H222" s="4" t="str">
        <f t="shared" si="27"/>
        <v/>
      </c>
      <c r="I222" s="4" t="str">
        <f t="shared" si="28"/>
        <v/>
      </c>
      <c r="J222" s="4" t="str">
        <f t="shared" si="29"/>
        <v/>
      </c>
      <c r="K222" s="4" t="str">
        <f t="shared" si="30"/>
        <v/>
      </c>
      <c r="L222" s="4" t="str">
        <f t="shared" si="31"/>
        <v/>
      </c>
      <c r="M222" s="25" t="str">
        <f t="shared" si="32"/>
        <v/>
      </c>
      <c r="N222" s="25" t="str">
        <f t="shared" si="33"/>
        <v/>
      </c>
      <c r="O222" s="25" t="str">
        <f t="shared" si="34"/>
        <v/>
      </c>
      <c r="P222" s="2" t="str">
        <f t="shared" si="35"/>
        <v/>
      </c>
    </row>
    <row r="223" spans="1:16">
      <c r="A223" s="2">
        <f>IF(Participant_Data!A223="","",Participant_Data!A223)</f>
        <v>222</v>
      </c>
      <c r="B223" s="2" t="str">
        <f>IF(Participant_Data!B223="","",Participant_Data!B223)</f>
        <v/>
      </c>
      <c r="C223" s="3" t="str">
        <f>IF(Participant_Data!C223="","",Participant_Data!C223)</f>
        <v/>
      </c>
      <c r="D223" s="2" t="str">
        <f>IF(Participant_Data!F223="","",Participant_Data!F223)</f>
        <v/>
      </c>
      <c r="E223" s="2" t="str">
        <f>IF(Participant_Data!AO223="","",Participant_Data!AO223)</f>
        <v/>
      </c>
      <c r="F223" s="2" t="str">
        <f>IF(Participant_Data!AP223="","",Participant_Data!AP223)</f>
        <v/>
      </c>
      <c r="G223" s="2" t="str">
        <f>IF(Participant_Data!AS223="","",Participant_Data!AS223)</f>
        <v/>
      </c>
      <c r="H223" s="4" t="str">
        <f t="shared" si="27"/>
        <v/>
      </c>
      <c r="I223" s="4" t="str">
        <f t="shared" si="28"/>
        <v/>
      </c>
      <c r="J223" s="4" t="str">
        <f t="shared" si="29"/>
        <v/>
      </c>
      <c r="K223" s="4" t="str">
        <f t="shared" si="30"/>
        <v/>
      </c>
      <c r="L223" s="4" t="str">
        <f t="shared" si="31"/>
        <v/>
      </c>
      <c r="M223" s="25" t="str">
        <f t="shared" si="32"/>
        <v/>
      </c>
      <c r="N223" s="25" t="str">
        <f t="shared" si="33"/>
        <v/>
      </c>
      <c r="O223" s="25" t="str">
        <f t="shared" si="34"/>
        <v/>
      </c>
      <c r="P223" s="2" t="str">
        <f t="shared" si="35"/>
        <v/>
      </c>
    </row>
    <row r="224" spans="1:16">
      <c r="A224" s="2">
        <f>IF(Participant_Data!A224="","",Participant_Data!A224)</f>
        <v>223</v>
      </c>
      <c r="B224" s="2" t="str">
        <f>IF(Participant_Data!B224="","",Participant_Data!B224)</f>
        <v/>
      </c>
      <c r="C224" s="3" t="str">
        <f>IF(Participant_Data!C224="","",Participant_Data!C224)</f>
        <v/>
      </c>
      <c r="D224" s="2" t="str">
        <f>IF(Participant_Data!F224="","",Participant_Data!F224)</f>
        <v/>
      </c>
      <c r="E224" s="2" t="str">
        <f>IF(Participant_Data!AO224="","",Participant_Data!AO224)</f>
        <v/>
      </c>
      <c r="F224" s="2" t="str">
        <f>IF(Participant_Data!AP224="","",Participant_Data!AP224)</f>
        <v/>
      </c>
      <c r="G224" s="2" t="str">
        <f>IF(Participant_Data!AS224="","",Participant_Data!AS224)</f>
        <v/>
      </c>
      <c r="H224" s="4" t="str">
        <f t="shared" si="27"/>
        <v/>
      </c>
      <c r="I224" s="4" t="str">
        <f t="shared" si="28"/>
        <v/>
      </c>
      <c r="J224" s="4" t="str">
        <f t="shared" si="29"/>
        <v/>
      </c>
      <c r="K224" s="4" t="str">
        <f t="shared" si="30"/>
        <v/>
      </c>
      <c r="L224" s="4" t="str">
        <f t="shared" si="31"/>
        <v/>
      </c>
      <c r="M224" s="25" t="str">
        <f t="shared" si="32"/>
        <v/>
      </c>
      <c r="N224" s="25" t="str">
        <f t="shared" si="33"/>
        <v/>
      </c>
      <c r="O224" s="25" t="str">
        <f t="shared" si="34"/>
        <v/>
      </c>
      <c r="P224" s="2" t="str">
        <f t="shared" si="35"/>
        <v/>
      </c>
    </row>
    <row r="225" spans="1:16">
      <c r="A225" s="2">
        <f>IF(Participant_Data!A225="","",Participant_Data!A225)</f>
        <v>224</v>
      </c>
      <c r="B225" s="2" t="str">
        <f>IF(Participant_Data!B225="","",Participant_Data!B225)</f>
        <v/>
      </c>
      <c r="C225" s="3" t="str">
        <f>IF(Participant_Data!C225="","",Participant_Data!C225)</f>
        <v/>
      </c>
      <c r="D225" s="2" t="str">
        <f>IF(Participant_Data!F225="","",Participant_Data!F225)</f>
        <v/>
      </c>
      <c r="E225" s="2" t="str">
        <f>IF(Participant_Data!AO225="","",Participant_Data!AO225)</f>
        <v/>
      </c>
      <c r="F225" s="2" t="str">
        <f>IF(Participant_Data!AP225="","",Participant_Data!AP225)</f>
        <v/>
      </c>
      <c r="G225" s="2" t="str">
        <f>IF(Participant_Data!AS225="","",Participant_Data!AS225)</f>
        <v/>
      </c>
      <c r="H225" s="4" t="str">
        <f t="shared" si="27"/>
        <v/>
      </c>
      <c r="I225" s="4" t="str">
        <f t="shared" si="28"/>
        <v/>
      </c>
      <c r="J225" s="4" t="str">
        <f t="shared" si="29"/>
        <v/>
      </c>
      <c r="K225" s="4" t="str">
        <f t="shared" si="30"/>
        <v/>
      </c>
      <c r="L225" s="4" t="str">
        <f t="shared" si="31"/>
        <v/>
      </c>
      <c r="M225" s="25" t="str">
        <f t="shared" si="32"/>
        <v/>
      </c>
      <c r="N225" s="25" t="str">
        <f t="shared" si="33"/>
        <v/>
      </c>
      <c r="O225" s="25" t="str">
        <f t="shared" si="34"/>
        <v/>
      </c>
      <c r="P225" s="2" t="str">
        <f t="shared" si="35"/>
        <v/>
      </c>
    </row>
    <row r="226" spans="1:16">
      <c r="A226" s="2">
        <f>IF(Participant_Data!A226="","",Participant_Data!A226)</f>
        <v>225</v>
      </c>
      <c r="B226" s="2" t="str">
        <f>IF(Participant_Data!B226="","",Participant_Data!B226)</f>
        <v/>
      </c>
      <c r="C226" s="3" t="str">
        <f>IF(Participant_Data!C226="","",Participant_Data!C226)</f>
        <v/>
      </c>
      <c r="D226" s="2" t="str">
        <f>IF(Participant_Data!F226="","",Participant_Data!F226)</f>
        <v/>
      </c>
      <c r="E226" s="2" t="str">
        <f>IF(Participant_Data!AO226="","",Participant_Data!AO226)</f>
        <v/>
      </c>
      <c r="F226" s="2" t="str">
        <f>IF(Participant_Data!AP226="","",Participant_Data!AP226)</f>
        <v/>
      </c>
      <c r="G226" s="2" t="str">
        <f>IF(Participant_Data!AS226="","",Participant_Data!AS226)</f>
        <v/>
      </c>
      <c r="H226" s="4" t="str">
        <f t="shared" si="27"/>
        <v/>
      </c>
      <c r="I226" s="4" t="str">
        <f t="shared" si="28"/>
        <v/>
      </c>
      <c r="J226" s="4" t="str">
        <f t="shared" si="29"/>
        <v/>
      </c>
      <c r="K226" s="4" t="str">
        <f t="shared" si="30"/>
        <v/>
      </c>
      <c r="L226" s="4" t="str">
        <f t="shared" si="31"/>
        <v/>
      </c>
      <c r="M226" s="25" t="str">
        <f t="shared" si="32"/>
        <v/>
      </c>
      <c r="N226" s="25" t="str">
        <f t="shared" si="33"/>
        <v/>
      </c>
      <c r="O226" s="25" t="str">
        <f t="shared" si="34"/>
        <v/>
      </c>
      <c r="P226" s="2" t="str">
        <f t="shared" si="35"/>
        <v/>
      </c>
    </row>
    <row r="227" spans="1:16">
      <c r="A227" s="2">
        <f>IF(Participant_Data!A227="","",Participant_Data!A227)</f>
        <v>226</v>
      </c>
      <c r="B227" s="2" t="str">
        <f>IF(Participant_Data!B227="","",Participant_Data!B227)</f>
        <v/>
      </c>
      <c r="C227" s="3" t="str">
        <f>IF(Participant_Data!C227="","",Participant_Data!C227)</f>
        <v/>
      </c>
      <c r="D227" s="2" t="str">
        <f>IF(Participant_Data!F227="","",Participant_Data!F227)</f>
        <v/>
      </c>
      <c r="E227" s="2" t="str">
        <f>IF(Participant_Data!AO227="","",Participant_Data!AO227)</f>
        <v/>
      </c>
      <c r="F227" s="2" t="str">
        <f>IF(Participant_Data!AP227="","",Participant_Data!AP227)</f>
        <v/>
      </c>
      <c r="G227" s="2" t="str">
        <f>IF(Participant_Data!AS227="","",Participant_Data!AS227)</f>
        <v/>
      </c>
      <c r="H227" s="4" t="str">
        <f t="shared" si="27"/>
        <v/>
      </c>
      <c r="I227" s="4" t="str">
        <f t="shared" si="28"/>
        <v/>
      </c>
      <c r="J227" s="4" t="str">
        <f t="shared" si="29"/>
        <v/>
      </c>
      <c r="K227" s="4" t="str">
        <f t="shared" si="30"/>
        <v/>
      </c>
      <c r="L227" s="4" t="str">
        <f t="shared" si="31"/>
        <v/>
      </c>
      <c r="M227" s="25" t="str">
        <f t="shared" si="32"/>
        <v/>
      </c>
      <c r="N227" s="25" t="str">
        <f t="shared" si="33"/>
        <v/>
      </c>
      <c r="O227" s="25" t="str">
        <f t="shared" si="34"/>
        <v/>
      </c>
      <c r="P227" s="2" t="str">
        <f t="shared" si="35"/>
        <v/>
      </c>
    </row>
    <row r="228" spans="1:16">
      <c r="A228" s="2">
        <f>IF(Participant_Data!A228="","",Participant_Data!A228)</f>
        <v>227</v>
      </c>
      <c r="B228" s="2" t="str">
        <f>IF(Participant_Data!B228="","",Participant_Data!B228)</f>
        <v/>
      </c>
      <c r="C228" s="3" t="str">
        <f>IF(Participant_Data!C228="","",Participant_Data!C228)</f>
        <v/>
      </c>
      <c r="D228" s="2" t="str">
        <f>IF(Participant_Data!F228="","",Participant_Data!F228)</f>
        <v/>
      </c>
      <c r="E228" s="2" t="str">
        <f>IF(Participant_Data!AO228="","",Participant_Data!AO228)</f>
        <v/>
      </c>
      <c r="F228" s="2" t="str">
        <f>IF(Participant_Data!AP228="","",Participant_Data!AP228)</f>
        <v/>
      </c>
      <c r="G228" s="2" t="str">
        <f>IF(Participant_Data!AS228="","",Participant_Data!AS228)</f>
        <v/>
      </c>
      <c r="H228" s="4" t="str">
        <f t="shared" si="27"/>
        <v/>
      </c>
      <c r="I228" s="4" t="str">
        <f t="shared" si="28"/>
        <v/>
      </c>
      <c r="J228" s="4" t="str">
        <f t="shared" si="29"/>
        <v/>
      </c>
      <c r="K228" s="4" t="str">
        <f t="shared" si="30"/>
        <v/>
      </c>
      <c r="L228" s="4" t="str">
        <f t="shared" si="31"/>
        <v/>
      </c>
      <c r="M228" s="25" t="str">
        <f t="shared" si="32"/>
        <v/>
      </c>
      <c r="N228" s="25" t="str">
        <f t="shared" si="33"/>
        <v/>
      </c>
      <c r="O228" s="25" t="str">
        <f t="shared" si="34"/>
        <v/>
      </c>
      <c r="P228" s="2" t="str">
        <f t="shared" si="35"/>
        <v/>
      </c>
    </row>
    <row r="229" spans="1:16">
      <c r="A229" s="2">
        <f>IF(Participant_Data!A229="","",Participant_Data!A229)</f>
        <v>228</v>
      </c>
      <c r="B229" s="2" t="str">
        <f>IF(Participant_Data!B229="","",Participant_Data!B229)</f>
        <v/>
      </c>
      <c r="C229" s="3" t="str">
        <f>IF(Participant_Data!C229="","",Participant_Data!C229)</f>
        <v/>
      </c>
      <c r="D229" s="2" t="str">
        <f>IF(Participant_Data!F229="","",Participant_Data!F229)</f>
        <v/>
      </c>
      <c r="E229" s="2" t="str">
        <f>IF(Participant_Data!AO229="","",Participant_Data!AO229)</f>
        <v/>
      </c>
      <c r="F229" s="2" t="str">
        <f>IF(Participant_Data!AP229="","",Participant_Data!AP229)</f>
        <v/>
      </c>
      <c r="G229" s="2" t="str">
        <f>IF(Participant_Data!AS229="","",Participant_Data!AS229)</f>
        <v/>
      </c>
      <c r="H229" s="4" t="str">
        <f t="shared" si="27"/>
        <v/>
      </c>
      <c r="I229" s="4" t="str">
        <f t="shared" si="28"/>
        <v/>
      </c>
      <c r="J229" s="4" t="str">
        <f t="shared" si="29"/>
        <v/>
      </c>
      <c r="K229" s="4" t="str">
        <f t="shared" si="30"/>
        <v/>
      </c>
      <c r="L229" s="4" t="str">
        <f t="shared" si="31"/>
        <v/>
      </c>
      <c r="M229" s="25" t="str">
        <f t="shared" si="32"/>
        <v/>
      </c>
      <c r="N229" s="25" t="str">
        <f t="shared" si="33"/>
        <v/>
      </c>
      <c r="O229" s="25" t="str">
        <f t="shared" si="34"/>
        <v/>
      </c>
      <c r="P229" s="2" t="str">
        <f t="shared" si="35"/>
        <v/>
      </c>
    </row>
    <row r="230" spans="1:16">
      <c r="A230" s="2">
        <f>IF(Participant_Data!A230="","",Participant_Data!A230)</f>
        <v>229</v>
      </c>
      <c r="B230" s="2" t="str">
        <f>IF(Participant_Data!B230="","",Participant_Data!B230)</f>
        <v/>
      </c>
      <c r="C230" s="3" t="str">
        <f>IF(Participant_Data!C230="","",Participant_Data!C230)</f>
        <v/>
      </c>
      <c r="D230" s="2" t="str">
        <f>IF(Participant_Data!F230="","",Participant_Data!F230)</f>
        <v/>
      </c>
      <c r="E230" s="2" t="str">
        <f>IF(Participant_Data!AO230="","",Participant_Data!AO230)</f>
        <v/>
      </c>
      <c r="F230" s="2" t="str">
        <f>IF(Participant_Data!AP230="","",Participant_Data!AP230)</f>
        <v/>
      </c>
      <c r="G230" s="2" t="str">
        <f>IF(Participant_Data!AS230="","",Participant_Data!AS230)</f>
        <v/>
      </c>
      <c r="H230" s="4" t="str">
        <f t="shared" si="27"/>
        <v/>
      </c>
      <c r="I230" s="4" t="str">
        <f t="shared" si="28"/>
        <v/>
      </c>
      <c r="J230" s="4" t="str">
        <f t="shared" si="29"/>
        <v/>
      </c>
      <c r="K230" s="4" t="str">
        <f t="shared" si="30"/>
        <v/>
      </c>
      <c r="L230" s="4" t="str">
        <f t="shared" si="31"/>
        <v/>
      </c>
      <c r="M230" s="25" t="str">
        <f t="shared" si="32"/>
        <v/>
      </c>
      <c r="N230" s="25" t="str">
        <f t="shared" si="33"/>
        <v/>
      </c>
      <c r="O230" s="25" t="str">
        <f t="shared" si="34"/>
        <v/>
      </c>
      <c r="P230" s="2" t="str">
        <f t="shared" si="35"/>
        <v/>
      </c>
    </row>
    <row r="231" spans="1:16">
      <c r="A231" s="2">
        <f>IF(Participant_Data!A231="","",Participant_Data!A231)</f>
        <v>230</v>
      </c>
      <c r="B231" s="2" t="str">
        <f>IF(Participant_Data!B231="","",Participant_Data!B231)</f>
        <v/>
      </c>
      <c r="C231" s="3" t="str">
        <f>IF(Participant_Data!C231="","",Participant_Data!C231)</f>
        <v/>
      </c>
      <c r="D231" s="2" t="str">
        <f>IF(Participant_Data!F231="","",Participant_Data!F231)</f>
        <v/>
      </c>
      <c r="E231" s="2" t="str">
        <f>IF(Participant_Data!AO231="","",Participant_Data!AO231)</f>
        <v/>
      </c>
      <c r="F231" s="2" t="str">
        <f>IF(Participant_Data!AP231="","",Participant_Data!AP231)</f>
        <v/>
      </c>
      <c r="G231" s="2" t="str">
        <f>IF(Participant_Data!AS231="","",Participant_Data!AS231)</f>
        <v/>
      </c>
      <c r="H231" s="4" t="str">
        <f t="shared" si="27"/>
        <v/>
      </c>
      <c r="I231" s="4" t="str">
        <f t="shared" si="28"/>
        <v/>
      </c>
      <c r="J231" s="4" t="str">
        <f t="shared" si="29"/>
        <v/>
      </c>
      <c r="K231" s="4" t="str">
        <f t="shared" si="30"/>
        <v/>
      </c>
      <c r="L231" s="4" t="str">
        <f t="shared" si="31"/>
        <v/>
      </c>
      <c r="M231" s="25" t="str">
        <f t="shared" si="32"/>
        <v/>
      </c>
      <c r="N231" s="25" t="str">
        <f t="shared" si="33"/>
        <v/>
      </c>
      <c r="O231" s="25" t="str">
        <f t="shared" si="34"/>
        <v/>
      </c>
      <c r="P231" s="2" t="str">
        <f t="shared" si="35"/>
        <v/>
      </c>
    </row>
    <row r="232" spans="1:16">
      <c r="A232" s="2">
        <f>IF(Participant_Data!A232="","",Participant_Data!A232)</f>
        <v>231</v>
      </c>
      <c r="B232" s="2" t="str">
        <f>IF(Participant_Data!B232="","",Participant_Data!B232)</f>
        <v/>
      </c>
      <c r="C232" s="3" t="str">
        <f>IF(Participant_Data!C232="","",Participant_Data!C232)</f>
        <v/>
      </c>
      <c r="D232" s="2" t="str">
        <f>IF(Participant_Data!F232="","",Participant_Data!F232)</f>
        <v/>
      </c>
      <c r="E232" s="2" t="str">
        <f>IF(Participant_Data!AO232="","",Participant_Data!AO232)</f>
        <v/>
      </c>
      <c r="F232" s="2" t="str">
        <f>IF(Participant_Data!AP232="","",Participant_Data!AP232)</f>
        <v/>
      </c>
      <c r="G232" s="2" t="str">
        <f>IF(Participant_Data!AS232="","",Participant_Data!AS232)</f>
        <v/>
      </c>
      <c r="H232" s="4" t="str">
        <f t="shared" si="27"/>
        <v/>
      </c>
      <c r="I232" s="4" t="str">
        <f t="shared" si="28"/>
        <v/>
      </c>
      <c r="J232" s="4" t="str">
        <f t="shared" si="29"/>
        <v/>
      </c>
      <c r="K232" s="4" t="str">
        <f t="shared" si="30"/>
        <v/>
      </c>
      <c r="L232" s="4" t="str">
        <f t="shared" si="31"/>
        <v/>
      </c>
      <c r="M232" s="25" t="str">
        <f t="shared" si="32"/>
        <v/>
      </c>
      <c r="N232" s="25" t="str">
        <f t="shared" si="33"/>
        <v/>
      </c>
      <c r="O232" s="25" t="str">
        <f t="shared" si="34"/>
        <v/>
      </c>
      <c r="P232" s="2" t="str">
        <f t="shared" si="35"/>
        <v/>
      </c>
    </row>
    <row r="233" spans="1:16">
      <c r="A233" s="2">
        <f>IF(Participant_Data!A233="","",Participant_Data!A233)</f>
        <v>232</v>
      </c>
      <c r="B233" s="2" t="str">
        <f>IF(Participant_Data!B233="","",Participant_Data!B233)</f>
        <v/>
      </c>
      <c r="C233" s="3" t="str">
        <f>IF(Participant_Data!C233="","",Participant_Data!C233)</f>
        <v/>
      </c>
      <c r="D233" s="2" t="str">
        <f>IF(Participant_Data!F233="","",Participant_Data!F233)</f>
        <v/>
      </c>
      <c r="E233" s="2" t="str">
        <f>IF(Participant_Data!AO233="","",Participant_Data!AO233)</f>
        <v/>
      </c>
      <c r="F233" s="2" t="str">
        <f>IF(Participant_Data!AP233="","",Participant_Data!AP233)</f>
        <v/>
      </c>
      <c r="G233" s="2" t="str">
        <f>IF(Participant_Data!AS233="","",Participant_Data!AS233)</f>
        <v/>
      </c>
      <c r="H233" s="4" t="str">
        <f t="shared" si="27"/>
        <v/>
      </c>
      <c r="I233" s="4" t="str">
        <f t="shared" si="28"/>
        <v/>
      </c>
      <c r="J233" s="4" t="str">
        <f t="shared" si="29"/>
        <v/>
      </c>
      <c r="K233" s="4" t="str">
        <f t="shared" si="30"/>
        <v/>
      </c>
      <c r="L233" s="4" t="str">
        <f t="shared" si="31"/>
        <v/>
      </c>
      <c r="M233" s="25" t="str">
        <f t="shared" si="32"/>
        <v/>
      </c>
      <c r="N233" s="25" t="str">
        <f t="shared" si="33"/>
        <v/>
      </c>
      <c r="O233" s="25" t="str">
        <f t="shared" si="34"/>
        <v/>
      </c>
      <c r="P233" s="2" t="str">
        <f t="shared" si="35"/>
        <v/>
      </c>
    </row>
    <row r="234" spans="1:16">
      <c r="A234" s="2">
        <f>IF(Participant_Data!A234="","",Participant_Data!A234)</f>
        <v>233</v>
      </c>
      <c r="B234" s="2" t="str">
        <f>IF(Participant_Data!B234="","",Participant_Data!B234)</f>
        <v/>
      </c>
      <c r="C234" s="3" t="str">
        <f>IF(Participant_Data!C234="","",Participant_Data!C234)</f>
        <v/>
      </c>
      <c r="D234" s="2" t="str">
        <f>IF(Participant_Data!F234="","",Participant_Data!F234)</f>
        <v/>
      </c>
      <c r="E234" s="2" t="str">
        <f>IF(Participant_Data!AO234="","",Participant_Data!AO234)</f>
        <v/>
      </c>
      <c r="F234" s="2" t="str">
        <f>IF(Participant_Data!AP234="","",Participant_Data!AP234)</f>
        <v/>
      </c>
      <c r="G234" s="2" t="str">
        <f>IF(Participant_Data!AS234="","",Participant_Data!AS234)</f>
        <v/>
      </c>
      <c r="H234" s="4" t="str">
        <f t="shared" si="27"/>
        <v/>
      </c>
      <c r="I234" s="4" t="str">
        <f t="shared" si="28"/>
        <v/>
      </c>
      <c r="J234" s="4" t="str">
        <f t="shared" si="29"/>
        <v/>
      </c>
      <c r="K234" s="4" t="str">
        <f t="shared" si="30"/>
        <v/>
      </c>
      <c r="L234" s="4" t="str">
        <f t="shared" si="31"/>
        <v/>
      </c>
      <c r="M234" s="25" t="str">
        <f t="shared" si="32"/>
        <v/>
      </c>
      <c r="N234" s="25" t="str">
        <f t="shared" si="33"/>
        <v/>
      </c>
      <c r="O234" s="25" t="str">
        <f t="shared" si="34"/>
        <v/>
      </c>
      <c r="P234" s="2" t="str">
        <f t="shared" si="35"/>
        <v/>
      </c>
    </row>
    <row r="235" spans="1:16">
      <c r="A235" s="2">
        <f>IF(Participant_Data!A235="","",Participant_Data!A235)</f>
        <v>234</v>
      </c>
      <c r="B235" s="2" t="str">
        <f>IF(Participant_Data!B235="","",Participant_Data!B235)</f>
        <v/>
      </c>
      <c r="C235" s="3" t="str">
        <f>IF(Participant_Data!C235="","",Participant_Data!C235)</f>
        <v/>
      </c>
      <c r="D235" s="2" t="str">
        <f>IF(Participant_Data!F235="","",Participant_Data!F235)</f>
        <v/>
      </c>
      <c r="E235" s="2" t="str">
        <f>IF(Participant_Data!AO235="","",Participant_Data!AO235)</f>
        <v/>
      </c>
      <c r="F235" s="2" t="str">
        <f>IF(Participant_Data!AP235="","",Participant_Data!AP235)</f>
        <v/>
      </c>
      <c r="G235" s="2" t="str">
        <f>IF(Participant_Data!AS235="","",Participant_Data!AS235)</f>
        <v/>
      </c>
      <c r="H235" s="4" t="str">
        <f t="shared" si="27"/>
        <v/>
      </c>
      <c r="I235" s="4" t="str">
        <f t="shared" si="28"/>
        <v/>
      </c>
      <c r="J235" s="4" t="str">
        <f t="shared" si="29"/>
        <v/>
      </c>
      <c r="K235" s="4" t="str">
        <f t="shared" si="30"/>
        <v/>
      </c>
      <c r="L235" s="4" t="str">
        <f t="shared" si="31"/>
        <v/>
      </c>
      <c r="M235" s="25" t="str">
        <f t="shared" si="32"/>
        <v/>
      </c>
      <c r="N235" s="25" t="str">
        <f t="shared" si="33"/>
        <v/>
      </c>
      <c r="O235" s="25" t="str">
        <f t="shared" si="34"/>
        <v/>
      </c>
      <c r="P235" s="2" t="str">
        <f t="shared" si="35"/>
        <v/>
      </c>
    </row>
    <row r="236" spans="1:16">
      <c r="A236" s="2">
        <f>IF(Participant_Data!A236="","",Participant_Data!A236)</f>
        <v>235</v>
      </c>
      <c r="B236" s="2" t="str">
        <f>IF(Participant_Data!B236="","",Participant_Data!B236)</f>
        <v/>
      </c>
      <c r="C236" s="3" t="str">
        <f>IF(Participant_Data!C236="","",Participant_Data!C236)</f>
        <v/>
      </c>
      <c r="D236" s="2" t="str">
        <f>IF(Participant_Data!F236="","",Participant_Data!F236)</f>
        <v/>
      </c>
      <c r="E236" s="2" t="str">
        <f>IF(Participant_Data!AO236="","",Participant_Data!AO236)</f>
        <v/>
      </c>
      <c r="F236" s="2" t="str">
        <f>IF(Participant_Data!AP236="","",Participant_Data!AP236)</f>
        <v/>
      </c>
      <c r="G236" s="2" t="str">
        <f>IF(Participant_Data!AS236="","",Participant_Data!AS236)</f>
        <v/>
      </c>
      <c r="H236" s="4" t="str">
        <f t="shared" si="27"/>
        <v/>
      </c>
      <c r="I236" s="4" t="str">
        <f t="shared" si="28"/>
        <v/>
      </c>
      <c r="J236" s="4" t="str">
        <f t="shared" si="29"/>
        <v/>
      </c>
      <c r="K236" s="4" t="str">
        <f t="shared" si="30"/>
        <v/>
      </c>
      <c r="L236" s="4" t="str">
        <f t="shared" si="31"/>
        <v/>
      </c>
      <c r="M236" s="25" t="str">
        <f t="shared" si="32"/>
        <v/>
      </c>
      <c r="N236" s="25" t="str">
        <f t="shared" si="33"/>
        <v/>
      </c>
      <c r="O236" s="25" t="str">
        <f t="shared" si="34"/>
        <v/>
      </c>
      <c r="P236" s="2" t="str">
        <f t="shared" si="35"/>
        <v/>
      </c>
    </row>
    <row r="237" spans="1:16">
      <c r="A237" s="2">
        <f>IF(Participant_Data!A237="","",Participant_Data!A237)</f>
        <v>236</v>
      </c>
      <c r="B237" s="2" t="str">
        <f>IF(Participant_Data!B237="","",Participant_Data!B237)</f>
        <v/>
      </c>
      <c r="C237" s="3" t="str">
        <f>IF(Participant_Data!C237="","",Participant_Data!C237)</f>
        <v/>
      </c>
      <c r="D237" s="2" t="str">
        <f>IF(Participant_Data!F237="","",Participant_Data!F237)</f>
        <v/>
      </c>
      <c r="E237" s="2" t="str">
        <f>IF(Participant_Data!AO237="","",Participant_Data!AO237)</f>
        <v/>
      </c>
      <c r="F237" s="2" t="str">
        <f>IF(Participant_Data!AP237="","",Participant_Data!AP237)</f>
        <v/>
      </c>
      <c r="G237" s="2" t="str">
        <f>IF(Participant_Data!AS237="","",Participant_Data!AS237)</f>
        <v/>
      </c>
      <c r="H237" s="4" t="str">
        <f t="shared" si="27"/>
        <v/>
      </c>
      <c r="I237" s="4" t="str">
        <f t="shared" si="28"/>
        <v/>
      </c>
      <c r="J237" s="4" t="str">
        <f t="shared" si="29"/>
        <v/>
      </c>
      <c r="K237" s="4" t="str">
        <f t="shared" si="30"/>
        <v/>
      </c>
      <c r="L237" s="4" t="str">
        <f t="shared" si="31"/>
        <v/>
      </c>
      <c r="M237" s="25" t="str">
        <f t="shared" si="32"/>
        <v/>
      </c>
      <c r="N237" s="25" t="str">
        <f t="shared" si="33"/>
        <v/>
      </c>
      <c r="O237" s="25" t="str">
        <f t="shared" si="34"/>
        <v/>
      </c>
      <c r="P237" s="2" t="str">
        <f t="shared" si="35"/>
        <v/>
      </c>
    </row>
    <row r="238" spans="1:16">
      <c r="A238" s="2">
        <f>IF(Participant_Data!A238="","",Participant_Data!A238)</f>
        <v>237</v>
      </c>
      <c r="B238" s="2" t="str">
        <f>IF(Participant_Data!B238="","",Participant_Data!B238)</f>
        <v/>
      </c>
      <c r="C238" s="3" t="str">
        <f>IF(Participant_Data!C238="","",Participant_Data!C238)</f>
        <v/>
      </c>
      <c r="D238" s="2" t="str">
        <f>IF(Participant_Data!F238="","",Participant_Data!F238)</f>
        <v/>
      </c>
      <c r="E238" s="2" t="str">
        <f>IF(Participant_Data!AO238="","",Participant_Data!AO238)</f>
        <v/>
      </c>
      <c r="F238" s="2" t="str">
        <f>IF(Participant_Data!AP238="","",Participant_Data!AP238)</f>
        <v/>
      </c>
      <c r="G238" s="2" t="str">
        <f>IF(Participant_Data!AS238="","",Participant_Data!AS238)</f>
        <v/>
      </c>
      <c r="H238" s="4" t="str">
        <f t="shared" si="27"/>
        <v/>
      </c>
      <c r="I238" s="4" t="str">
        <f t="shared" si="28"/>
        <v/>
      </c>
      <c r="J238" s="4" t="str">
        <f t="shared" si="29"/>
        <v/>
      </c>
      <c r="K238" s="4" t="str">
        <f t="shared" si="30"/>
        <v/>
      </c>
      <c r="L238" s="4" t="str">
        <f t="shared" si="31"/>
        <v/>
      </c>
      <c r="M238" s="25" t="str">
        <f t="shared" si="32"/>
        <v/>
      </c>
      <c r="N238" s="25" t="str">
        <f t="shared" si="33"/>
        <v/>
      </c>
      <c r="O238" s="25" t="str">
        <f t="shared" si="34"/>
        <v/>
      </c>
      <c r="P238" s="2" t="str">
        <f t="shared" si="35"/>
        <v/>
      </c>
    </row>
    <row r="239" spans="1:16">
      <c r="A239" s="2">
        <f>IF(Participant_Data!A239="","",Participant_Data!A239)</f>
        <v>238</v>
      </c>
      <c r="B239" s="2" t="str">
        <f>IF(Participant_Data!B239="","",Participant_Data!B239)</f>
        <v/>
      </c>
      <c r="C239" s="3" t="str">
        <f>IF(Participant_Data!C239="","",Participant_Data!C239)</f>
        <v/>
      </c>
      <c r="D239" s="2" t="str">
        <f>IF(Participant_Data!F239="","",Participant_Data!F239)</f>
        <v/>
      </c>
      <c r="E239" s="2" t="str">
        <f>IF(Participant_Data!AO239="","",Participant_Data!AO239)</f>
        <v/>
      </c>
      <c r="F239" s="2" t="str">
        <f>IF(Participant_Data!AP239="","",Participant_Data!AP239)</f>
        <v/>
      </c>
      <c r="G239" s="2" t="str">
        <f>IF(Participant_Data!AS239="","",Participant_Data!AS239)</f>
        <v/>
      </c>
      <c r="H239" s="4" t="str">
        <f t="shared" si="27"/>
        <v/>
      </c>
      <c r="I239" s="4" t="str">
        <f t="shared" si="28"/>
        <v/>
      </c>
      <c r="J239" s="4" t="str">
        <f t="shared" si="29"/>
        <v/>
      </c>
      <c r="K239" s="4" t="str">
        <f t="shared" si="30"/>
        <v/>
      </c>
      <c r="L239" s="4" t="str">
        <f t="shared" si="31"/>
        <v/>
      </c>
      <c r="M239" s="25" t="str">
        <f t="shared" si="32"/>
        <v/>
      </c>
      <c r="N239" s="25" t="str">
        <f t="shared" si="33"/>
        <v/>
      </c>
      <c r="O239" s="25" t="str">
        <f t="shared" si="34"/>
        <v/>
      </c>
      <c r="P239" s="2" t="str">
        <f t="shared" si="35"/>
        <v/>
      </c>
    </row>
    <row r="240" spans="1:16">
      <c r="A240" s="2">
        <f>IF(Participant_Data!A240="","",Participant_Data!A240)</f>
        <v>239</v>
      </c>
      <c r="B240" s="2" t="str">
        <f>IF(Participant_Data!B240="","",Participant_Data!B240)</f>
        <v/>
      </c>
      <c r="C240" s="3" t="str">
        <f>IF(Participant_Data!C240="","",Participant_Data!C240)</f>
        <v/>
      </c>
      <c r="D240" s="2" t="str">
        <f>IF(Participant_Data!F240="","",Participant_Data!F240)</f>
        <v/>
      </c>
      <c r="E240" s="2" t="str">
        <f>IF(Participant_Data!AO240="","",Participant_Data!AO240)</f>
        <v/>
      </c>
      <c r="F240" s="2" t="str">
        <f>IF(Participant_Data!AP240="","",Participant_Data!AP240)</f>
        <v/>
      </c>
      <c r="G240" s="2" t="str">
        <f>IF(Participant_Data!AS240="","",Participant_Data!AS240)</f>
        <v/>
      </c>
      <c r="H240" s="4" t="str">
        <f t="shared" si="27"/>
        <v/>
      </c>
      <c r="I240" s="4" t="str">
        <f t="shared" si="28"/>
        <v/>
      </c>
      <c r="J240" s="4" t="str">
        <f t="shared" si="29"/>
        <v/>
      </c>
      <c r="K240" s="4" t="str">
        <f t="shared" si="30"/>
        <v/>
      </c>
      <c r="L240" s="4" t="str">
        <f t="shared" si="31"/>
        <v/>
      </c>
      <c r="M240" s="25" t="str">
        <f t="shared" si="32"/>
        <v/>
      </c>
      <c r="N240" s="25" t="str">
        <f t="shared" si="33"/>
        <v/>
      </c>
      <c r="O240" s="25" t="str">
        <f t="shared" si="34"/>
        <v/>
      </c>
      <c r="P240" s="2" t="str">
        <f t="shared" si="35"/>
        <v/>
      </c>
    </row>
    <row r="241" spans="1:16">
      <c r="A241" s="2">
        <f>IF(Participant_Data!A241="","",Participant_Data!A241)</f>
        <v>240</v>
      </c>
      <c r="B241" s="2" t="str">
        <f>IF(Participant_Data!B241="","",Participant_Data!B241)</f>
        <v/>
      </c>
      <c r="C241" s="3" t="str">
        <f>IF(Participant_Data!C241="","",Participant_Data!C241)</f>
        <v/>
      </c>
      <c r="D241" s="2" t="str">
        <f>IF(Participant_Data!F241="","",Participant_Data!F241)</f>
        <v/>
      </c>
      <c r="E241" s="2" t="str">
        <f>IF(Participant_Data!AO241="","",Participant_Data!AO241)</f>
        <v/>
      </c>
      <c r="F241" s="2" t="str">
        <f>IF(Participant_Data!AP241="","",Participant_Data!AP241)</f>
        <v/>
      </c>
      <c r="G241" s="2" t="str">
        <f>IF(Participant_Data!AS241="","",Participant_Data!AS241)</f>
        <v/>
      </c>
      <c r="H241" s="4" t="str">
        <f t="shared" si="27"/>
        <v/>
      </c>
      <c r="I241" s="4" t="str">
        <f t="shared" si="28"/>
        <v/>
      </c>
      <c r="J241" s="4" t="str">
        <f t="shared" si="29"/>
        <v/>
      </c>
      <c r="K241" s="4" t="str">
        <f t="shared" si="30"/>
        <v/>
      </c>
      <c r="L241" s="4" t="str">
        <f t="shared" si="31"/>
        <v/>
      </c>
      <c r="M241" s="25" t="str">
        <f t="shared" si="32"/>
        <v/>
      </c>
      <c r="N241" s="25" t="str">
        <f t="shared" si="33"/>
        <v/>
      </c>
      <c r="O241" s="25" t="str">
        <f t="shared" si="34"/>
        <v/>
      </c>
      <c r="P241" s="2" t="str">
        <f t="shared" si="35"/>
        <v/>
      </c>
    </row>
    <row r="242" spans="1:16">
      <c r="A242" s="2">
        <f>IF(Participant_Data!A242="","",Participant_Data!A242)</f>
        <v>241</v>
      </c>
      <c r="B242" s="2" t="str">
        <f>IF(Participant_Data!B242="","",Participant_Data!B242)</f>
        <v/>
      </c>
      <c r="C242" s="3" t="str">
        <f>IF(Participant_Data!C242="","",Participant_Data!C242)</f>
        <v/>
      </c>
      <c r="D242" s="2" t="str">
        <f>IF(Participant_Data!F242="","",Participant_Data!F242)</f>
        <v/>
      </c>
      <c r="E242" s="2" t="str">
        <f>IF(Participant_Data!AO242="","",Participant_Data!AO242)</f>
        <v/>
      </c>
      <c r="F242" s="2" t="str">
        <f>IF(Participant_Data!AP242="","",Participant_Data!AP242)</f>
        <v/>
      </c>
      <c r="G242" s="2" t="str">
        <f>IF(Participant_Data!AS242="","",Participant_Data!AS242)</f>
        <v/>
      </c>
      <c r="H242" s="4" t="str">
        <f t="shared" si="27"/>
        <v/>
      </c>
      <c r="I242" s="4" t="str">
        <f t="shared" si="28"/>
        <v/>
      </c>
      <c r="J242" s="4" t="str">
        <f t="shared" si="29"/>
        <v/>
      </c>
      <c r="K242" s="4" t="str">
        <f t="shared" si="30"/>
        <v/>
      </c>
      <c r="L242" s="4" t="str">
        <f t="shared" si="31"/>
        <v/>
      </c>
      <c r="M242" s="25" t="str">
        <f t="shared" si="32"/>
        <v/>
      </c>
      <c r="N242" s="25" t="str">
        <f t="shared" si="33"/>
        <v/>
      </c>
      <c r="O242" s="25" t="str">
        <f t="shared" si="34"/>
        <v/>
      </c>
      <c r="P242" s="2" t="str">
        <f t="shared" si="35"/>
        <v/>
      </c>
    </row>
    <row r="243" spans="1:16">
      <c r="A243" s="2">
        <f>IF(Participant_Data!A243="","",Participant_Data!A243)</f>
        <v>242</v>
      </c>
      <c r="B243" s="2" t="str">
        <f>IF(Participant_Data!B243="","",Participant_Data!B243)</f>
        <v/>
      </c>
      <c r="C243" s="3" t="str">
        <f>IF(Participant_Data!C243="","",Participant_Data!C243)</f>
        <v/>
      </c>
      <c r="D243" s="2" t="str">
        <f>IF(Participant_Data!F243="","",Participant_Data!F243)</f>
        <v/>
      </c>
      <c r="E243" s="2" t="str">
        <f>IF(Participant_Data!AO243="","",Participant_Data!AO243)</f>
        <v/>
      </c>
      <c r="F243" s="2" t="str">
        <f>IF(Participant_Data!AP243="","",Participant_Data!AP243)</f>
        <v/>
      </c>
      <c r="G243" s="2" t="str">
        <f>IF(Participant_Data!AS243="","",Participant_Data!AS243)</f>
        <v/>
      </c>
      <c r="H243" s="4" t="str">
        <f t="shared" si="27"/>
        <v/>
      </c>
      <c r="I243" s="4" t="str">
        <f t="shared" si="28"/>
        <v/>
      </c>
      <c r="J243" s="4" t="str">
        <f t="shared" si="29"/>
        <v/>
      </c>
      <c r="K243" s="4" t="str">
        <f t="shared" si="30"/>
        <v/>
      </c>
      <c r="L243" s="4" t="str">
        <f t="shared" si="31"/>
        <v/>
      </c>
      <c r="M243" s="25" t="str">
        <f t="shared" si="32"/>
        <v/>
      </c>
      <c r="N243" s="25" t="str">
        <f t="shared" si="33"/>
        <v/>
      </c>
      <c r="O243" s="25" t="str">
        <f t="shared" si="34"/>
        <v/>
      </c>
      <c r="P243" s="2" t="str">
        <f t="shared" si="35"/>
        <v/>
      </c>
    </row>
    <row r="244" spans="1:16">
      <c r="A244" s="2">
        <f>IF(Participant_Data!A244="","",Participant_Data!A244)</f>
        <v>243</v>
      </c>
      <c r="B244" s="2" t="str">
        <f>IF(Participant_Data!B244="","",Participant_Data!B244)</f>
        <v/>
      </c>
      <c r="C244" s="3" t="str">
        <f>IF(Participant_Data!C244="","",Participant_Data!C244)</f>
        <v/>
      </c>
      <c r="D244" s="2" t="str">
        <f>IF(Participant_Data!F244="","",Participant_Data!F244)</f>
        <v/>
      </c>
      <c r="E244" s="2" t="str">
        <f>IF(Participant_Data!AO244="","",Participant_Data!AO244)</f>
        <v/>
      </c>
      <c r="F244" s="2" t="str">
        <f>IF(Participant_Data!AP244="","",Participant_Data!AP244)</f>
        <v/>
      </c>
      <c r="G244" s="2" t="str">
        <f>IF(Participant_Data!AS244="","",Participant_Data!AS244)</f>
        <v/>
      </c>
      <c r="H244" s="4" t="str">
        <f t="shared" si="27"/>
        <v/>
      </c>
      <c r="I244" s="4" t="str">
        <f t="shared" si="28"/>
        <v/>
      </c>
      <c r="J244" s="4" t="str">
        <f t="shared" si="29"/>
        <v/>
      </c>
      <c r="K244" s="4" t="str">
        <f t="shared" si="30"/>
        <v/>
      </c>
      <c r="L244" s="4" t="str">
        <f t="shared" si="31"/>
        <v/>
      </c>
      <c r="M244" s="25" t="str">
        <f t="shared" si="32"/>
        <v/>
      </c>
      <c r="N244" s="25" t="str">
        <f t="shared" si="33"/>
        <v/>
      </c>
      <c r="O244" s="25" t="str">
        <f t="shared" si="34"/>
        <v/>
      </c>
      <c r="P244" s="2" t="str">
        <f t="shared" si="35"/>
        <v/>
      </c>
    </row>
    <row r="245" spans="1:16">
      <c r="A245" s="2">
        <f>IF(Participant_Data!A245="","",Participant_Data!A245)</f>
        <v>244</v>
      </c>
      <c r="B245" s="2" t="str">
        <f>IF(Participant_Data!B245="","",Participant_Data!B245)</f>
        <v/>
      </c>
      <c r="C245" s="3" t="str">
        <f>IF(Participant_Data!C245="","",Participant_Data!C245)</f>
        <v/>
      </c>
      <c r="D245" s="2" t="str">
        <f>IF(Participant_Data!F245="","",Participant_Data!F245)</f>
        <v/>
      </c>
      <c r="E245" s="2" t="str">
        <f>IF(Participant_Data!AO245="","",Participant_Data!AO245)</f>
        <v/>
      </c>
      <c r="F245" s="2" t="str">
        <f>IF(Participant_Data!AP245="","",Participant_Data!AP245)</f>
        <v/>
      </c>
      <c r="G245" s="2" t="str">
        <f>IF(Participant_Data!AS245="","",Participant_Data!AS245)</f>
        <v/>
      </c>
      <c r="H245" s="4" t="str">
        <f t="shared" si="27"/>
        <v/>
      </c>
      <c r="I245" s="4" t="str">
        <f t="shared" si="28"/>
        <v/>
      </c>
      <c r="J245" s="4" t="str">
        <f t="shared" si="29"/>
        <v/>
      </c>
      <c r="K245" s="4" t="str">
        <f t="shared" si="30"/>
        <v/>
      </c>
      <c r="L245" s="4" t="str">
        <f t="shared" si="31"/>
        <v/>
      </c>
      <c r="M245" s="25" t="str">
        <f t="shared" si="32"/>
        <v/>
      </c>
      <c r="N245" s="25" t="str">
        <f t="shared" si="33"/>
        <v/>
      </c>
      <c r="O245" s="25" t="str">
        <f t="shared" si="34"/>
        <v/>
      </c>
      <c r="P245" s="2" t="str">
        <f t="shared" si="35"/>
        <v/>
      </c>
    </row>
    <row r="246" spans="1:16">
      <c r="A246" s="2">
        <f>IF(Participant_Data!A246="","",Participant_Data!A246)</f>
        <v>245</v>
      </c>
      <c r="B246" s="2" t="str">
        <f>IF(Participant_Data!B246="","",Participant_Data!B246)</f>
        <v/>
      </c>
      <c r="C246" s="3" t="str">
        <f>IF(Participant_Data!C246="","",Participant_Data!C246)</f>
        <v/>
      </c>
      <c r="D246" s="2" t="str">
        <f>IF(Participant_Data!F246="","",Participant_Data!F246)</f>
        <v/>
      </c>
      <c r="E246" s="2" t="str">
        <f>IF(Participant_Data!AO246="","",Participant_Data!AO246)</f>
        <v/>
      </c>
      <c r="F246" s="2" t="str">
        <f>IF(Participant_Data!AP246="","",Participant_Data!AP246)</f>
        <v/>
      </c>
      <c r="G246" s="2" t="str">
        <f>IF(Participant_Data!AS246="","",Participant_Data!AS246)</f>
        <v/>
      </c>
      <c r="H246" s="4" t="str">
        <f t="shared" si="27"/>
        <v/>
      </c>
      <c r="I246" s="4" t="str">
        <f t="shared" si="28"/>
        <v/>
      </c>
      <c r="J246" s="4" t="str">
        <f t="shared" si="29"/>
        <v/>
      </c>
      <c r="K246" s="4" t="str">
        <f t="shared" si="30"/>
        <v/>
      </c>
      <c r="L246" s="4" t="str">
        <f t="shared" si="31"/>
        <v/>
      </c>
      <c r="M246" s="25" t="str">
        <f t="shared" si="32"/>
        <v/>
      </c>
      <c r="N246" s="25" t="str">
        <f t="shared" si="33"/>
        <v/>
      </c>
      <c r="O246" s="25" t="str">
        <f t="shared" si="34"/>
        <v/>
      </c>
      <c r="P246" s="2" t="str">
        <f t="shared" si="35"/>
        <v/>
      </c>
    </row>
    <row r="247" spans="1:16">
      <c r="A247" s="2">
        <f>IF(Participant_Data!A247="","",Participant_Data!A247)</f>
        <v>246</v>
      </c>
      <c r="B247" s="2" t="str">
        <f>IF(Participant_Data!B247="","",Participant_Data!B247)</f>
        <v/>
      </c>
      <c r="C247" s="3" t="str">
        <f>IF(Participant_Data!C247="","",Participant_Data!C247)</f>
        <v/>
      </c>
      <c r="D247" s="2" t="str">
        <f>IF(Participant_Data!F247="","",Participant_Data!F247)</f>
        <v/>
      </c>
      <c r="E247" s="2" t="str">
        <f>IF(Participant_Data!AO247="","",Participant_Data!AO247)</f>
        <v/>
      </c>
      <c r="F247" s="2" t="str">
        <f>IF(Participant_Data!AP247="","",Participant_Data!AP247)</f>
        <v/>
      </c>
      <c r="G247" s="2" t="str">
        <f>IF(Participant_Data!AS247="","",Participant_Data!AS247)</f>
        <v/>
      </c>
      <c r="H247" s="4" t="str">
        <f t="shared" si="27"/>
        <v/>
      </c>
      <c r="I247" s="4" t="str">
        <f t="shared" si="28"/>
        <v/>
      </c>
      <c r="J247" s="4" t="str">
        <f t="shared" si="29"/>
        <v/>
      </c>
      <c r="K247" s="4" t="str">
        <f t="shared" si="30"/>
        <v/>
      </c>
      <c r="L247" s="4" t="str">
        <f t="shared" si="31"/>
        <v/>
      </c>
      <c r="M247" s="25" t="str">
        <f t="shared" si="32"/>
        <v/>
      </c>
      <c r="N247" s="25" t="str">
        <f t="shared" si="33"/>
        <v/>
      </c>
      <c r="O247" s="25" t="str">
        <f t="shared" si="34"/>
        <v/>
      </c>
      <c r="P247" s="2" t="str">
        <f t="shared" si="35"/>
        <v/>
      </c>
    </row>
    <row r="248" spans="1:16">
      <c r="A248" s="2">
        <f>IF(Participant_Data!A248="","",Participant_Data!A248)</f>
        <v>247</v>
      </c>
      <c r="B248" s="2" t="str">
        <f>IF(Participant_Data!B248="","",Participant_Data!B248)</f>
        <v/>
      </c>
      <c r="C248" s="3" t="str">
        <f>IF(Participant_Data!C248="","",Participant_Data!C248)</f>
        <v/>
      </c>
      <c r="D248" s="2" t="str">
        <f>IF(Participant_Data!F248="","",Participant_Data!F248)</f>
        <v/>
      </c>
      <c r="E248" s="2" t="str">
        <f>IF(Participant_Data!AO248="","",Participant_Data!AO248)</f>
        <v/>
      </c>
      <c r="F248" s="2" t="str">
        <f>IF(Participant_Data!AP248="","",Participant_Data!AP248)</f>
        <v/>
      </c>
      <c r="G248" s="2" t="str">
        <f>IF(Participant_Data!AS248="","",Participant_Data!AS248)</f>
        <v/>
      </c>
      <c r="H248" s="4" t="str">
        <f t="shared" si="27"/>
        <v/>
      </c>
      <c r="I248" s="4" t="str">
        <f t="shared" si="28"/>
        <v/>
      </c>
      <c r="J248" s="4" t="str">
        <f t="shared" si="29"/>
        <v/>
      </c>
      <c r="K248" s="4" t="str">
        <f t="shared" si="30"/>
        <v/>
      </c>
      <c r="L248" s="4" t="str">
        <f t="shared" si="31"/>
        <v/>
      </c>
      <c r="M248" s="25" t="str">
        <f t="shared" si="32"/>
        <v/>
      </c>
      <c r="N248" s="25" t="str">
        <f t="shared" si="33"/>
        <v/>
      </c>
      <c r="O248" s="25" t="str">
        <f t="shared" si="34"/>
        <v/>
      </c>
      <c r="P248" s="2" t="str">
        <f t="shared" si="35"/>
        <v/>
      </c>
    </row>
    <row r="249" spans="1:16">
      <c r="A249" s="2">
        <f>IF(Participant_Data!A249="","",Participant_Data!A249)</f>
        <v>248</v>
      </c>
      <c r="B249" s="2" t="str">
        <f>IF(Participant_Data!B249="","",Participant_Data!B249)</f>
        <v/>
      </c>
      <c r="C249" s="3" t="str">
        <f>IF(Participant_Data!C249="","",Participant_Data!C249)</f>
        <v/>
      </c>
      <c r="D249" s="2" t="str">
        <f>IF(Participant_Data!F249="","",Participant_Data!F249)</f>
        <v/>
      </c>
      <c r="E249" s="2" t="str">
        <f>IF(Participant_Data!AO249="","",Participant_Data!AO249)</f>
        <v/>
      </c>
      <c r="F249" s="2" t="str">
        <f>IF(Participant_Data!AP249="","",Participant_Data!AP249)</f>
        <v/>
      </c>
      <c r="G249" s="2" t="str">
        <f>IF(Participant_Data!AS249="","",Participant_Data!AS249)</f>
        <v/>
      </c>
      <c r="H249" s="4" t="str">
        <f t="shared" si="27"/>
        <v/>
      </c>
      <c r="I249" s="4" t="str">
        <f t="shared" si="28"/>
        <v/>
      </c>
      <c r="J249" s="4" t="str">
        <f t="shared" si="29"/>
        <v/>
      </c>
      <c r="K249" s="4" t="str">
        <f t="shared" si="30"/>
        <v/>
      </c>
      <c r="L249" s="4" t="str">
        <f t="shared" si="31"/>
        <v/>
      </c>
      <c r="M249" s="25" t="str">
        <f t="shared" si="32"/>
        <v/>
      </c>
      <c r="N249" s="25" t="str">
        <f t="shared" si="33"/>
        <v/>
      </c>
      <c r="O249" s="25" t="str">
        <f t="shared" si="34"/>
        <v/>
      </c>
      <c r="P249" s="2" t="str">
        <f t="shared" si="35"/>
        <v/>
      </c>
    </row>
    <row r="250" spans="1:16">
      <c r="A250" s="2">
        <f>IF(Participant_Data!A250="","",Participant_Data!A250)</f>
        <v>249</v>
      </c>
      <c r="B250" s="2" t="str">
        <f>IF(Participant_Data!B250="","",Participant_Data!B250)</f>
        <v/>
      </c>
      <c r="C250" s="3" t="str">
        <f>IF(Participant_Data!C250="","",Participant_Data!C250)</f>
        <v/>
      </c>
      <c r="D250" s="2" t="str">
        <f>IF(Participant_Data!F250="","",Participant_Data!F250)</f>
        <v/>
      </c>
      <c r="E250" s="2" t="str">
        <f>IF(Participant_Data!AO250="","",Participant_Data!AO250)</f>
        <v/>
      </c>
      <c r="F250" s="2" t="str">
        <f>IF(Participant_Data!AP250="","",Participant_Data!AP250)</f>
        <v/>
      </c>
      <c r="G250" s="2" t="str">
        <f>IF(Participant_Data!AS250="","",Participant_Data!AS250)</f>
        <v/>
      </c>
      <c r="H250" s="4" t="str">
        <f t="shared" si="27"/>
        <v/>
      </c>
      <c r="I250" s="4" t="str">
        <f t="shared" si="28"/>
        <v/>
      </c>
      <c r="J250" s="4" t="str">
        <f t="shared" si="29"/>
        <v/>
      </c>
      <c r="K250" s="4" t="str">
        <f t="shared" si="30"/>
        <v/>
      </c>
      <c r="L250" s="4" t="str">
        <f t="shared" si="31"/>
        <v/>
      </c>
      <c r="M250" s="25" t="str">
        <f t="shared" si="32"/>
        <v/>
      </c>
      <c r="N250" s="25" t="str">
        <f t="shared" si="33"/>
        <v/>
      </c>
      <c r="O250" s="25" t="str">
        <f t="shared" si="34"/>
        <v/>
      </c>
      <c r="P250" s="2" t="str">
        <f t="shared" si="35"/>
        <v/>
      </c>
    </row>
    <row r="251" spans="1:16">
      <c r="A251" s="2">
        <f>IF(Participant_Data!A251="","",Participant_Data!A251)</f>
        <v>250</v>
      </c>
      <c r="B251" s="2" t="str">
        <f>IF(Participant_Data!B251="","",Participant_Data!B251)</f>
        <v/>
      </c>
      <c r="C251" s="3" t="str">
        <f>IF(Participant_Data!C251="","",Participant_Data!C251)</f>
        <v/>
      </c>
      <c r="D251" s="2" t="str">
        <f>IF(Participant_Data!F251="","",Participant_Data!F251)</f>
        <v/>
      </c>
      <c r="E251" s="2" t="str">
        <f>IF(Participant_Data!AO251="","",Participant_Data!AO251)</f>
        <v/>
      </c>
      <c r="F251" s="2" t="str">
        <f>IF(Participant_Data!AP251="","",Participant_Data!AP251)</f>
        <v/>
      </c>
      <c r="G251" s="2" t="str">
        <f>IF(Participant_Data!AS251="","",Participant_Data!AS251)</f>
        <v/>
      </c>
      <c r="H251" s="4" t="str">
        <f t="shared" si="27"/>
        <v/>
      </c>
      <c r="I251" s="4" t="str">
        <f t="shared" si="28"/>
        <v/>
      </c>
      <c r="J251" s="4" t="str">
        <f t="shared" si="29"/>
        <v/>
      </c>
      <c r="K251" s="4" t="str">
        <f t="shared" si="30"/>
        <v/>
      </c>
      <c r="L251" s="4" t="str">
        <f t="shared" si="31"/>
        <v/>
      </c>
      <c r="M251" s="25" t="str">
        <f t="shared" si="32"/>
        <v/>
      </c>
      <c r="N251" s="25" t="str">
        <f t="shared" si="33"/>
        <v/>
      </c>
      <c r="O251" s="25" t="str">
        <f t="shared" si="34"/>
        <v/>
      </c>
      <c r="P251" s="2" t="str">
        <f t="shared" si="35"/>
        <v/>
      </c>
    </row>
    <row r="252" spans="1:16">
      <c r="A252" s="2">
        <f>IF(Participant_Data!A252="","",Participant_Data!A252)</f>
        <v>251</v>
      </c>
      <c r="B252" s="2" t="str">
        <f>IF(Participant_Data!B252="","",Participant_Data!B252)</f>
        <v/>
      </c>
      <c r="C252" s="3" t="str">
        <f>IF(Participant_Data!C252="","",Participant_Data!C252)</f>
        <v/>
      </c>
      <c r="D252" s="2" t="str">
        <f>IF(Participant_Data!F252="","",Participant_Data!F252)</f>
        <v/>
      </c>
      <c r="E252" s="2" t="str">
        <f>IF(Participant_Data!AO252="","",Participant_Data!AO252)</f>
        <v/>
      </c>
      <c r="F252" s="2" t="str">
        <f>IF(Participant_Data!AP252="","",Participant_Data!AP252)</f>
        <v/>
      </c>
      <c r="G252" s="2" t="str">
        <f>IF(Participant_Data!AS252="","",Participant_Data!AS252)</f>
        <v/>
      </c>
      <c r="H252" s="4" t="str">
        <f t="shared" si="27"/>
        <v/>
      </c>
      <c r="I252" s="4" t="str">
        <f t="shared" si="28"/>
        <v/>
      </c>
      <c r="J252" s="4" t="str">
        <f t="shared" si="29"/>
        <v/>
      </c>
      <c r="K252" s="4" t="str">
        <f t="shared" si="30"/>
        <v/>
      </c>
      <c r="L252" s="4" t="str">
        <f t="shared" si="31"/>
        <v/>
      </c>
      <c r="M252" s="25" t="str">
        <f t="shared" si="32"/>
        <v/>
      </c>
      <c r="N252" s="25" t="str">
        <f t="shared" si="33"/>
        <v/>
      </c>
      <c r="O252" s="25" t="str">
        <f t="shared" si="34"/>
        <v/>
      </c>
      <c r="P252" s="2" t="str">
        <f t="shared" si="35"/>
        <v/>
      </c>
    </row>
    <row r="253" spans="1:16">
      <c r="A253" s="2">
        <f>IF(Participant_Data!A253="","",Participant_Data!A253)</f>
        <v>252</v>
      </c>
      <c r="B253" s="2" t="str">
        <f>IF(Participant_Data!B253="","",Participant_Data!B253)</f>
        <v/>
      </c>
      <c r="C253" s="3" t="str">
        <f>IF(Participant_Data!C253="","",Participant_Data!C253)</f>
        <v/>
      </c>
      <c r="D253" s="2" t="str">
        <f>IF(Participant_Data!F253="","",Participant_Data!F253)</f>
        <v/>
      </c>
      <c r="E253" s="2" t="str">
        <f>IF(Participant_Data!AO253="","",Participant_Data!AO253)</f>
        <v/>
      </c>
      <c r="F253" s="2" t="str">
        <f>IF(Participant_Data!AP253="","",Participant_Data!AP253)</f>
        <v/>
      </c>
      <c r="G253" s="2" t="str">
        <f>IF(Participant_Data!AS253="","",Participant_Data!AS253)</f>
        <v/>
      </c>
      <c r="H253" s="4" t="str">
        <f t="shared" si="27"/>
        <v/>
      </c>
      <c r="I253" s="4" t="str">
        <f t="shared" si="28"/>
        <v/>
      </c>
      <c r="J253" s="4" t="str">
        <f t="shared" si="29"/>
        <v/>
      </c>
      <c r="K253" s="4" t="str">
        <f t="shared" si="30"/>
        <v/>
      </c>
      <c r="L253" s="4" t="str">
        <f t="shared" si="31"/>
        <v/>
      </c>
      <c r="M253" s="25" t="str">
        <f t="shared" si="32"/>
        <v/>
      </c>
      <c r="N253" s="25" t="str">
        <f t="shared" si="33"/>
        <v/>
      </c>
      <c r="O253" s="25" t="str">
        <f t="shared" si="34"/>
        <v/>
      </c>
      <c r="P253" s="2" t="str">
        <f t="shared" si="35"/>
        <v/>
      </c>
    </row>
    <row r="254" spans="1:16">
      <c r="A254" s="2">
        <f>IF(Participant_Data!A254="","",Participant_Data!A254)</f>
        <v>253</v>
      </c>
      <c r="B254" s="2" t="str">
        <f>IF(Participant_Data!B254="","",Participant_Data!B254)</f>
        <v/>
      </c>
      <c r="C254" s="3" t="str">
        <f>IF(Participant_Data!C254="","",Participant_Data!C254)</f>
        <v/>
      </c>
      <c r="D254" s="2" t="str">
        <f>IF(Participant_Data!F254="","",Participant_Data!F254)</f>
        <v/>
      </c>
      <c r="E254" s="2" t="str">
        <f>IF(Participant_Data!AO254="","",Participant_Data!AO254)</f>
        <v/>
      </c>
      <c r="F254" s="2" t="str">
        <f>IF(Participant_Data!AP254="","",Participant_Data!AP254)</f>
        <v/>
      </c>
      <c r="G254" s="2" t="str">
        <f>IF(Participant_Data!AS254="","",Participant_Data!AS254)</f>
        <v/>
      </c>
      <c r="H254" s="4" t="str">
        <f t="shared" si="27"/>
        <v/>
      </c>
      <c r="I254" s="4" t="str">
        <f t="shared" si="28"/>
        <v/>
      </c>
      <c r="J254" s="4" t="str">
        <f t="shared" si="29"/>
        <v/>
      </c>
      <c r="K254" s="4" t="str">
        <f t="shared" si="30"/>
        <v/>
      </c>
      <c r="L254" s="4" t="str">
        <f t="shared" si="31"/>
        <v/>
      </c>
      <c r="M254" s="25" t="str">
        <f t="shared" si="32"/>
        <v/>
      </c>
      <c r="N254" s="25" t="str">
        <f t="shared" si="33"/>
        <v/>
      </c>
      <c r="O254" s="25" t="str">
        <f t="shared" si="34"/>
        <v/>
      </c>
      <c r="P254" s="2" t="str">
        <f t="shared" si="35"/>
        <v/>
      </c>
    </row>
    <row r="255" spans="1:16">
      <c r="A255" s="2">
        <f>IF(Participant_Data!A255="","",Participant_Data!A255)</f>
        <v>254</v>
      </c>
      <c r="B255" s="2" t="str">
        <f>IF(Participant_Data!B255="","",Participant_Data!B255)</f>
        <v/>
      </c>
      <c r="C255" s="3" t="str">
        <f>IF(Participant_Data!C255="","",Participant_Data!C255)</f>
        <v/>
      </c>
      <c r="D255" s="2" t="str">
        <f>IF(Participant_Data!F255="","",Participant_Data!F255)</f>
        <v/>
      </c>
      <c r="E255" s="2" t="str">
        <f>IF(Participant_Data!AO255="","",Participant_Data!AO255)</f>
        <v/>
      </c>
      <c r="F255" s="2" t="str">
        <f>IF(Participant_Data!AP255="","",Participant_Data!AP255)</f>
        <v/>
      </c>
      <c r="G255" s="2" t="str">
        <f>IF(Participant_Data!AS255="","",Participant_Data!AS255)</f>
        <v/>
      </c>
      <c r="H255" s="4" t="str">
        <f t="shared" si="27"/>
        <v/>
      </c>
      <c r="I255" s="4" t="str">
        <f t="shared" si="28"/>
        <v/>
      </c>
      <c r="J255" s="4" t="str">
        <f t="shared" si="29"/>
        <v/>
      </c>
      <c r="K255" s="4" t="str">
        <f t="shared" si="30"/>
        <v/>
      </c>
      <c r="L255" s="4" t="str">
        <f t="shared" si="31"/>
        <v/>
      </c>
      <c r="M255" s="25" t="str">
        <f t="shared" si="32"/>
        <v/>
      </c>
      <c r="N255" s="25" t="str">
        <f t="shared" si="33"/>
        <v/>
      </c>
      <c r="O255" s="25" t="str">
        <f t="shared" si="34"/>
        <v/>
      </c>
      <c r="P255" s="2" t="str">
        <f t="shared" si="35"/>
        <v/>
      </c>
    </row>
    <row r="256" spans="1:16">
      <c r="A256" s="2">
        <f>IF(Participant_Data!A256="","",Participant_Data!A256)</f>
        <v>255</v>
      </c>
      <c r="B256" s="2" t="str">
        <f>IF(Participant_Data!B256="","",Participant_Data!B256)</f>
        <v/>
      </c>
      <c r="C256" s="3" t="str">
        <f>IF(Participant_Data!C256="","",Participant_Data!C256)</f>
        <v/>
      </c>
      <c r="D256" s="2" t="str">
        <f>IF(Participant_Data!F256="","",Participant_Data!F256)</f>
        <v/>
      </c>
      <c r="E256" s="2" t="str">
        <f>IF(Participant_Data!AO256="","",Participant_Data!AO256)</f>
        <v/>
      </c>
      <c r="F256" s="2" t="str">
        <f>IF(Participant_Data!AP256="","",Participant_Data!AP256)</f>
        <v/>
      </c>
      <c r="G256" s="2" t="str">
        <f>IF(Participant_Data!AS256="","",Participant_Data!AS256)</f>
        <v/>
      </c>
      <c r="H256" s="4" t="str">
        <f t="shared" si="27"/>
        <v/>
      </c>
      <c r="I256" s="4" t="str">
        <f t="shared" si="28"/>
        <v/>
      </c>
      <c r="J256" s="4" t="str">
        <f t="shared" si="29"/>
        <v/>
      </c>
      <c r="K256" s="4" t="str">
        <f t="shared" si="30"/>
        <v/>
      </c>
      <c r="L256" s="4" t="str">
        <f t="shared" si="31"/>
        <v/>
      </c>
      <c r="M256" s="25" t="str">
        <f t="shared" si="32"/>
        <v/>
      </c>
      <c r="N256" s="25" t="str">
        <f t="shared" si="33"/>
        <v/>
      </c>
      <c r="O256" s="25" t="str">
        <f t="shared" si="34"/>
        <v/>
      </c>
      <c r="P256" s="2" t="str">
        <f t="shared" si="35"/>
        <v/>
      </c>
    </row>
    <row r="257" spans="1:16">
      <c r="A257" s="2">
        <f>IF(Participant_Data!A257="","",Participant_Data!A257)</f>
        <v>256</v>
      </c>
      <c r="B257" s="2" t="str">
        <f>IF(Participant_Data!B257="","",Participant_Data!B257)</f>
        <v/>
      </c>
      <c r="C257" s="3" t="str">
        <f>IF(Participant_Data!C257="","",Participant_Data!C257)</f>
        <v/>
      </c>
      <c r="D257" s="2" t="str">
        <f>IF(Participant_Data!F257="","",Participant_Data!F257)</f>
        <v/>
      </c>
      <c r="E257" s="2" t="str">
        <f>IF(Participant_Data!AO257="","",Participant_Data!AO257)</f>
        <v/>
      </c>
      <c r="F257" s="2" t="str">
        <f>IF(Participant_Data!AP257="","",Participant_Data!AP257)</f>
        <v/>
      </c>
      <c r="G257" s="2" t="str">
        <f>IF(Participant_Data!AS257="","",Participant_Data!AS257)</f>
        <v/>
      </c>
      <c r="H257" s="4" t="str">
        <f t="shared" si="27"/>
        <v/>
      </c>
      <c r="I257" s="4" t="str">
        <f t="shared" si="28"/>
        <v/>
      </c>
      <c r="J257" s="4" t="str">
        <f t="shared" si="29"/>
        <v/>
      </c>
      <c r="K257" s="4" t="str">
        <f t="shared" si="30"/>
        <v/>
      </c>
      <c r="L257" s="4" t="str">
        <f t="shared" si="31"/>
        <v/>
      </c>
      <c r="M257" s="25" t="str">
        <f t="shared" si="32"/>
        <v/>
      </c>
      <c r="N257" s="25" t="str">
        <f t="shared" si="33"/>
        <v/>
      </c>
      <c r="O257" s="25" t="str">
        <f t="shared" si="34"/>
        <v/>
      </c>
      <c r="P257" s="2" t="str">
        <f t="shared" si="35"/>
        <v/>
      </c>
    </row>
    <row r="258" spans="1:16">
      <c r="A258" s="2">
        <f>IF(Participant_Data!A258="","",Participant_Data!A258)</f>
        <v>257</v>
      </c>
      <c r="B258" s="2" t="str">
        <f>IF(Participant_Data!B258="","",Participant_Data!B258)</f>
        <v/>
      </c>
      <c r="C258" s="3" t="str">
        <f>IF(Participant_Data!C258="","",Participant_Data!C258)</f>
        <v/>
      </c>
      <c r="D258" s="2" t="str">
        <f>IF(Participant_Data!F258="","",Participant_Data!F258)</f>
        <v/>
      </c>
      <c r="E258" s="2" t="str">
        <f>IF(Participant_Data!AO258="","",Participant_Data!AO258)</f>
        <v/>
      </c>
      <c r="F258" s="2" t="str">
        <f>IF(Participant_Data!AP258="","",Participant_Data!AP258)</f>
        <v/>
      </c>
      <c r="G258" s="2" t="str">
        <f>IF(Participant_Data!AS258="","",Participant_Data!AS258)</f>
        <v/>
      </c>
      <c r="H258" s="4" t="str">
        <f t="shared" ref="H258:H321" si="36">IF(OR(D258="",E258="",F258="",G258=""),"", -23.625 + 0.019*E258 - 0.377*F258 + 0.349*G258 - 2.336*D258)</f>
        <v/>
      </c>
      <c r="I258" s="4" t="str">
        <f t="shared" ref="I258:I301" si="37">IF(OR(D258="",E258="",F258="",G258=""),"", -9.655 + 0.039*E258 - 0.507*F258 + 0.189*G258 - 2.489*D258)</f>
        <v/>
      </c>
      <c r="J258" s="4" t="str">
        <f t="shared" ref="J258:J301" si="38">IF(H258="","",EXP(H258))</f>
        <v/>
      </c>
      <c r="K258" s="4" t="str">
        <f t="shared" ref="K258:K301" si="39">IF(I258="","",EXP(I258))</f>
        <v/>
      </c>
      <c r="L258" s="4" t="str">
        <f t="shared" ref="L258:L321" si="40">IF(OR(J258="",K258=""),"",1+J258+K258)</f>
        <v/>
      </c>
      <c r="M258" s="25" t="str">
        <f t="shared" ref="M258:M321" si="41">IF(L258="","",1/L258)</f>
        <v/>
      </c>
      <c r="N258" s="25" t="str">
        <f t="shared" ref="N258:N301" si="42">IF(L258="","",J258/L258)</f>
        <v/>
      </c>
      <c r="O258" s="25" t="str">
        <f t="shared" ref="O258:O301" si="43">IF(L258="","",K258/L258)</f>
        <v/>
      </c>
      <c r="P258" s="2" t="str">
        <f t="shared" ref="P258:P321" si="44">IF(OR(M258="",N258="",O258=""),"",IF(M258=MAX(M258:O258),"Under",IF(N258=MAX(M258:O258),"Over","Normal")))</f>
        <v/>
      </c>
    </row>
    <row r="259" spans="1:16">
      <c r="A259" s="2">
        <f>IF(Participant_Data!A259="","",Participant_Data!A259)</f>
        <v>258</v>
      </c>
      <c r="B259" s="2" t="str">
        <f>IF(Participant_Data!B259="","",Participant_Data!B259)</f>
        <v/>
      </c>
      <c r="C259" s="3" t="str">
        <f>IF(Participant_Data!C259="","",Participant_Data!C259)</f>
        <v/>
      </c>
      <c r="D259" s="2" t="str">
        <f>IF(Participant_Data!F259="","",Participant_Data!F259)</f>
        <v/>
      </c>
      <c r="E259" s="2" t="str">
        <f>IF(Participant_Data!AO259="","",Participant_Data!AO259)</f>
        <v/>
      </c>
      <c r="F259" s="2" t="str">
        <f>IF(Participant_Data!AP259="","",Participant_Data!AP259)</f>
        <v/>
      </c>
      <c r="G259" s="2" t="str">
        <f>IF(Participant_Data!AS259="","",Participant_Data!AS259)</f>
        <v/>
      </c>
      <c r="H259" s="4" t="str">
        <f t="shared" si="36"/>
        <v/>
      </c>
      <c r="I259" s="4" t="str">
        <f t="shared" si="37"/>
        <v/>
      </c>
      <c r="J259" s="4" t="str">
        <f t="shared" si="38"/>
        <v/>
      </c>
      <c r="K259" s="4" t="str">
        <f t="shared" si="39"/>
        <v/>
      </c>
      <c r="L259" s="4" t="str">
        <f t="shared" si="40"/>
        <v/>
      </c>
      <c r="M259" s="25" t="str">
        <f t="shared" si="41"/>
        <v/>
      </c>
      <c r="N259" s="25" t="str">
        <f t="shared" si="42"/>
        <v/>
      </c>
      <c r="O259" s="25" t="str">
        <f t="shared" si="43"/>
        <v/>
      </c>
      <c r="P259" s="2" t="str">
        <f t="shared" si="44"/>
        <v/>
      </c>
    </row>
    <row r="260" spans="1:16">
      <c r="A260" s="2">
        <f>IF(Participant_Data!A260="","",Participant_Data!A260)</f>
        <v>259</v>
      </c>
      <c r="B260" s="2" t="str">
        <f>IF(Participant_Data!B260="","",Participant_Data!B260)</f>
        <v/>
      </c>
      <c r="C260" s="3" t="str">
        <f>IF(Participant_Data!C260="","",Participant_Data!C260)</f>
        <v/>
      </c>
      <c r="D260" s="2" t="str">
        <f>IF(Participant_Data!F260="","",Participant_Data!F260)</f>
        <v/>
      </c>
      <c r="E260" s="2" t="str">
        <f>IF(Participant_Data!AO260="","",Participant_Data!AO260)</f>
        <v/>
      </c>
      <c r="F260" s="2" t="str">
        <f>IF(Participant_Data!AP260="","",Participant_Data!AP260)</f>
        <v/>
      </c>
      <c r="G260" s="2" t="str">
        <f>IF(Participant_Data!AS260="","",Participant_Data!AS260)</f>
        <v/>
      </c>
      <c r="H260" s="4" t="str">
        <f t="shared" si="36"/>
        <v/>
      </c>
      <c r="I260" s="4" t="str">
        <f t="shared" si="37"/>
        <v/>
      </c>
      <c r="J260" s="4" t="str">
        <f t="shared" si="38"/>
        <v/>
      </c>
      <c r="K260" s="4" t="str">
        <f t="shared" si="39"/>
        <v/>
      </c>
      <c r="L260" s="4" t="str">
        <f t="shared" si="40"/>
        <v/>
      </c>
      <c r="M260" s="25" t="str">
        <f t="shared" si="41"/>
        <v/>
      </c>
      <c r="N260" s="25" t="str">
        <f t="shared" si="42"/>
        <v/>
      </c>
      <c r="O260" s="25" t="str">
        <f t="shared" si="43"/>
        <v/>
      </c>
      <c r="P260" s="2" t="str">
        <f t="shared" si="44"/>
        <v/>
      </c>
    </row>
    <row r="261" spans="1:16">
      <c r="A261" s="2">
        <f>IF(Participant_Data!A261="","",Participant_Data!A261)</f>
        <v>260</v>
      </c>
      <c r="B261" s="2" t="str">
        <f>IF(Participant_Data!B261="","",Participant_Data!B261)</f>
        <v/>
      </c>
      <c r="C261" s="3" t="str">
        <f>IF(Participant_Data!C261="","",Participant_Data!C261)</f>
        <v/>
      </c>
      <c r="D261" s="2" t="str">
        <f>IF(Participant_Data!F261="","",Participant_Data!F261)</f>
        <v/>
      </c>
      <c r="E261" s="2" t="str">
        <f>IF(Participant_Data!AO261="","",Participant_Data!AO261)</f>
        <v/>
      </c>
      <c r="F261" s="2" t="str">
        <f>IF(Participant_Data!AP261="","",Participant_Data!AP261)</f>
        <v/>
      </c>
      <c r="G261" s="2" t="str">
        <f>IF(Participant_Data!AS261="","",Participant_Data!AS261)</f>
        <v/>
      </c>
      <c r="H261" s="4" t="str">
        <f t="shared" si="36"/>
        <v/>
      </c>
      <c r="I261" s="4" t="str">
        <f t="shared" si="37"/>
        <v/>
      </c>
      <c r="J261" s="4" t="str">
        <f t="shared" si="38"/>
        <v/>
      </c>
      <c r="K261" s="4" t="str">
        <f t="shared" si="39"/>
        <v/>
      </c>
      <c r="L261" s="4" t="str">
        <f t="shared" si="40"/>
        <v/>
      </c>
      <c r="M261" s="25" t="str">
        <f t="shared" si="41"/>
        <v/>
      </c>
      <c r="N261" s="25" t="str">
        <f t="shared" si="42"/>
        <v/>
      </c>
      <c r="O261" s="25" t="str">
        <f t="shared" si="43"/>
        <v/>
      </c>
      <c r="P261" s="2" t="str">
        <f t="shared" si="44"/>
        <v/>
      </c>
    </row>
    <row r="262" spans="1:16">
      <c r="A262" s="2">
        <f>IF(Participant_Data!A262="","",Participant_Data!A262)</f>
        <v>261</v>
      </c>
      <c r="B262" s="2" t="str">
        <f>IF(Participant_Data!B262="","",Participant_Data!B262)</f>
        <v/>
      </c>
      <c r="C262" s="3" t="str">
        <f>IF(Participant_Data!C262="","",Participant_Data!C262)</f>
        <v/>
      </c>
      <c r="D262" s="2" t="str">
        <f>IF(Participant_Data!F262="","",Participant_Data!F262)</f>
        <v/>
      </c>
      <c r="E262" s="2" t="str">
        <f>IF(Participant_Data!AO262="","",Participant_Data!AO262)</f>
        <v/>
      </c>
      <c r="F262" s="2" t="str">
        <f>IF(Participant_Data!AP262="","",Participant_Data!AP262)</f>
        <v/>
      </c>
      <c r="G262" s="2" t="str">
        <f>IF(Participant_Data!AS262="","",Participant_Data!AS262)</f>
        <v/>
      </c>
      <c r="H262" s="4" t="str">
        <f t="shared" si="36"/>
        <v/>
      </c>
      <c r="I262" s="4" t="str">
        <f t="shared" si="37"/>
        <v/>
      </c>
      <c r="J262" s="4" t="str">
        <f t="shared" si="38"/>
        <v/>
      </c>
      <c r="K262" s="4" t="str">
        <f t="shared" si="39"/>
        <v/>
      </c>
      <c r="L262" s="4" t="str">
        <f t="shared" si="40"/>
        <v/>
      </c>
      <c r="M262" s="25" t="str">
        <f t="shared" si="41"/>
        <v/>
      </c>
      <c r="N262" s="25" t="str">
        <f t="shared" si="42"/>
        <v/>
      </c>
      <c r="O262" s="25" t="str">
        <f t="shared" si="43"/>
        <v/>
      </c>
      <c r="P262" s="2" t="str">
        <f t="shared" si="44"/>
        <v/>
      </c>
    </row>
    <row r="263" spans="1:16">
      <c r="A263" s="2">
        <f>IF(Participant_Data!A263="","",Participant_Data!A263)</f>
        <v>262</v>
      </c>
      <c r="B263" s="2" t="str">
        <f>IF(Participant_Data!B263="","",Participant_Data!B263)</f>
        <v/>
      </c>
      <c r="C263" s="3" t="str">
        <f>IF(Participant_Data!C263="","",Participant_Data!C263)</f>
        <v/>
      </c>
      <c r="D263" s="2" t="str">
        <f>IF(Participant_Data!F263="","",Participant_Data!F263)</f>
        <v/>
      </c>
      <c r="E263" s="2" t="str">
        <f>IF(Participant_Data!AO263="","",Participant_Data!AO263)</f>
        <v/>
      </c>
      <c r="F263" s="2" t="str">
        <f>IF(Participant_Data!AP263="","",Participant_Data!AP263)</f>
        <v/>
      </c>
      <c r="G263" s="2" t="str">
        <f>IF(Participant_Data!AS263="","",Participant_Data!AS263)</f>
        <v/>
      </c>
      <c r="H263" s="4" t="str">
        <f t="shared" si="36"/>
        <v/>
      </c>
      <c r="I263" s="4" t="str">
        <f t="shared" si="37"/>
        <v/>
      </c>
      <c r="J263" s="4" t="str">
        <f t="shared" si="38"/>
        <v/>
      </c>
      <c r="K263" s="4" t="str">
        <f t="shared" si="39"/>
        <v/>
      </c>
      <c r="L263" s="4" t="str">
        <f t="shared" si="40"/>
        <v/>
      </c>
      <c r="M263" s="25" t="str">
        <f t="shared" si="41"/>
        <v/>
      </c>
      <c r="N263" s="25" t="str">
        <f t="shared" si="42"/>
        <v/>
      </c>
      <c r="O263" s="25" t="str">
        <f t="shared" si="43"/>
        <v/>
      </c>
      <c r="P263" s="2" t="str">
        <f t="shared" si="44"/>
        <v/>
      </c>
    </row>
    <row r="264" spans="1:16">
      <c r="A264" s="2">
        <f>IF(Participant_Data!A264="","",Participant_Data!A264)</f>
        <v>263</v>
      </c>
      <c r="B264" s="2" t="str">
        <f>IF(Participant_Data!B264="","",Participant_Data!B264)</f>
        <v/>
      </c>
      <c r="C264" s="3" t="str">
        <f>IF(Participant_Data!C264="","",Participant_Data!C264)</f>
        <v/>
      </c>
      <c r="D264" s="2" t="str">
        <f>IF(Participant_Data!F264="","",Participant_Data!F264)</f>
        <v/>
      </c>
      <c r="E264" s="2" t="str">
        <f>IF(Participant_Data!AO264="","",Participant_Data!AO264)</f>
        <v/>
      </c>
      <c r="F264" s="2" t="str">
        <f>IF(Participant_Data!AP264="","",Participant_Data!AP264)</f>
        <v/>
      </c>
      <c r="G264" s="2" t="str">
        <f>IF(Participant_Data!AS264="","",Participant_Data!AS264)</f>
        <v/>
      </c>
      <c r="H264" s="4" t="str">
        <f t="shared" si="36"/>
        <v/>
      </c>
      <c r="I264" s="4" t="str">
        <f t="shared" si="37"/>
        <v/>
      </c>
      <c r="J264" s="4" t="str">
        <f t="shared" si="38"/>
        <v/>
      </c>
      <c r="K264" s="4" t="str">
        <f t="shared" si="39"/>
        <v/>
      </c>
      <c r="L264" s="4" t="str">
        <f t="shared" si="40"/>
        <v/>
      </c>
      <c r="M264" s="25" t="str">
        <f t="shared" si="41"/>
        <v/>
      </c>
      <c r="N264" s="25" t="str">
        <f t="shared" si="42"/>
        <v/>
      </c>
      <c r="O264" s="25" t="str">
        <f t="shared" si="43"/>
        <v/>
      </c>
      <c r="P264" s="2" t="str">
        <f t="shared" si="44"/>
        <v/>
      </c>
    </row>
    <row r="265" spans="1:16">
      <c r="A265" s="2">
        <f>IF(Participant_Data!A265="","",Participant_Data!A265)</f>
        <v>264</v>
      </c>
      <c r="B265" s="2" t="str">
        <f>IF(Participant_Data!B265="","",Participant_Data!B265)</f>
        <v/>
      </c>
      <c r="C265" s="3" t="str">
        <f>IF(Participant_Data!C265="","",Participant_Data!C265)</f>
        <v/>
      </c>
      <c r="D265" s="2" t="str">
        <f>IF(Participant_Data!F265="","",Participant_Data!F265)</f>
        <v/>
      </c>
      <c r="E265" s="2" t="str">
        <f>IF(Participant_Data!AO265="","",Participant_Data!AO265)</f>
        <v/>
      </c>
      <c r="F265" s="2" t="str">
        <f>IF(Participant_Data!AP265="","",Participant_Data!AP265)</f>
        <v/>
      </c>
      <c r="G265" s="2" t="str">
        <f>IF(Participant_Data!AS265="","",Participant_Data!AS265)</f>
        <v/>
      </c>
      <c r="H265" s="4" t="str">
        <f t="shared" si="36"/>
        <v/>
      </c>
      <c r="I265" s="4" t="str">
        <f t="shared" si="37"/>
        <v/>
      </c>
      <c r="J265" s="4" t="str">
        <f t="shared" si="38"/>
        <v/>
      </c>
      <c r="K265" s="4" t="str">
        <f t="shared" si="39"/>
        <v/>
      </c>
      <c r="L265" s="4" t="str">
        <f t="shared" si="40"/>
        <v/>
      </c>
      <c r="M265" s="25" t="str">
        <f t="shared" si="41"/>
        <v/>
      </c>
      <c r="N265" s="25" t="str">
        <f t="shared" si="42"/>
        <v/>
      </c>
      <c r="O265" s="25" t="str">
        <f t="shared" si="43"/>
        <v/>
      </c>
      <c r="P265" s="2" t="str">
        <f t="shared" si="44"/>
        <v/>
      </c>
    </row>
    <row r="266" spans="1:16">
      <c r="A266" s="2">
        <f>IF(Participant_Data!A266="","",Participant_Data!A266)</f>
        <v>265</v>
      </c>
      <c r="B266" s="2" t="str">
        <f>IF(Participant_Data!B266="","",Participant_Data!B266)</f>
        <v/>
      </c>
      <c r="C266" s="3" t="str">
        <f>IF(Participant_Data!C266="","",Participant_Data!C266)</f>
        <v/>
      </c>
      <c r="D266" s="2" t="str">
        <f>IF(Participant_Data!F266="","",Participant_Data!F266)</f>
        <v/>
      </c>
      <c r="E266" s="2" t="str">
        <f>IF(Participant_Data!AO266="","",Participant_Data!AO266)</f>
        <v/>
      </c>
      <c r="F266" s="2" t="str">
        <f>IF(Participant_Data!AP266="","",Participant_Data!AP266)</f>
        <v/>
      </c>
      <c r="G266" s="2" t="str">
        <f>IF(Participant_Data!AS266="","",Participant_Data!AS266)</f>
        <v/>
      </c>
      <c r="H266" s="4" t="str">
        <f t="shared" si="36"/>
        <v/>
      </c>
      <c r="I266" s="4" t="str">
        <f t="shared" si="37"/>
        <v/>
      </c>
      <c r="J266" s="4" t="str">
        <f t="shared" si="38"/>
        <v/>
      </c>
      <c r="K266" s="4" t="str">
        <f t="shared" si="39"/>
        <v/>
      </c>
      <c r="L266" s="4" t="str">
        <f t="shared" si="40"/>
        <v/>
      </c>
      <c r="M266" s="25" t="str">
        <f t="shared" si="41"/>
        <v/>
      </c>
      <c r="N266" s="25" t="str">
        <f t="shared" si="42"/>
        <v/>
      </c>
      <c r="O266" s="25" t="str">
        <f t="shared" si="43"/>
        <v/>
      </c>
      <c r="P266" s="2" t="str">
        <f t="shared" si="44"/>
        <v/>
      </c>
    </row>
    <row r="267" spans="1:16">
      <c r="A267" s="2">
        <f>IF(Participant_Data!A267="","",Participant_Data!A267)</f>
        <v>266</v>
      </c>
      <c r="B267" s="2" t="str">
        <f>IF(Participant_Data!B267="","",Participant_Data!B267)</f>
        <v/>
      </c>
      <c r="C267" s="3" t="str">
        <f>IF(Participant_Data!C267="","",Participant_Data!C267)</f>
        <v/>
      </c>
      <c r="D267" s="2" t="str">
        <f>IF(Participant_Data!F267="","",Participant_Data!F267)</f>
        <v/>
      </c>
      <c r="E267" s="2" t="str">
        <f>IF(Participant_Data!AO267="","",Participant_Data!AO267)</f>
        <v/>
      </c>
      <c r="F267" s="2" t="str">
        <f>IF(Participant_Data!AP267="","",Participant_Data!AP267)</f>
        <v/>
      </c>
      <c r="G267" s="2" t="str">
        <f>IF(Participant_Data!AS267="","",Participant_Data!AS267)</f>
        <v/>
      </c>
      <c r="H267" s="4" t="str">
        <f t="shared" si="36"/>
        <v/>
      </c>
      <c r="I267" s="4" t="str">
        <f t="shared" si="37"/>
        <v/>
      </c>
      <c r="J267" s="4" t="str">
        <f t="shared" si="38"/>
        <v/>
      </c>
      <c r="K267" s="4" t="str">
        <f t="shared" si="39"/>
        <v/>
      </c>
      <c r="L267" s="4" t="str">
        <f t="shared" si="40"/>
        <v/>
      </c>
      <c r="M267" s="25" t="str">
        <f t="shared" si="41"/>
        <v/>
      </c>
      <c r="N267" s="25" t="str">
        <f t="shared" si="42"/>
        <v/>
      </c>
      <c r="O267" s="25" t="str">
        <f t="shared" si="43"/>
        <v/>
      </c>
      <c r="P267" s="2" t="str">
        <f t="shared" si="44"/>
        <v/>
      </c>
    </row>
    <row r="268" spans="1:16">
      <c r="A268" s="2">
        <f>IF(Participant_Data!A268="","",Participant_Data!A268)</f>
        <v>267</v>
      </c>
      <c r="B268" s="2" t="str">
        <f>IF(Participant_Data!B268="","",Participant_Data!B268)</f>
        <v/>
      </c>
      <c r="C268" s="3" t="str">
        <f>IF(Participant_Data!C268="","",Participant_Data!C268)</f>
        <v/>
      </c>
      <c r="D268" s="2" t="str">
        <f>IF(Participant_Data!F268="","",Participant_Data!F268)</f>
        <v/>
      </c>
      <c r="E268" s="2" t="str">
        <f>IF(Participant_Data!AO268="","",Participant_Data!AO268)</f>
        <v/>
      </c>
      <c r="F268" s="2" t="str">
        <f>IF(Participant_Data!AP268="","",Participant_Data!AP268)</f>
        <v/>
      </c>
      <c r="G268" s="2" t="str">
        <f>IF(Participant_Data!AS268="","",Participant_Data!AS268)</f>
        <v/>
      </c>
      <c r="H268" s="4" t="str">
        <f t="shared" si="36"/>
        <v/>
      </c>
      <c r="I268" s="4" t="str">
        <f t="shared" si="37"/>
        <v/>
      </c>
      <c r="J268" s="4" t="str">
        <f t="shared" si="38"/>
        <v/>
      </c>
      <c r="K268" s="4" t="str">
        <f t="shared" si="39"/>
        <v/>
      </c>
      <c r="L268" s="4" t="str">
        <f t="shared" si="40"/>
        <v/>
      </c>
      <c r="M268" s="25" t="str">
        <f t="shared" si="41"/>
        <v/>
      </c>
      <c r="N268" s="25" t="str">
        <f t="shared" si="42"/>
        <v/>
      </c>
      <c r="O268" s="25" t="str">
        <f t="shared" si="43"/>
        <v/>
      </c>
      <c r="P268" s="2" t="str">
        <f t="shared" si="44"/>
        <v/>
      </c>
    </row>
    <row r="269" spans="1:16">
      <c r="A269" s="2">
        <f>IF(Participant_Data!A269="","",Participant_Data!A269)</f>
        <v>268</v>
      </c>
      <c r="B269" s="2" t="str">
        <f>IF(Participant_Data!B269="","",Participant_Data!B269)</f>
        <v/>
      </c>
      <c r="C269" s="3" t="str">
        <f>IF(Participant_Data!C269="","",Participant_Data!C269)</f>
        <v/>
      </c>
      <c r="D269" s="2" t="str">
        <f>IF(Participant_Data!F269="","",Participant_Data!F269)</f>
        <v/>
      </c>
      <c r="E269" s="2" t="str">
        <f>IF(Participant_Data!AO269="","",Participant_Data!AO269)</f>
        <v/>
      </c>
      <c r="F269" s="2" t="str">
        <f>IF(Participant_Data!AP269="","",Participant_Data!AP269)</f>
        <v/>
      </c>
      <c r="G269" s="2" t="str">
        <f>IF(Participant_Data!AS269="","",Participant_Data!AS269)</f>
        <v/>
      </c>
      <c r="H269" s="4" t="str">
        <f t="shared" si="36"/>
        <v/>
      </c>
      <c r="I269" s="4" t="str">
        <f t="shared" si="37"/>
        <v/>
      </c>
      <c r="J269" s="4" t="str">
        <f t="shared" si="38"/>
        <v/>
      </c>
      <c r="K269" s="4" t="str">
        <f t="shared" si="39"/>
        <v/>
      </c>
      <c r="L269" s="4" t="str">
        <f t="shared" si="40"/>
        <v/>
      </c>
      <c r="M269" s="25" t="str">
        <f t="shared" si="41"/>
        <v/>
      </c>
      <c r="N269" s="25" t="str">
        <f t="shared" si="42"/>
        <v/>
      </c>
      <c r="O269" s="25" t="str">
        <f t="shared" si="43"/>
        <v/>
      </c>
      <c r="P269" s="2" t="str">
        <f t="shared" si="44"/>
        <v/>
      </c>
    </row>
    <row r="270" spans="1:16">
      <c r="A270" s="2">
        <f>IF(Participant_Data!A270="","",Participant_Data!A270)</f>
        <v>269</v>
      </c>
      <c r="B270" s="2" t="str">
        <f>IF(Participant_Data!B270="","",Participant_Data!B270)</f>
        <v/>
      </c>
      <c r="C270" s="3" t="str">
        <f>IF(Participant_Data!C270="","",Participant_Data!C270)</f>
        <v/>
      </c>
      <c r="D270" s="2" t="str">
        <f>IF(Participant_Data!F270="","",Participant_Data!F270)</f>
        <v/>
      </c>
      <c r="E270" s="2" t="str">
        <f>IF(Participant_Data!AO270="","",Participant_Data!AO270)</f>
        <v/>
      </c>
      <c r="F270" s="2" t="str">
        <f>IF(Participant_Data!AP270="","",Participant_Data!AP270)</f>
        <v/>
      </c>
      <c r="G270" s="2" t="str">
        <f>IF(Participant_Data!AS270="","",Participant_Data!AS270)</f>
        <v/>
      </c>
      <c r="H270" s="4" t="str">
        <f t="shared" si="36"/>
        <v/>
      </c>
      <c r="I270" s="4" t="str">
        <f t="shared" si="37"/>
        <v/>
      </c>
      <c r="J270" s="4" t="str">
        <f t="shared" si="38"/>
        <v/>
      </c>
      <c r="K270" s="4" t="str">
        <f t="shared" si="39"/>
        <v/>
      </c>
      <c r="L270" s="4" t="str">
        <f t="shared" si="40"/>
        <v/>
      </c>
      <c r="M270" s="25" t="str">
        <f t="shared" si="41"/>
        <v/>
      </c>
      <c r="N270" s="25" t="str">
        <f t="shared" si="42"/>
        <v/>
      </c>
      <c r="O270" s="25" t="str">
        <f t="shared" si="43"/>
        <v/>
      </c>
      <c r="P270" s="2" t="str">
        <f t="shared" si="44"/>
        <v/>
      </c>
    </row>
    <row r="271" spans="1:16">
      <c r="A271" s="2">
        <f>IF(Participant_Data!A271="","",Participant_Data!A271)</f>
        <v>270</v>
      </c>
      <c r="B271" s="2" t="str">
        <f>IF(Participant_Data!B271="","",Participant_Data!B271)</f>
        <v/>
      </c>
      <c r="C271" s="3" t="str">
        <f>IF(Participant_Data!C271="","",Participant_Data!C271)</f>
        <v/>
      </c>
      <c r="D271" s="2" t="str">
        <f>IF(Participant_Data!F271="","",Participant_Data!F271)</f>
        <v/>
      </c>
      <c r="E271" s="2" t="str">
        <f>IF(Participant_Data!AO271="","",Participant_Data!AO271)</f>
        <v/>
      </c>
      <c r="F271" s="2" t="str">
        <f>IF(Participant_Data!AP271="","",Participant_Data!AP271)</f>
        <v/>
      </c>
      <c r="G271" s="2" t="str">
        <f>IF(Participant_Data!AS271="","",Participant_Data!AS271)</f>
        <v/>
      </c>
      <c r="H271" s="4" t="str">
        <f t="shared" si="36"/>
        <v/>
      </c>
      <c r="I271" s="4" t="str">
        <f t="shared" si="37"/>
        <v/>
      </c>
      <c r="J271" s="4" t="str">
        <f t="shared" si="38"/>
        <v/>
      </c>
      <c r="K271" s="4" t="str">
        <f t="shared" si="39"/>
        <v/>
      </c>
      <c r="L271" s="4" t="str">
        <f t="shared" si="40"/>
        <v/>
      </c>
      <c r="M271" s="25" t="str">
        <f t="shared" si="41"/>
        <v/>
      </c>
      <c r="N271" s="25" t="str">
        <f t="shared" si="42"/>
        <v/>
      </c>
      <c r="O271" s="25" t="str">
        <f t="shared" si="43"/>
        <v/>
      </c>
      <c r="P271" s="2" t="str">
        <f t="shared" si="44"/>
        <v/>
      </c>
    </row>
    <row r="272" spans="1:16">
      <c r="A272" s="2">
        <f>IF(Participant_Data!A272="","",Participant_Data!A272)</f>
        <v>271</v>
      </c>
      <c r="B272" s="2" t="str">
        <f>IF(Participant_Data!B272="","",Participant_Data!B272)</f>
        <v/>
      </c>
      <c r="C272" s="3" t="str">
        <f>IF(Participant_Data!C272="","",Participant_Data!C272)</f>
        <v/>
      </c>
      <c r="D272" s="2" t="str">
        <f>IF(Participant_Data!F272="","",Participant_Data!F272)</f>
        <v/>
      </c>
      <c r="E272" s="2" t="str">
        <f>IF(Participant_Data!AO272="","",Participant_Data!AO272)</f>
        <v/>
      </c>
      <c r="F272" s="2" t="str">
        <f>IF(Participant_Data!AP272="","",Participant_Data!AP272)</f>
        <v/>
      </c>
      <c r="G272" s="2" t="str">
        <f>IF(Participant_Data!AS272="","",Participant_Data!AS272)</f>
        <v/>
      </c>
      <c r="H272" s="4" t="str">
        <f t="shared" si="36"/>
        <v/>
      </c>
      <c r="I272" s="4" t="str">
        <f t="shared" si="37"/>
        <v/>
      </c>
      <c r="J272" s="4" t="str">
        <f t="shared" si="38"/>
        <v/>
      </c>
      <c r="K272" s="4" t="str">
        <f t="shared" si="39"/>
        <v/>
      </c>
      <c r="L272" s="4" t="str">
        <f t="shared" si="40"/>
        <v/>
      </c>
      <c r="M272" s="25" t="str">
        <f t="shared" si="41"/>
        <v/>
      </c>
      <c r="N272" s="25" t="str">
        <f t="shared" si="42"/>
        <v/>
      </c>
      <c r="O272" s="25" t="str">
        <f t="shared" si="43"/>
        <v/>
      </c>
      <c r="P272" s="2" t="str">
        <f t="shared" si="44"/>
        <v/>
      </c>
    </row>
    <row r="273" spans="1:16">
      <c r="A273" s="2">
        <f>IF(Participant_Data!A273="","",Participant_Data!A273)</f>
        <v>272</v>
      </c>
      <c r="B273" s="2" t="str">
        <f>IF(Participant_Data!B273="","",Participant_Data!B273)</f>
        <v/>
      </c>
      <c r="C273" s="3" t="str">
        <f>IF(Participant_Data!C273="","",Participant_Data!C273)</f>
        <v/>
      </c>
      <c r="D273" s="2" t="str">
        <f>IF(Participant_Data!F273="","",Participant_Data!F273)</f>
        <v/>
      </c>
      <c r="E273" s="2" t="str">
        <f>IF(Participant_Data!AO273="","",Participant_Data!AO273)</f>
        <v/>
      </c>
      <c r="F273" s="2" t="str">
        <f>IF(Participant_Data!AP273="","",Participant_Data!AP273)</f>
        <v/>
      </c>
      <c r="G273" s="2" t="str">
        <f>IF(Participant_Data!AS273="","",Participant_Data!AS273)</f>
        <v/>
      </c>
      <c r="H273" s="4" t="str">
        <f t="shared" si="36"/>
        <v/>
      </c>
      <c r="I273" s="4" t="str">
        <f t="shared" si="37"/>
        <v/>
      </c>
      <c r="J273" s="4" t="str">
        <f t="shared" si="38"/>
        <v/>
      </c>
      <c r="K273" s="4" t="str">
        <f t="shared" si="39"/>
        <v/>
      </c>
      <c r="L273" s="4" t="str">
        <f t="shared" si="40"/>
        <v/>
      </c>
      <c r="M273" s="25" t="str">
        <f t="shared" si="41"/>
        <v/>
      </c>
      <c r="N273" s="25" t="str">
        <f t="shared" si="42"/>
        <v/>
      </c>
      <c r="O273" s="25" t="str">
        <f t="shared" si="43"/>
        <v/>
      </c>
      <c r="P273" s="2" t="str">
        <f t="shared" si="44"/>
        <v/>
      </c>
    </row>
    <row r="274" spans="1:16">
      <c r="A274" s="2">
        <f>IF(Participant_Data!A274="","",Participant_Data!A274)</f>
        <v>273</v>
      </c>
      <c r="B274" s="2" t="str">
        <f>IF(Participant_Data!B274="","",Participant_Data!B274)</f>
        <v/>
      </c>
      <c r="C274" s="3" t="str">
        <f>IF(Participant_Data!C274="","",Participant_Data!C274)</f>
        <v/>
      </c>
      <c r="D274" s="2" t="str">
        <f>IF(Participant_Data!F274="","",Participant_Data!F274)</f>
        <v/>
      </c>
      <c r="E274" s="2" t="str">
        <f>IF(Participant_Data!AO274="","",Participant_Data!AO274)</f>
        <v/>
      </c>
      <c r="F274" s="2" t="str">
        <f>IF(Participant_Data!AP274="","",Participant_Data!AP274)</f>
        <v/>
      </c>
      <c r="G274" s="2" t="str">
        <f>IF(Participant_Data!AS274="","",Participant_Data!AS274)</f>
        <v/>
      </c>
      <c r="H274" s="4" t="str">
        <f t="shared" si="36"/>
        <v/>
      </c>
      <c r="I274" s="4" t="str">
        <f t="shared" si="37"/>
        <v/>
      </c>
      <c r="J274" s="4" t="str">
        <f t="shared" si="38"/>
        <v/>
      </c>
      <c r="K274" s="4" t="str">
        <f t="shared" si="39"/>
        <v/>
      </c>
      <c r="L274" s="4" t="str">
        <f t="shared" si="40"/>
        <v/>
      </c>
      <c r="M274" s="25" t="str">
        <f t="shared" si="41"/>
        <v/>
      </c>
      <c r="N274" s="25" t="str">
        <f t="shared" si="42"/>
        <v/>
      </c>
      <c r="O274" s="25" t="str">
        <f t="shared" si="43"/>
        <v/>
      </c>
      <c r="P274" s="2" t="str">
        <f t="shared" si="44"/>
        <v/>
      </c>
    </row>
    <row r="275" spans="1:16">
      <c r="A275" s="2">
        <f>IF(Participant_Data!A275="","",Participant_Data!A275)</f>
        <v>274</v>
      </c>
      <c r="B275" s="2" t="str">
        <f>IF(Participant_Data!B275="","",Participant_Data!B275)</f>
        <v/>
      </c>
      <c r="C275" s="3" t="str">
        <f>IF(Participant_Data!C275="","",Participant_Data!C275)</f>
        <v/>
      </c>
      <c r="D275" s="2" t="str">
        <f>IF(Participant_Data!F275="","",Participant_Data!F275)</f>
        <v/>
      </c>
      <c r="E275" s="2" t="str">
        <f>IF(Participant_Data!AO275="","",Participant_Data!AO275)</f>
        <v/>
      </c>
      <c r="F275" s="2" t="str">
        <f>IF(Participant_Data!AP275="","",Participant_Data!AP275)</f>
        <v/>
      </c>
      <c r="G275" s="2" t="str">
        <f>IF(Participant_Data!AS275="","",Participant_Data!AS275)</f>
        <v/>
      </c>
      <c r="H275" s="4" t="str">
        <f t="shared" si="36"/>
        <v/>
      </c>
      <c r="I275" s="4" t="str">
        <f t="shared" si="37"/>
        <v/>
      </c>
      <c r="J275" s="4" t="str">
        <f t="shared" si="38"/>
        <v/>
      </c>
      <c r="K275" s="4" t="str">
        <f t="shared" si="39"/>
        <v/>
      </c>
      <c r="L275" s="4" t="str">
        <f t="shared" si="40"/>
        <v/>
      </c>
      <c r="M275" s="25" t="str">
        <f t="shared" si="41"/>
        <v/>
      </c>
      <c r="N275" s="25" t="str">
        <f t="shared" si="42"/>
        <v/>
      </c>
      <c r="O275" s="25" t="str">
        <f t="shared" si="43"/>
        <v/>
      </c>
      <c r="P275" s="2" t="str">
        <f t="shared" si="44"/>
        <v/>
      </c>
    </row>
    <row r="276" spans="1:16">
      <c r="A276" s="2">
        <f>IF(Participant_Data!A276="","",Participant_Data!A276)</f>
        <v>275</v>
      </c>
      <c r="B276" s="2" t="str">
        <f>IF(Participant_Data!B276="","",Participant_Data!B276)</f>
        <v/>
      </c>
      <c r="C276" s="3" t="str">
        <f>IF(Participant_Data!C276="","",Participant_Data!C276)</f>
        <v/>
      </c>
      <c r="D276" s="2" t="str">
        <f>IF(Participant_Data!F276="","",Participant_Data!F276)</f>
        <v/>
      </c>
      <c r="E276" s="2" t="str">
        <f>IF(Participant_Data!AO276="","",Participant_Data!AO276)</f>
        <v/>
      </c>
      <c r="F276" s="2" t="str">
        <f>IF(Participant_Data!AP276="","",Participant_Data!AP276)</f>
        <v/>
      </c>
      <c r="G276" s="2" t="str">
        <f>IF(Participant_Data!AS276="","",Participant_Data!AS276)</f>
        <v/>
      </c>
      <c r="H276" s="4" t="str">
        <f t="shared" si="36"/>
        <v/>
      </c>
      <c r="I276" s="4" t="str">
        <f t="shared" si="37"/>
        <v/>
      </c>
      <c r="J276" s="4" t="str">
        <f t="shared" si="38"/>
        <v/>
      </c>
      <c r="K276" s="4" t="str">
        <f t="shared" si="39"/>
        <v/>
      </c>
      <c r="L276" s="4" t="str">
        <f t="shared" si="40"/>
        <v/>
      </c>
      <c r="M276" s="25" t="str">
        <f t="shared" si="41"/>
        <v/>
      </c>
      <c r="N276" s="25" t="str">
        <f t="shared" si="42"/>
        <v/>
      </c>
      <c r="O276" s="25" t="str">
        <f t="shared" si="43"/>
        <v/>
      </c>
      <c r="P276" s="2" t="str">
        <f t="shared" si="44"/>
        <v/>
      </c>
    </row>
    <row r="277" spans="1:16">
      <c r="A277" s="2">
        <f>IF(Participant_Data!A277="","",Participant_Data!A277)</f>
        <v>276</v>
      </c>
      <c r="B277" s="2" t="str">
        <f>IF(Participant_Data!B277="","",Participant_Data!B277)</f>
        <v/>
      </c>
      <c r="C277" s="3" t="str">
        <f>IF(Participant_Data!C277="","",Participant_Data!C277)</f>
        <v/>
      </c>
      <c r="D277" s="2" t="str">
        <f>IF(Participant_Data!F277="","",Participant_Data!F277)</f>
        <v/>
      </c>
      <c r="E277" s="2" t="str">
        <f>IF(Participant_Data!AO277="","",Participant_Data!AO277)</f>
        <v/>
      </c>
      <c r="F277" s="2" t="str">
        <f>IF(Participant_Data!AP277="","",Participant_Data!AP277)</f>
        <v/>
      </c>
      <c r="G277" s="2" t="str">
        <f>IF(Participant_Data!AS277="","",Participant_Data!AS277)</f>
        <v/>
      </c>
      <c r="H277" s="4" t="str">
        <f t="shared" si="36"/>
        <v/>
      </c>
      <c r="I277" s="4" t="str">
        <f t="shared" si="37"/>
        <v/>
      </c>
      <c r="J277" s="4" t="str">
        <f t="shared" si="38"/>
        <v/>
      </c>
      <c r="K277" s="4" t="str">
        <f t="shared" si="39"/>
        <v/>
      </c>
      <c r="L277" s="4" t="str">
        <f t="shared" si="40"/>
        <v/>
      </c>
      <c r="M277" s="25" t="str">
        <f t="shared" si="41"/>
        <v/>
      </c>
      <c r="N277" s="25" t="str">
        <f t="shared" si="42"/>
        <v/>
      </c>
      <c r="O277" s="25" t="str">
        <f t="shared" si="43"/>
        <v/>
      </c>
      <c r="P277" s="2" t="str">
        <f t="shared" si="44"/>
        <v/>
      </c>
    </row>
    <row r="278" spans="1:16">
      <c r="A278" s="2">
        <f>IF(Participant_Data!A278="","",Participant_Data!A278)</f>
        <v>277</v>
      </c>
      <c r="B278" s="2" t="str">
        <f>IF(Participant_Data!B278="","",Participant_Data!B278)</f>
        <v/>
      </c>
      <c r="C278" s="3" t="str">
        <f>IF(Participant_Data!C278="","",Participant_Data!C278)</f>
        <v/>
      </c>
      <c r="D278" s="2" t="str">
        <f>IF(Participant_Data!F278="","",Participant_Data!F278)</f>
        <v/>
      </c>
      <c r="E278" s="2" t="str">
        <f>IF(Participant_Data!AO278="","",Participant_Data!AO278)</f>
        <v/>
      </c>
      <c r="F278" s="2" t="str">
        <f>IF(Participant_Data!AP278="","",Participant_Data!AP278)</f>
        <v/>
      </c>
      <c r="G278" s="2" t="str">
        <f>IF(Participant_Data!AS278="","",Participant_Data!AS278)</f>
        <v/>
      </c>
      <c r="H278" s="4" t="str">
        <f t="shared" si="36"/>
        <v/>
      </c>
      <c r="I278" s="4" t="str">
        <f t="shared" si="37"/>
        <v/>
      </c>
      <c r="J278" s="4" t="str">
        <f t="shared" si="38"/>
        <v/>
      </c>
      <c r="K278" s="4" t="str">
        <f t="shared" si="39"/>
        <v/>
      </c>
      <c r="L278" s="4" t="str">
        <f t="shared" si="40"/>
        <v/>
      </c>
      <c r="M278" s="25" t="str">
        <f t="shared" si="41"/>
        <v/>
      </c>
      <c r="N278" s="25" t="str">
        <f t="shared" si="42"/>
        <v/>
      </c>
      <c r="O278" s="25" t="str">
        <f t="shared" si="43"/>
        <v/>
      </c>
      <c r="P278" s="2" t="str">
        <f t="shared" si="44"/>
        <v/>
      </c>
    </row>
    <row r="279" spans="1:16">
      <c r="A279" s="2">
        <f>IF(Participant_Data!A279="","",Participant_Data!A279)</f>
        <v>278</v>
      </c>
      <c r="B279" s="2" t="str">
        <f>IF(Participant_Data!B279="","",Participant_Data!B279)</f>
        <v/>
      </c>
      <c r="C279" s="3" t="str">
        <f>IF(Participant_Data!C279="","",Participant_Data!C279)</f>
        <v/>
      </c>
      <c r="D279" s="2" t="str">
        <f>IF(Participant_Data!F279="","",Participant_Data!F279)</f>
        <v/>
      </c>
      <c r="E279" s="2" t="str">
        <f>IF(Participant_Data!AO279="","",Participant_Data!AO279)</f>
        <v/>
      </c>
      <c r="F279" s="2" t="str">
        <f>IF(Participant_Data!AP279="","",Participant_Data!AP279)</f>
        <v/>
      </c>
      <c r="G279" s="2" t="str">
        <f>IF(Participant_Data!AS279="","",Participant_Data!AS279)</f>
        <v/>
      </c>
      <c r="H279" s="4" t="str">
        <f t="shared" si="36"/>
        <v/>
      </c>
      <c r="I279" s="4" t="str">
        <f t="shared" si="37"/>
        <v/>
      </c>
      <c r="J279" s="4" t="str">
        <f t="shared" si="38"/>
        <v/>
      </c>
      <c r="K279" s="4" t="str">
        <f t="shared" si="39"/>
        <v/>
      </c>
      <c r="L279" s="4" t="str">
        <f t="shared" si="40"/>
        <v/>
      </c>
      <c r="M279" s="25" t="str">
        <f t="shared" si="41"/>
        <v/>
      </c>
      <c r="N279" s="25" t="str">
        <f t="shared" si="42"/>
        <v/>
      </c>
      <c r="O279" s="25" t="str">
        <f t="shared" si="43"/>
        <v/>
      </c>
      <c r="P279" s="2" t="str">
        <f t="shared" si="44"/>
        <v/>
      </c>
    </row>
    <row r="280" spans="1:16">
      <c r="A280" s="2">
        <f>IF(Participant_Data!A280="","",Participant_Data!A280)</f>
        <v>279</v>
      </c>
      <c r="B280" s="2" t="str">
        <f>IF(Participant_Data!B280="","",Participant_Data!B280)</f>
        <v/>
      </c>
      <c r="C280" s="3" t="str">
        <f>IF(Participant_Data!C280="","",Participant_Data!C280)</f>
        <v/>
      </c>
      <c r="D280" s="2" t="str">
        <f>IF(Participant_Data!F280="","",Participant_Data!F280)</f>
        <v/>
      </c>
      <c r="E280" s="2" t="str">
        <f>IF(Participant_Data!AO280="","",Participant_Data!AO280)</f>
        <v/>
      </c>
      <c r="F280" s="2" t="str">
        <f>IF(Participant_Data!AP280="","",Participant_Data!AP280)</f>
        <v/>
      </c>
      <c r="G280" s="2" t="str">
        <f>IF(Participant_Data!AS280="","",Participant_Data!AS280)</f>
        <v/>
      </c>
      <c r="H280" s="4" t="str">
        <f t="shared" si="36"/>
        <v/>
      </c>
      <c r="I280" s="4" t="str">
        <f t="shared" si="37"/>
        <v/>
      </c>
      <c r="J280" s="4" t="str">
        <f t="shared" si="38"/>
        <v/>
      </c>
      <c r="K280" s="4" t="str">
        <f t="shared" si="39"/>
        <v/>
      </c>
      <c r="L280" s="4" t="str">
        <f t="shared" si="40"/>
        <v/>
      </c>
      <c r="M280" s="25" t="str">
        <f t="shared" si="41"/>
        <v/>
      </c>
      <c r="N280" s="25" t="str">
        <f t="shared" si="42"/>
        <v/>
      </c>
      <c r="O280" s="25" t="str">
        <f t="shared" si="43"/>
        <v/>
      </c>
      <c r="P280" s="2" t="str">
        <f t="shared" si="44"/>
        <v/>
      </c>
    </row>
    <row r="281" spans="1:16">
      <c r="A281" s="2">
        <f>IF(Participant_Data!A281="","",Participant_Data!A281)</f>
        <v>280</v>
      </c>
      <c r="B281" s="2" t="str">
        <f>IF(Participant_Data!B281="","",Participant_Data!B281)</f>
        <v/>
      </c>
      <c r="C281" s="3" t="str">
        <f>IF(Participant_Data!C281="","",Participant_Data!C281)</f>
        <v/>
      </c>
      <c r="D281" s="2" t="str">
        <f>IF(Participant_Data!F281="","",Participant_Data!F281)</f>
        <v/>
      </c>
      <c r="E281" s="2" t="str">
        <f>IF(Participant_Data!AO281="","",Participant_Data!AO281)</f>
        <v/>
      </c>
      <c r="F281" s="2" t="str">
        <f>IF(Participant_Data!AP281="","",Participant_Data!AP281)</f>
        <v/>
      </c>
      <c r="G281" s="2" t="str">
        <f>IF(Participant_Data!AS281="","",Participant_Data!AS281)</f>
        <v/>
      </c>
      <c r="H281" s="4" t="str">
        <f t="shared" si="36"/>
        <v/>
      </c>
      <c r="I281" s="4" t="str">
        <f t="shared" si="37"/>
        <v/>
      </c>
      <c r="J281" s="4" t="str">
        <f t="shared" si="38"/>
        <v/>
      </c>
      <c r="K281" s="4" t="str">
        <f t="shared" si="39"/>
        <v/>
      </c>
      <c r="L281" s="4" t="str">
        <f t="shared" si="40"/>
        <v/>
      </c>
      <c r="M281" s="25" t="str">
        <f t="shared" si="41"/>
        <v/>
      </c>
      <c r="N281" s="25" t="str">
        <f t="shared" si="42"/>
        <v/>
      </c>
      <c r="O281" s="25" t="str">
        <f t="shared" si="43"/>
        <v/>
      </c>
      <c r="P281" s="2" t="str">
        <f t="shared" si="44"/>
        <v/>
      </c>
    </row>
    <row r="282" spans="1:16">
      <c r="A282" s="2">
        <f>IF(Participant_Data!A282="","",Participant_Data!A282)</f>
        <v>281</v>
      </c>
      <c r="B282" s="2" t="str">
        <f>IF(Participant_Data!B282="","",Participant_Data!B282)</f>
        <v/>
      </c>
      <c r="C282" s="3" t="str">
        <f>IF(Participant_Data!C282="","",Participant_Data!C282)</f>
        <v/>
      </c>
      <c r="D282" s="2" t="str">
        <f>IF(Participant_Data!F282="","",Participant_Data!F282)</f>
        <v/>
      </c>
      <c r="E282" s="2" t="str">
        <f>IF(Participant_Data!AO282="","",Participant_Data!AO282)</f>
        <v/>
      </c>
      <c r="F282" s="2" t="str">
        <f>IF(Participant_Data!AP282="","",Participant_Data!AP282)</f>
        <v/>
      </c>
      <c r="G282" s="2" t="str">
        <f>IF(Participant_Data!AS282="","",Participant_Data!AS282)</f>
        <v/>
      </c>
      <c r="H282" s="4" t="str">
        <f t="shared" si="36"/>
        <v/>
      </c>
      <c r="I282" s="4" t="str">
        <f t="shared" si="37"/>
        <v/>
      </c>
      <c r="J282" s="4" t="str">
        <f t="shared" si="38"/>
        <v/>
      </c>
      <c r="K282" s="4" t="str">
        <f t="shared" si="39"/>
        <v/>
      </c>
      <c r="L282" s="4" t="str">
        <f t="shared" si="40"/>
        <v/>
      </c>
      <c r="M282" s="25" t="str">
        <f t="shared" si="41"/>
        <v/>
      </c>
      <c r="N282" s="25" t="str">
        <f t="shared" si="42"/>
        <v/>
      </c>
      <c r="O282" s="25" t="str">
        <f t="shared" si="43"/>
        <v/>
      </c>
      <c r="P282" s="2" t="str">
        <f t="shared" si="44"/>
        <v/>
      </c>
    </row>
    <row r="283" spans="1:16">
      <c r="A283" s="2">
        <f>IF(Participant_Data!A283="","",Participant_Data!A283)</f>
        <v>282</v>
      </c>
      <c r="B283" s="2" t="str">
        <f>IF(Participant_Data!B283="","",Participant_Data!B283)</f>
        <v/>
      </c>
      <c r="C283" s="3" t="str">
        <f>IF(Participant_Data!C283="","",Participant_Data!C283)</f>
        <v/>
      </c>
      <c r="D283" s="2" t="str">
        <f>IF(Participant_Data!F283="","",Participant_Data!F283)</f>
        <v/>
      </c>
      <c r="E283" s="2" t="str">
        <f>IF(Participant_Data!AO283="","",Participant_Data!AO283)</f>
        <v/>
      </c>
      <c r="F283" s="2" t="str">
        <f>IF(Participant_Data!AP283="","",Participant_Data!AP283)</f>
        <v/>
      </c>
      <c r="G283" s="2" t="str">
        <f>IF(Participant_Data!AS283="","",Participant_Data!AS283)</f>
        <v/>
      </c>
      <c r="H283" s="4" t="str">
        <f t="shared" si="36"/>
        <v/>
      </c>
      <c r="I283" s="4" t="str">
        <f t="shared" si="37"/>
        <v/>
      </c>
      <c r="J283" s="4" t="str">
        <f t="shared" si="38"/>
        <v/>
      </c>
      <c r="K283" s="4" t="str">
        <f t="shared" si="39"/>
        <v/>
      </c>
      <c r="L283" s="4" t="str">
        <f t="shared" si="40"/>
        <v/>
      </c>
      <c r="M283" s="25" t="str">
        <f t="shared" si="41"/>
        <v/>
      </c>
      <c r="N283" s="25" t="str">
        <f t="shared" si="42"/>
        <v/>
      </c>
      <c r="O283" s="25" t="str">
        <f t="shared" si="43"/>
        <v/>
      </c>
      <c r="P283" s="2" t="str">
        <f t="shared" si="44"/>
        <v/>
      </c>
    </row>
    <row r="284" spans="1:16">
      <c r="A284" s="2">
        <f>IF(Participant_Data!A284="","",Participant_Data!A284)</f>
        <v>283</v>
      </c>
      <c r="B284" s="2" t="str">
        <f>IF(Participant_Data!B284="","",Participant_Data!B284)</f>
        <v/>
      </c>
      <c r="C284" s="3" t="str">
        <f>IF(Participant_Data!C284="","",Participant_Data!C284)</f>
        <v/>
      </c>
      <c r="D284" s="2" t="str">
        <f>IF(Participant_Data!F284="","",Participant_Data!F284)</f>
        <v/>
      </c>
      <c r="E284" s="2" t="str">
        <f>IF(Participant_Data!AO284="","",Participant_Data!AO284)</f>
        <v/>
      </c>
      <c r="F284" s="2" t="str">
        <f>IF(Participant_Data!AP284="","",Participant_Data!AP284)</f>
        <v/>
      </c>
      <c r="G284" s="2" t="str">
        <f>IF(Participant_Data!AS284="","",Participant_Data!AS284)</f>
        <v/>
      </c>
      <c r="H284" s="4" t="str">
        <f t="shared" si="36"/>
        <v/>
      </c>
      <c r="I284" s="4" t="str">
        <f t="shared" si="37"/>
        <v/>
      </c>
      <c r="J284" s="4" t="str">
        <f t="shared" si="38"/>
        <v/>
      </c>
      <c r="K284" s="4" t="str">
        <f t="shared" si="39"/>
        <v/>
      </c>
      <c r="L284" s="4" t="str">
        <f t="shared" si="40"/>
        <v/>
      </c>
      <c r="M284" s="25" t="str">
        <f t="shared" si="41"/>
        <v/>
      </c>
      <c r="N284" s="25" t="str">
        <f t="shared" si="42"/>
        <v/>
      </c>
      <c r="O284" s="25" t="str">
        <f t="shared" si="43"/>
        <v/>
      </c>
      <c r="P284" s="2" t="str">
        <f t="shared" si="44"/>
        <v/>
      </c>
    </row>
    <row r="285" spans="1:16">
      <c r="A285" s="2">
        <f>IF(Participant_Data!A285="","",Participant_Data!A285)</f>
        <v>284</v>
      </c>
      <c r="B285" s="2" t="str">
        <f>IF(Participant_Data!B285="","",Participant_Data!B285)</f>
        <v/>
      </c>
      <c r="C285" s="3" t="str">
        <f>IF(Participant_Data!C285="","",Participant_Data!C285)</f>
        <v/>
      </c>
      <c r="D285" s="2" t="str">
        <f>IF(Participant_Data!F285="","",Participant_Data!F285)</f>
        <v/>
      </c>
      <c r="E285" s="2" t="str">
        <f>IF(Participant_Data!AO285="","",Participant_Data!AO285)</f>
        <v/>
      </c>
      <c r="F285" s="2" t="str">
        <f>IF(Participant_Data!AP285="","",Participant_Data!AP285)</f>
        <v/>
      </c>
      <c r="G285" s="2" t="str">
        <f>IF(Participant_Data!AS285="","",Participant_Data!AS285)</f>
        <v/>
      </c>
      <c r="H285" s="4" t="str">
        <f t="shared" si="36"/>
        <v/>
      </c>
      <c r="I285" s="4" t="str">
        <f t="shared" si="37"/>
        <v/>
      </c>
      <c r="J285" s="4" t="str">
        <f t="shared" si="38"/>
        <v/>
      </c>
      <c r="K285" s="4" t="str">
        <f t="shared" si="39"/>
        <v/>
      </c>
      <c r="L285" s="4" t="str">
        <f t="shared" si="40"/>
        <v/>
      </c>
      <c r="M285" s="25" t="str">
        <f t="shared" si="41"/>
        <v/>
      </c>
      <c r="N285" s="25" t="str">
        <f t="shared" si="42"/>
        <v/>
      </c>
      <c r="O285" s="25" t="str">
        <f t="shared" si="43"/>
        <v/>
      </c>
      <c r="P285" s="2" t="str">
        <f t="shared" si="44"/>
        <v/>
      </c>
    </row>
    <row r="286" spans="1:16">
      <c r="A286" s="2">
        <f>IF(Participant_Data!A286="","",Participant_Data!A286)</f>
        <v>285</v>
      </c>
      <c r="B286" s="2" t="str">
        <f>IF(Participant_Data!B286="","",Participant_Data!B286)</f>
        <v/>
      </c>
      <c r="C286" s="3" t="str">
        <f>IF(Participant_Data!C286="","",Participant_Data!C286)</f>
        <v/>
      </c>
      <c r="D286" s="2" t="str">
        <f>IF(Participant_Data!F286="","",Participant_Data!F286)</f>
        <v/>
      </c>
      <c r="E286" s="2" t="str">
        <f>IF(Participant_Data!AO286="","",Participant_Data!AO286)</f>
        <v/>
      </c>
      <c r="F286" s="2" t="str">
        <f>IF(Participant_Data!AP286="","",Participant_Data!AP286)</f>
        <v/>
      </c>
      <c r="G286" s="2" t="str">
        <f>IF(Participant_Data!AS286="","",Participant_Data!AS286)</f>
        <v/>
      </c>
      <c r="H286" s="4" t="str">
        <f t="shared" si="36"/>
        <v/>
      </c>
      <c r="I286" s="4" t="str">
        <f t="shared" si="37"/>
        <v/>
      </c>
      <c r="J286" s="4" t="str">
        <f t="shared" si="38"/>
        <v/>
      </c>
      <c r="K286" s="4" t="str">
        <f t="shared" si="39"/>
        <v/>
      </c>
      <c r="L286" s="4" t="str">
        <f t="shared" si="40"/>
        <v/>
      </c>
      <c r="M286" s="25" t="str">
        <f t="shared" si="41"/>
        <v/>
      </c>
      <c r="N286" s="25" t="str">
        <f t="shared" si="42"/>
        <v/>
      </c>
      <c r="O286" s="25" t="str">
        <f t="shared" si="43"/>
        <v/>
      </c>
      <c r="P286" s="2" t="str">
        <f t="shared" si="44"/>
        <v/>
      </c>
    </row>
    <row r="287" spans="1:16">
      <c r="A287" s="2">
        <f>IF(Participant_Data!A287="","",Participant_Data!A287)</f>
        <v>286</v>
      </c>
      <c r="B287" s="2" t="str">
        <f>IF(Participant_Data!B287="","",Participant_Data!B287)</f>
        <v/>
      </c>
      <c r="C287" s="3" t="str">
        <f>IF(Participant_Data!C287="","",Participant_Data!C287)</f>
        <v/>
      </c>
      <c r="D287" s="2" t="str">
        <f>IF(Participant_Data!F287="","",Participant_Data!F287)</f>
        <v/>
      </c>
      <c r="E287" s="2" t="str">
        <f>IF(Participant_Data!AO287="","",Participant_Data!AO287)</f>
        <v/>
      </c>
      <c r="F287" s="2" t="str">
        <f>IF(Participant_Data!AP287="","",Participant_Data!AP287)</f>
        <v/>
      </c>
      <c r="G287" s="2" t="str">
        <f>IF(Participant_Data!AS287="","",Participant_Data!AS287)</f>
        <v/>
      </c>
      <c r="H287" s="4" t="str">
        <f t="shared" si="36"/>
        <v/>
      </c>
      <c r="I287" s="4" t="str">
        <f t="shared" si="37"/>
        <v/>
      </c>
      <c r="J287" s="4" t="str">
        <f t="shared" si="38"/>
        <v/>
      </c>
      <c r="K287" s="4" t="str">
        <f t="shared" si="39"/>
        <v/>
      </c>
      <c r="L287" s="4" t="str">
        <f t="shared" si="40"/>
        <v/>
      </c>
      <c r="M287" s="25" t="str">
        <f t="shared" si="41"/>
        <v/>
      </c>
      <c r="N287" s="25" t="str">
        <f t="shared" si="42"/>
        <v/>
      </c>
      <c r="O287" s="25" t="str">
        <f t="shared" si="43"/>
        <v/>
      </c>
      <c r="P287" s="2" t="str">
        <f t="shared" si="44"/>
        <v/>
      </c>
    </row>
    <row r="288" spans="1:16">
      <c r="A288" s="2">
        <f>IF(Participant_Data!A288="","",Participant_Data!A288)</f>
        <v>287</v>
      </c>
      <c r="B288" s="2" t="str">
        <f>IF(Participant_Data!B288="","",Participant_Data!B288)</f>
        <v/>
      </c>
      <c r="C288" s="3" t="str">
        <f>IF(Participant_Data!C288="","",Participant_Data!C288)</f>
        <v/>
      </c>
      <c r="D288" s="2" t="str">
        <f>IF(Participant_Data!F288="","",Participant_Data!F288)</f>
        <v/>
      </c>
      <c r="E288" s="2" t="str">
        <f>IF(Participant_Data!AO288="","",Participant_Data!AO288)</f>
        <v/>
      </c>
      <c r="F288" s="2" t="str">
        <f>IF(Participant_Data!AP288="","",Participant_Data!AP288)</f>
        <v/>
      </c>
      <c r="G288" s="2" t="str">
        <f>IF(Participant_Data!AS288="","",Participant_Data!AS288)</f>
        <v/>
      </c>
      <c r="H288" s="4" t="str">
        <f t="shared" si="36"/>
        <v/>
      </c>
      <c r="I288" s="4" t="str">
        <f t="shared" si="37"/>
        <v/>
      </c>
      <c r="J288" s="4" t="str">
        <f t="shared" si="38"/>
        <v/>
      </c>
      <c r="K288" s="4" t="str">
        <f t="shared" si="39"/>
        <v/>
      </c>
      <c r="L288" s="4" t="str">
        <f t="shared" si="40"/>
        <v/>
      </c>
      <c r="M288" s="25" t="str">
        <f t="shared" si="41"/>
        <v/>
      </c>
      <c r="N288" s="25" t="str">
        <f t="shared" si="42"/>
        <v/>
      </c>
      <c r="O288" s="25" t="str">
        <f t="shared" si="43"/>
        <v/>
      </c>
      <c r="P288" s="2" t="str">
        <f t="shared" si="44"/>
        <v/>
      </c>
    </row>
    <row r="289" spans="1:16">
      <c r="A289" s="2">
        <f>IF(Participant_Data!A289="","",Participant_Data!A289)</f>
        <v>288</v>
      </c>
      <c r="B289" s="2" t="str">
        <f>IF(Participant_Data!B289="","",Participant_Data!B289)</f>
        <v/>
      </c>
      <c r="C289" s="3" t="str">
        <f>IF(Participant_Data!C289="","",Participant_Data!C289)</f>
        <v/>
      </c>
      <c r="D289" s="2" t="str">
        <f>IF(Participant_Data!F289="","",Participant_Data!F289)</f>
        <v/>
      </c>
      <c r="E289" s="2" t="str">
        <f>IF(Participant_Data!AO289="","",Participant_Data!AO289)</f>
        <v/>
      </c>
      <c r="F289" s="2" t="str">
        <f>IF(Participant_Data!AP289="","",Participant_Data!AP289)</f>
        <v/>
      </c>
      <c r="G289" s="2" t="str">
        <f>IF(Participant_Data!AS289="","",Participant_Data!AS289)</f>
        <v/>
      </c>
      <c r="H289" s="4" t="str">
        <f t="shared" si="36"/>
        <v/>
      </c>
      <c r="I289" s="4" t="str">
        <f t="shared" si="37"/>
        <v/>
      </c>
      <c r="J289" s="4" t="str">
        <f t="shared" si="38"/>
        <v/>
      </c>
      <c r="K289" s="4" t="str">
        <f t="shared" si="39"/>
        <v/>
      </c>
      <c r="L289" s="4" t="str">
        <f t="shared" si="40"/>
        <v/>
      </c>
      <c r="M289" s="25" t="str">
        <f t="shared" si="41"/>
        <v/>
      </c>
      <c r="N289" s="25" t="str">
        <f t="shared" si="42"/>
        <v/>
      </c>
      <c r="O289" s="25" t="str">
        <f t="shared" si="43"/>
        <v/>
      </c>
      <c r="P289" s="2" t="str">
        <f t="shared" si="44"/>
        <v/>
      </c>
    </row>
    <row r="290" spans="1:16">
      <c r="A290" s="2">
        <f>IF(Participant_Data!A290="","",Participant_Data!A290)</f>
        <v>289</v>
      </c>
      <c r="B290" s="2" t="str">
        <f>IF(Participant_Data!B290="","",Participant_Data!B290)</f>
        <v/>
      </c>
      <c r="C290" s="3" t="str">
        <f>IF(Participant_Data!C290="","",Participant_Data!C290)</f>
        <v/>
      </c>
      <c r="D290" s="2" t="str">
        <f>IF(Participant_Data!F290="","",Participant_Data!F290)</f>
        <v/>
      </c>
      <c r="E290" s="2" t="str">
        <f>IF(Participant_Data!AO290="","",Participant_Data!AO290)</f>
        <v/>
      </c>
      <c r="F290" s="2" t="str">
        <f>IF(Participant_Data!AP290="","",Participant_Data!AP290)</f>
        <v/>
      </c>
      <c r="G290" s="2" t="str">
        <f>IF(Participant_Data!AS290="","",Participant_Data!AS290)</f>
        <v/>
      </c>
      <c r="H290" s="4" t="str">
        <f t="shared" si="36"/>
        <v/>
      </c>
      <c r="I290" s="4" t="str">
        <f t="shared" si="37"/>
        <v/>
      </c>
      <c r="J290" s="4" t="str">
        <f t="shared" si="38"/>
        <v/>
      </c>
      <c r="K290" s="4" t="str">
        <f t="shared" si="39"/>
        <v/>
      </c>
      <c r="L290" s="4" t="str">
        <f t="shared" si="40"/>
        <v/>
      </c>
      <c r="M290" s="25" t="str">
        <f t="shared" si="41"/>
        <v/>
      </c>
      <c r="N290" s="25" t="str">
        <f t="shared" si="42"/>
        <v/>
      </c>
      <c r="O290" s="25" t="str">
        <f t="shared" si="43"/>
        <v/>
      </c>
      <c r="P290" s="2" t="str">
        <f t="shared" si="44"/>
        <v/>
      </c>
    </row>
    <row r="291" spans="1:16">
      <c r="A291" s="2">
        <f>IF(Participant_Data!A291="","",Participant_Data!A291)</f>
        <v>290</v>
      </c>
      <c r="B291" s="2" t="str">
        <f>IF(Participant_Data!B291="","",Participant_Data!B291)</f>
        <v/>
      </c>
      <c r="C291" s="3" t="str">
        <f>IF(Participant_Data!C291="","",Participant_Data!C291)</f>
        <v/>
      </c>
      <c r="D291" s="2" t="str">
        <f>IF(Participant_Data!F291="","",Participant_Data!F291)</f>
        <v/>
      </c>
      <c r="E291" s="2" t="str">
        <f>IF(Participant_Data!AO291="","",Participant_Data!AO291)</f>
        <v/>
      </c>
      <c r="F291" s="2" t="str">
        <f>IF(Participant_Data!AP291="","",Participant_Data!AP291)</f>
        <v/>
      </c>
      <c r="G291" s="2" t="str">
        <f>IF(Participant_Data!AS291="","",Participant_Data!AS291)</f>
        <v/>
      </c>
      <c r="H291" s="4" t="str">
        <f t="shared" si="36"/>
        <v/>
      </c>
      <c r="I291" s="4" t="str">
        <f t="shared" si="37"/>
        <v/>
      </c>
      <c r="J291" s="4" t="str">
        <f t="shared" si="38"/>
        <v/>
      </c>
      <c r="K291" s="4" t="str">
        <f t="shared" si="39"/>
        <v/>
      </c>
      <c r="L291" s="4" t="str">
        <f t="shared" si="40"/>
        <v/>
      </c>
      <c r="M291" s="25" t="str">
        <f t="shared" si="41"/>
        <v/>
      </c>
      <c r="N291" s="25" t="str">
        <f t="shared" si="42"/>
        <v/>
      </c>
      <c r="O291" s="25" t="str">
        <f t="shared" si="43"/>
        <v/>
      </c>
      <c r="P291" s="2" t="str">
        <f t="shared" si="44"/>
        <v/>
      </c>
    </row>
    <row r="292" spans="1:16">
      <c r="A292" s="2">
        <f>IF(Participant_Data!A292="","",Participant_Data!A292)</f>
        <v>291</v>
      </c>
      <c r="B292" s="2" t="str">
        <f>IF(Participant_Data!B292="","",Participant_Data!B292)</f>
        <v/>
      </c>
      <c r="C292" s="3" t="str">
        <f>IF(Participant_Data!C292="","",Participant_Data!C292)</f>
        <v/>
      </c>
      <c r="D292" s="2" t="str">
        <f>IF(Participant_Data!F292="","",Participant_Data!F292)</f>
        <v/>
      </c>
      <c r="E292" s="2" t="str">
        <f>IF(Participant_Data!AO292="","",Participant_Data!AO292)</f>
        <v/>
      </c>
      <c r="F292" s="2" t="str">
        <f>IF(Participant_Data!AP292="","",Participant_Data!AP292)</f>
        <v/>
      </c>
      <c r="G292" s="2" t="str">
        <f>IF(Participant_Data!AS292="","",Participant_Data!AS292)</f>
        <v/>
      </c>
      <c r="H292" s="4" t="str">
        <f t="shared" si="36"/>
        <v/>
      </c>
      <c r="I292" s="4" t="str">
        <f t="shared" si="37"/>
        <v/>
      </c>
      <c r="J292" s="4" t="str">
        <f t="shared" si="38"/>
        <v/>
      </c>
      <c r="K292" s="4" t="str">
        <f t="shared" si="39"/>
        <v/>
      </c>
      <c r="L292" s="4" t="str">
        <f t="shared" si="40"/>
        <v/>
      </c>
      <c r="M292" s="25" t="str">
        <f t="shared" si="41"/>
        <v/>
      </c>
      <c r="N292" s="25" t="str">
        <f t="shared" si="42"/>
        <v/>
      </c>
      <c r="O292" s="25" t="str">
        <f t="shared" si="43"/>
        <v/>
      </c>
      <c r="P292" s="2" t="str">
        <f t="shared" si="44"/>
        <v/>
      </c>
    </row>
    <row r="293" spans="1:16">
      <c r="A293" s="2">
        <f>IF(Participant_Data!A293="","",Participant_Data!A293)</f>
        <v>292</v>
      </c>
      <c r="B293" s="2" t="str">
        <f>IF(Participant_Data!B293="","",Participant_Data!B293)</f>
        <v/>
      </c>
      <c r="C293" s="3" t="str">
        <f>IF(Participant_Data!C293="","",Participant_Data!C293)</f>
        <v/>
      </c>
      <c r="D293" s="2" t="str">
        <f>IF(Participant_Data!F293="","",Participant_Data!F293)</f>
        <v/>
      </c>
      <c r="E293" s="2" t="str">
        <f>IF(Participant_Data!AO293="","",Participant_Data!AO293)</f>
        <v/>
      </c>
      <c r="F293" s="2" t="str">
        <f>IF(Participant_Data!AP293="","",Participant_Data!AP293)</f>
        <v/>
      </c>
      <c r="G293" s="2" t="str">
        <f>IF(Participant_Data!AS293="","",Participant_Data!AS293)</f>
        <v/>
      </c>
      <c r="H293" s="4" t="str">
        <f t="shared" si="36"/>
        <v/>
      </c>
      <c r="I293" s="4" t="str">
        <f t="shared" si="37"/>
        <v/>
      </c>
      <c r="J293" s="4" t="str">
        <f t="shared" si="38"/>
        <v/>
      </c>
      <c r="K293" s="4" t="str">
        <f t="shared" si="39"/>
        <v/>
      </c>
      <c r="L293" s="4" t="str">
        <f t="shared" si="40"/>
        <v/>
      </c>
      <c r="M293" s="25" t="str">
        <f t="shared" si="41"/>
        <v/>
      </c>
      <c r="N293" s="25" t="str">
        <f t="shared" si="42"/>
        <v/>
      </c>
      <c r="O293" s="25" t="str">
        <f t="shared" si="43"/>
        <v/>
      </c>
      <c r="P293" s="2" t="str">
        <f t="shared" si="44"/>
        <v/>
      </c>
    </row>
    <row r="294" spans="1:16">
      <c r="A294" s="2">
        <f>IF(Participant_Data!A294="","",Participant_Data!A294)</f>
        <v>293</v>
      </c>
      <c r="B294" s="2" t="str">
        <f>IF(Participant_Data!B294="","",Participant_Data!B294)</f>
        <v/>
      </c>
      <c r="C294" s="3" t="str">
        <f>IF(Participant_Data!C294="","",Participant_Data!C294)</f>
        <v/>
      </c>
      <c r="D294" s="2" t="str">
        <f>IF(Participant_Data!F294="","",Participant_Data!F294)</f>
        <v/>
      </c>
      <c r="E294" s="2" t="str">
        <f>IF(Participant_Data!AO294="","",Participant_Data!AO294)</f>
        <v/>
      </c>
      <c r="F294" s="2" t="str">
        <f>IF(Participant_Data!AP294="","",Participant_Data!AP294)</f>
        <v/>
      </c>
      <c r="G294" s="2" t="str">
        <f>IF(Participant_Data!AS294="","",Participant_Data!AS294)</f>
        <v/>
      </c>
      <c r="H294" s="4" t="str">
        <f t="shared" si="36"/>
        <v/>
      </c>
      <c r="I294" s="4" t="str">
        <f t="shared" si="37"/>
        <v/>
      </c>
      <c r="J294" s="4" t="str">
        <f t="shared" si="38"/>
        <v/>
      </c>
      <c r="K294" s="4" t="str">
        <f t="shared" si="39"/>
        <v/>
      </c>
      <c r="L294" s="4" t="str">
        <f t="shared" si="40"/>
        <v/>
      </c>
      <c r="M294" s="25" t="str">
        <f t="shared" si="41"/>
        <v/>
      </c>
      <c r="N294" s="25" t="str">
        <f t="shared" si="42"/>
        <v/>
      </c>
      <c r="O294" s="25" t="str">
        <f t="shared" si="43"/>
        <v/>
      </c>
      <c r="P294" s="2" t="str">
        <f t="shared" si="44"/>
        <v/>
      </c>
    </row>
    <row r="295" spans="1:16">
      <c r="A295" s="2">
        <f>IF(Participant_Data!A295="","",Participant_Data!A295)</f>
        <v>294</v>
      </c>
      <c r="B295" s="2" t="str">
        <f>IF(Participant_Data!B295="","",Participant_Data!B295)</f>
        <v/>
      </c>
      <c r="C295" s="3" t="str">
        <f>IF(Participant_Data!C295="","",Participant_Data!C295)</f>
        <v/>
      </c>
      <c r="D295" s="2" t="str">
        <f>IF(Participant_Data!F295="","",Participant_Data!F295)</f>
        <v/>
      </c>
      <c r="E295" s="2" t="str">
        <f>IF(Participant_Data!AO295="","",Participant_Data!AO295)</f>
        <v/>
      </c>
      <c r="F295" s="2" t="str">
        <f>IF(Participant_Data!AP295="","",Participant_Data!AP295)</f>
        <v/>
      </c>
      <c r="G295" s="2" t="str">
        <f>IF(Participant_Data!AS295="","",Participant_Data!AS295)</f>
        <v/>
      </c>
      <c r="H295" s="4" t="str">
        <f t="shared" si="36"/>
        <v/>
      </c>
      <c r="I295" s="4" t="str">
        <f t="shared" si="37"/>
        <v/>
      </c>
      <c r="J295" s="4" t="str">
        <f t="shared" si="38"/>
        <v/>
      </c>
      <c r="K295" s="4" t="str">
        <f t="shared" si="39"/>
        <v/>
      </c>
      <c r="L295" s="4" t="str">
        <f t="shared" si="40"/>
        <v/>
      </c>
      <c r="M295" s="25" t="str">
        <f t="shared" si="41"/>
        <v/>
      </c>
      <c r="N295" s="25" t="str">
        <f t="shared" si="42"/>
        <v/>
      </c>
      <c r="O295" s="25" t="str">
        <f t="shared" si="43"/>
        <v/>
      </c>
      <c r="P295" s="2" t="str">
        <f t="shared" si="44"/>
        <v/>
      </c>
    </row>
    <row r="296" spans="1:16">
      <c r="A296" s="2">
        <f>IF(Participant_Data!A296="","",Participant_Data!A296)</f>
        <v>295</v>
      </c>
      <c r="B296" s="2" t="str">
        <f>IF(Participant_Data!B296="","",Participant_Data!B296)</f>
        <v/>
      </c>
      <c r="C296" s="3" t="str">
        <f>IF(Participant_Data!C296="","",Participant_Data!C296)</f>
        <v/>
      </c>
      <c r="D296" s="2" t="str">
        <f>IF(Participant_Data!F296="","",Participant_Data!F296)</f>
        <v/>
      </c>
      <c r="E296" s="2" t="str">
        <f>IF(Participant_Data!AO296="","",Participant_Data!AO296)</f>
        <v/>
      </c>
      <c r="F296" s="2" t="str">
        <f>IF(Participant_Data!AP296="","",Participant_Data!AP296)</f>
        <v/>
      </c>
      <c r="G296" s="2" t="str">
        <f>IF(Participant_Data!AS296="","",Participant_Data!AS296)</f>
        <v/>
      </c>
      <c r="H296" s="4" t="str">
        <f t="shared" si="36"/>
        <v/>
      </c>
      <c r="I296" s="4" t="str">
        <f t="shared" si="37"/>
        <v/>
      </c>
      <c r="J296" s="4" t="str">
        <f t="shared" si="38"/>
        <v/>
      </c>
      <c r="K296" s="4" t="str">
        <f t="shared" si="39"/>
        <v/>
      </c>
      <c r="L296" s="4" t="str">
        <f t="shared" si="40"/>
        <v/>
      </c>
      <c r="M296" s="25" t="str">
        <f t="shared" si="41"/>
        <v/>
      </c>
      <c r="N296" s="25" t="str">
        <f t="shared" si="42"/>
        <v/>
      </c>
      <c r="O296" s="25" t="str">
        <f t="shared" si="43"/>
        <v/>
      </c>
      <c r="P296" s="2" t="str">
        <f t="shared" si="44"/>
        <v/>
      </c>
    </row>
    <row r="297" spans="1:16">
      <c r="A297" s="2">
        <f>IF(Participant_Data!A297="","",Participant_Data!A297)</f>
        <v>296</v>
      </c>
      <c r="B297" s="2" t="str">
        <f>IF(Participant_Data!B297="","",Participant_Data!B297)</f>
        <v/>
      </c>
      <c r="C297" s="3" t="str">
        <f>IF(Participant_Data!C297="","",Participant_Data!C297)</f>
        <v/>
      </c>
      <c r="D297" s="2" t="str">
        <f>IF(Participant_Data!F297="","",Participant_Data!F297)</f>
        <v/>
      </c>
      <c r="E297" s="2" t="str">
        <f>IF(Participant_Data!AO297="","",Participant_Data!AO297)</f>
        <v/>
      </c>
      <c r="F297" s="2" t="str">
        <f>IF(Participant_Data!AP297="","",Participant_Data!AP297)</f>
        <v/>
      </c>
      <c r="G297" s="2" t="str">
        <f>IF(Participant_Data!AS297="","",Participant_Data!AS297)</f>
        <v/>
      </c>
      <c r="H297" s="4" t="str">
        <f t="shared" si="36"/>
        <v/>
      </c>
      <c r="I297" s="4" t="str">
        <f t="shared" si="37"/>
        <v/>
      </c>
      <c r="J297" s="4" t="str">
        <f t="shared" si="38"/>
        <v/>
      </c>
      <c r="K297" s="4" t="str">
        <f t="shared" si="39"/>
        <v/>
      </c>
      <c r="L297" s="4" t="str">
        <f t="shared" si="40"/>
        <v/>
      </c>
      <c r="M297" s="25" t="str">
        <f t="shared" si="41"/>
        <v/>
      </c>
      <c r="N297" s="25" t="str">
        <f t="shared" si="42"/>
        <v/>
      </c>
      <c r="O297" s="25" t="str">
        <f t="shared" si="43"/>
        <v/>
      </c>
      <c r="P297" s="2" t="str">
        <f t="shared" si="44"/>
        <v/>
      </c>
    </row>
    <row r="298" spans="1:16">
      <c r="A298" s="2">
        <f>IF(Participant_Data!A298="","",Participant_Data!A298)</f>
        <v>297</v>
      </c>
      <c r="B298" s="2" t="str">
        <f>IF(Participant_Data!B298="","",Participant_Data!B298)</f>
        <v/>
      </c>
      <c r="C298" s="3" t="str">
        <f>IF(Participant_Data!C298="","",Participant_Data!C298)</f>
        <v/>
      </c>
      <c r="D298" s="2" t="str">
        <f>IF(Participant_Data!F298="","",Participant_Data!F298)</f>
        <v/>
      </c>
      <c r="E298" s="2" t="str">
        <f>IF(Participant_Data!AO298="","",Participant_Data!AO298)</f>
        <v/>
      </c>
      <c r="F298" s="2" t="str">
        <f>IF(Participant_Data!AP298="","",Participant_Data!AP298)</f>
        <v/>
      </c>
      <c r="G298" s="2" t="str">
        <f>IF(Participant_Data!AS298="","",Participant_Data!AS298)</f>
        <v/>
      </c>
      <c r="H298" s="4" t="str">
        <f t="shared" si="36"/>
        <v/>
      </c>
      <c r="I298" s="4" t="str">
        <f t="shared" si="37"/>
        <v/>
      </c>
      <c r="J298" s="4" t="str">
        <f t="shared" si="38"/>
        <v/>
      </c>
      <c r="K298" s="4" t="str">
        <f t="shared" si="39"/>
        <v/>
      </c>
      <c r="L298" s="4" t="str">
        <f t="shared" si="40"/>
        <v/>
      </c>
      <c r="M298" s="25" t="str">
        <f t="shared" si="41"/>
        <v/>
      </c>
      <c r="N298" s="25" t="str">
        <f t="shared" si="42"/>
        <v/>
      </c>
      <c r="O298" s="25" t="str">
        <f t="shared" si="43"/>
        <v/>
      </c>
      <c r="P298" s="2" t="str">
        <f t="shared" si="44"/>
        <v/>
      </c>
    </row>
    <row r="299" spans="1:16">
      <c r="A299" s="2">
        <f>IF(Participant_Data!A299="","",Participant_Data!A299)</f>
        <v>298</v>
      </c>
      <c r="B299" s="2" t="str">
        <f>IF(Participant_Data!B299="","",Participant_Data!B299)</f>
        <v/>
      </c>
      <c r="C299" s="3" t="str">
        <f>IF(Participant_Data!C299="","",Participant_Data!C299)</f>
        <v/>
      </c>
      <c r="D299" s="2" t="str">
        <f>IF(Participant_Data!F299="","",Participant_Data!F299)</f>
        <v/>
      </c>
      <c r="E299" s="2" t="str">
        <f>IF(Participant_Data!AO299="","",Participant_Data!AO299)</f>
        <v/>
      </c>
      <c r="F299" s="2" t="str">
        <f>IF(Participant_Data!AP299="","",Participant_Data!AP299)</f>
        <v/>
      </c>
      <c r="G299" s="2" t="str">
        <f>IF(Participant_Data!AS299="","",Participant_Data!AS299)</f>
        <v/>
      </c>
      <c r="H299" s="4" t="str">
        <f t="shared" si="36"/>
        <v/>
      </c>
      <c r="I299" s="4" t="str">
        <f t="shared" si="37"/>
        <v/>
      </c>
      <c r="J299" s="4" t="str">
        <f t="shared" si="38"/>
        <v/>
      </c>
      <c r="K299" s="4" t="str">
        <f t="shared" si="39"/>
        <v/>
      </c>
      <c r="L299" s="4" t="str">
        <f t="shared" si="40"/>
        <v/>
      </c>
      <c r="M299" s="25" t="str">
        <f t="shared" si="41"/>
        <v/>
      </c>
      <c r="N299" s="25" t="str">
        <f t="shared" si="42"/>
        <v/>
      </c>
      <c r="O299" s="25" t="str">
        <f t="shared" si="43"/>
        <v/>
      </c>
      <c r="P299" s="2" t="str">
        <f t="shared" si="44"/>
        <v/>
      </c>
    </row>
    <row r="300" spans="1:16">
      <c r="A300" s="2">
        <f>IF(Participant_Data!A300="","",Participant_Data!A300)</f>
        <v>299</v>
      </c>
      <c r="B300" s="2" t="str">
        <f>IF(Participant_Data!B300="","",Participant_Data!B300)</f>
        <v/>
      </c>
      <c r="C300" s="3" t="str">
        <f>IF(Participant_Data!C300="","",Participant_Data!C300)</f>
        <v/>
      </c>
      <c r="D300" s="2" t="str">
        <f>IF(Participant_Data!F300="","",Participant_Data!F300)</f>
        <v/>
      </c>
      <c r="E300" s="2" t="str">
        <f>IF(Participant_Data!AO300="","",Participant_Data!AO300)</f>
        <v/>
      </c>
      <c r="F300" s="2" t="str">
        <f>IF(Participant_Data!AP300="","",Participant_Data!AP300)</f>
        <v/>
      </c>
      <c r="G300" s="2" t="str">
        <f>IF(Participant_Data!AS300="","",Participant_Data!AS300)</f>
        <v/>
      </c>
      <c r="H300" s="4" t="str">
        <f t="shared" si="36"/>
        <v/>
      </c>
      <c r="I300" s="4" t="str">
        <f t="shared" si="37"/>
        <v/>
      </c>
      <c r="J300" s="4" t="str">
        <f t="shared" si="38"/>
        <v/>
      </c>
      <c r="K300" s="4" t="str">
        <f t="shared" si="39"/>
        <v/>
      </c>
      <c r="L300" s="4" t="str">
        <f t="shared" si="40"/>
        <v/>
      </c>
      <c r="M300" s="25" t="str">
        <f t="shared" si="41"/>
        <v/>
      </c>
      <c r="N300" s="25" t="str">
        <f t="shared" si="42"/>
        <v/>
      </c>
      <c r="O300" s="25" t="str">
        <f t="shared" si="43"/>
        <v/>
      </c>
      <c r="P300" s="2" t="str">
        <f t="shared" si="44"/>
        <v/>
      </c>
    </row>
    <row r="301" spans="1:16">
      <c r="A301" s="2">
        <f>IF(Participant_Data!A301="","",Participant_Data!A301)</f>
        <v>300</v>
      </c>
      <c r="B301" s="2" t="str">
        <f>IF(Participant_Data!B301="","",Participant_Data!B301)</f>
        <v/>
      </c>
      <c r="C301" s="3" t="str">
        <f>IF(Participant_Data!C301="","",Participant_Data!C301)</f>
        <v/>
      </c>
      <c r="D301" s="2" t="str">
        <f>IF(Participant_Data!F301="","",Participant_Data!F301)</f>
        <v/>
      </c>
      <c r="E301" s="2" t="str">
        <f>IF(Participant_Data!AO301="","",Participant_Data!AO301)</f>
        <v/>
      </c>
      <c r="F301" s="2" t="str">
        <f>IF(Participant_Data!AP301="","",Participant_Data!AP301)</f>
        <v/>
      </c>
      <c r="G301" s="2" t="str">
        <f>IF(Participant_Data!AS301="","",Participant_Data!AS301)</f>
        <v/>
      </c>
      <c r="H301" s="4" t="str">
        <f t="shared" si="36"/>
        <v/>
      </c>
      <c r="I301" s="4" t="str">
        <f t="shared" si="37"/>
        <v/>
      </c>
      <c r="J301" s="4" t="str">
        <f t="shared" si="38"/>
        <v/>
      </c>
      <c r="K301" s="4" t="str">
        <f t="shared" si="39"/>
        <v/>
      </c>
      <c r="L301" s="4" t="str">
        <f t="shared" si="40"/>
        <v/>
      </c>
      <c r="M301" s="25" t="str">
        <f t="shared" si="41"/>
        <v/>
      </c>
      <c r="N301" s="25" t="str">
        <f t="shared" si="42"/>
        <v/>
      </c>
      <c r="O301" s="25" t="str">
        <f t="shared" si="43"/>
        <v/>
      </c>
      <c r="P301" s="2" t="str">
        <f t="shared" si="44"/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301"/>
  <sheetViews>
    <sheetView topLeftCell="F1" workbookViewId="0">
      <selection activeCell="E21" sqref="E21"/>
    </sheetView>
  </sheetViews>
  <sheetFormatPr baseColWidth="10" defaultColWidth="8.83203125" defaultRowHeight="15"/>
  <cols>
    <col min="1" max="2" width="16" customWidth="1"/>
    <col min="3" max="3" width="18.6640625" customWidth="1"/>
    <col min="4" max="4" width="16" customWidth="1"/>
    <col min="5" max="10" width="13" customWidth="1"/>
    <col min="11" max="11" width="18.83203125" customWidth="1"/>
    <col min="12" max="12" width="18.5" customWidth="1"/>
    <col min="13" max="20" width="13" customWidth="1"/>
    <col min="21" max="21" width="18.1640625" customWidth="1"/>
    <col min="22" max="22" width="20.1640625" customWidth="1"/>
    <col min="23" max="34" width="13" customWidth="1"/>
    <col min="35" max="35" width="16.83203125" customWidth="1"/>
    <col min="36" max="36" width="13" customWidth="1"/>
    <col min="37" max="39" width="15.1640625" customWidth="1"/>
    <col min="40" max="40" width="17" customWidth="1"/>
    <col min="41" max="41" width="14.33203125" customWidth="1"/>
    <col min="42" max="42" width="15.6640625" customWidth="1"/>
  </cols>
  <sheetData>
    <row r="1" spans="1:42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6" t="s">
        <v>39</v>
      </c>
      <c r="AO1" s="26" t="s">
        <v>40</v>
      </c>
      <c r="AP1" s="26" t="s">
        <v>41</v>
      </c>
    </row>
    <row r="2" spans="1:42">
      <c r="A2" s="2">
        <f>IF(Participant_Data!A2="","",Participant_Data!A2)</f>
        <v>1</v>
      </c>
      <c r="B2" s="2" t="str">
        <f>IF(Participant_Data!B2="","",Participant_Data!B2)</f>
        <v/>
      </c>
      <c r="C2" s="3" t="str">
        <f>IF(Participant_Data!C2="","",Participant_Data!C2)</f>
        <v/>
      </c>
      <c r="D2" s="5"/>
      <c r="E2" s="5">
        <v>165</v>
      </c>
      <c r="F2" s="5">
        <v>75.05</v>
      </c>
      <c r="G2" s="22">
        <f t="shared" ref="G2:G65" si="0">IF(OR(E2="",F2=""),"",F2/((E2/100)^2))</f>
        <v>27.566574839302113</v>
      </c>
      <c r="H2" s="5">
        <v>19.14</v>
      </c>
      <c r="I2" s="5">
        <v>22.5</v>
      </c>
      <c r="J2" s="5">
        <v>16.5</v>
      </c>
      <c r="K2" s="5">
        <v>53.05</v>
      </c>
      <c r="L2" s="5">
        <v>2.9</v>
      </c>
      <c r="M2" s="5">
        <v>53.2</v>
      </c>
      <c r="N2" s="5">
        <v>1535</v>
      </c>
      <c r="O2" s="5">
        <v>2</v>
      </c>
      <c r="P2" s="5">
        <v>3</v>
      </c>
      <c r="Q2" s="5">
        <v>2</v>
      </c>
      <c r="R2" s="5">
        <v>2</v>
      </c>
      <c r="S2" s="5">
        <v>2</v>
      </c>
      <c r="T2" s="5">
        <v>3</v>
      </c>
      <c r="U2" s="2">
        <v>14</v>
      </c>
      <c r="V2" s="2">
        <v>1</v>
      </c>
      <c r="W2" s="5">
        <v>1</v>
      </c>
      <c r="X2" s="5">
        <v>0</v>
      </c>
      <c r="Y2" s="5">
        <v>1</v>
      </c>
      <c r="Z2" s="5">
        <v>2</v>
      </c>
      <c r="AA2" s="5">
        <v>1</v>
      </c>
      <c r="AB2" s="5">
        <v>1</v>
      </c>
      <c r="AC2" s="5">
        <v>1</v>
      </c>
      <c r="AD2" s="5">
        <v>2</v>
      </c>
      <c r="AE2" s="5">
        <v>2</v>
      </c>
      <c r="AF2" s="5">
        <v>1</v>
      </c>
      <c r="AG2" s="5">
        <v>1</v>
      </c>
      <c r="AH2" s="5">
        <v>1</v>
      </c>
      <c r="AI2" s="2">
        <v>14</v>
      </c>
      <c r="AJ2" s="2">
        <v>28</v>
      </c>
      <c r="AK2" s="2">
        <v>1</v>
      </c>
      <c r="AL2" s="2">
        <v>34</v>
      </c>
      <c r="AM2" s="2">
        <v>39</v>
      </c>
      <c r="AN2" t="str">
        <f>IF(OR(G2="",Participant_Data!E2=""),"",IF(Participant_Data!E2&lt;70,IF(ROUND(G2,1)&lt;18.5,"ขาด/เสี่ยงขาด",IF(ROUND(G2,1)&gt;=25,"เสี่ยงเกิน/เกิน","ปกติ")),IF(ROUND(G2,1)&lt;20,"ขาด/เสี่ยงขาด",IF(ROUND(G2,1)&gt;=25,"เสี่ยงเกิน/เกิน","ปกติ"))))</f>
        <v>เสี่ยงเกิน/เกิน</v>
      </c>
      <c r="AO2" t="str">
        <f>IF(OR(I2="",Participant_Data!G2=""),"",IF(Participant_Data!G2=1,IF(ROUND(I2,1)&lt;15,"ขาด/เสี่ยงขาด",IF(ROUND(I2,1)&gt;25,"เสี่ยงเกิน/เกิน","ปกติ")),IF(ROUND(I2,1)&lt;20,"ขาด/เสี่ยงขาด",IF(ROUND(I2,1)&gt;35,"เสี่ยงเกิน/เกิน","ปกติ"))))</f>
        <v>ปกติ</v>
      </c>
      <c r="AP2" t="str">
        <f t="shared" ref="AP2:AP65" si="1">IF(OR(AN2="",AO2=""),"",IF(OR(AN2="ขาด/เสี่ยงขาด",AO2="ขาด/เสี่ยงขาด"),"ขาด/เสี่ยงขาด",IF(OR(AN2="เสี่ยงเกิน/เกิน",AO2="เสี่ยงเกิน/เกิน"),"เสี่ยงเกิน/เกิน","ปกติ")))</f>
        <v>เสี่ยงเกิน/เกิน</v>
      </c>
    </row>
    <row r="3" spans="1:42">
      <c r="A3" s="2">
        <f>IF(Participant_Data!A3="","",Participant_Data!A3)</f>
        <v>2</v>
      </c>
      <c r="B3" s="2" t="str">
        <f>IF(Participant_Data!B3="","",Participant_Data!B3)</f>
        <v/>
      </c>
      <c r="C3" s="3" t="str">
        <f>IF(Participant_Data!C3="","",Participant_Data!C3)</f>
        <v/>
      </c>
      <c r="D3" s="5"/>
      <c r="E3" s="5">
        <v>146</v>
      </c>
      <c r="F3" s="5">
        <v>51.1</v>
      </c>
      <c r="G3" s="22">
        <f t="shared" si="0"/>
        <v>23.972602739726032</v>
      </c>
      <c r="H3" s="5">
        <v>16.61</v>
      </c>
      <c r="I3" s="5">
        <v>32.5</v>
      </c>
      <c r="J3" s="5">
        <v>7.5</v>
      </c>
      <c r="K3" s="5">
        <v>32.65</v>
      </c>
      <c r="L3" s="5">
        <v>1.9</v>
      </c>
      <c r="M3" s="5">
        <v>51.7</v>
      </c>
      <c r="N3" s="5">
        <v>996</v>
      </c>
      <c r="O3" s="5">
        <v>2</v>
      </c>
      <c r="P3" s="5">
        <v>3</v>
      </c>
      <c r="Q3" s="5">
        <v>2</v>
      </c>
      <c r="R3" s="5">
        <v>2</v>
      </c>
      <c r="S3" s="5">
        <v>1</v>
      </c>
      <c r="T3" s="5">
        <v>3</v>
      </c>
      <c r="U3" s="2">
        <v>13</v>
      </c>
      <c r="V3" s="2">
        <v>1</v>
      </c>
      <c r="W3" s="5">
        <v>1</v>
      </c>
      <c r="X3" s="5">
        <v>1</v>
      </c>
      <c r="Y3" s="5">
        <v>1</v>
      </c>
      <c r="Z3" s="5">
        <v>2</v>
      </c>
      <c r="AA3" s="5">
        <v>0.5</v>
      </c>
      <c r="AB3" s="5">
        <v>1</v>
      </c>
      <c r="AC3" s="5">
        <v>1</v>
      </c>
      <c r="AD3" s="5">
        <v>2</v>
      </c>
      <c r="AE3" s="5">
        <v>1</v>
      </c>
      <c r="AF3" s="5">
        <v>1</v>
      </c>
      <c r="AG3" s="5">
        <v>1</v>
      </c>
      <c r="AH3" s="5">
        <v>1</v>
      </c>
      <c r="AI3" s="2">
        <v>13.5</v>
      </c>
      <c r="AJ3" s="2">
        <v>26.5</v>
      </c>
      <c r="AK3" s="2">
        <v>1</v>
      </c>
      <c r="AL3" s="2">
        <v>27.5</v>
      </c>
      <c r="AM3" s="2">
        <v>36.5</v>
      </c>
      <c r="AN3" t="str">
        <f>IF(OR(G3="",Participant_Data!E3=""),"",IF(Participant_Data!E3&lt;70,IF(ROUND(G3,1)&lt;18.5,"ขาด/เสี่ยงขาด",IF(ROUND(G3,1)&gt;=25,"เสี่ยงเกิน/เกิน","ปกติ")),IF(ROUND(G3,1)&lt;20,"ขาด/เสี่ยงขาด",IF(ROUND(G3,1)&gt;=25,"เสี่ยงเกิน/เกิน","ปกติ"))))</f>
        <v>ปกติ</v>
      </c>
      <c r="AO3" t="str">
        <f>IF(OR(I3="",Participant_Data!G3=""),"",IF(Participant_Data!G3=1,IF(ROUND(I3,1)&lt;15,"ขาด/เสี่ยงขาด",IF(ROUND(I3,1)&gt;25,"เสี่ยงเกิน/เกิน","ปกติ")),IF(ROUND(I3,1)&lt;20,"ขาด/เสี่ยงขาด",IF(ROUND(I3,1)&gt;35,"เสี่ยงเกิน/เกิน","ปกติ"))))</f>
        <v>ปกติ</v>
      </c>
      <c r="AP3" t="str">
        <f t="shared" si="1"/>
        <v>ปกติ</v>
      </c>
    </row>
    <row r="4" spans="1:42">
      <c r="A4" s="2">
        <f>IF(Participant_Data!A4="","",Participant_Data!A4)</f>
        <v>3</v>
      </c>
      <c r="B4" s="2" t="str">
        <f>IF(Participant_Data!B4="","",Participant_Data!B4)</f>
        <v/>
      </c>
      <c r="C4" s="3" t="str">
        <f>IF(Participant_Data!C4="","",Participant_Data!C4)</f>
        <v/>
      </c>
      <c r="D4" s="5"/>
      <c r="E4" s="5">
        <v>153</v>
      </c>
      <c r="F4" s="5">
        <v>42.35</v>
      </c>
      <c r="G4" s="22">
        <f t="shared" si="0"/>
        <v>18.09133239352386</v>
      </c>
      <c r="H4" s="5">
        <v>11.77</v>
      </c>
      <c r="I4" s="5">
        <v>27.8</v>
      </c>
      <c r="J4" s="5">
        <v>4</v>
      </c>
      <c r="K4" s="5">
        <v>29.05</v>
      </c>
      <c r="L4" s="5">
        <v>1.5</v>
      </c>
      <c r="M4" s="5">
        <v>48.1</v>
      </c>
      <c r="N4" s="5">
        <v>872</v>
      </c>
      <c r="O4" s="5">
        <v>2</v>
      </c>
      <c r="P4" s="5">
        <v>3</v>
      </c>
      <c r="Q4" s="5">
        <v>2</v>
      </c>
      <c r="R4" s="5">
        <v>2</v>
      </c>
      <c r="S4" s="5">
        <v>2</v>
      </c>
      <c r="T4" s="5">
        <v>0</v>
      </c>
      <c r="U4" s="2">
        <v>11</v>
      </c>
      <c r="V4" s="2">
        <v>2</v>
      </c>
      <c r="W4" s="5">
        <v>1</v>
      </c>
      <c r="X4" s="5">
        <v>1</v>
      </c>
      <c r="Y4" s="5">
        <v>1</v>
      </c>
      <c r="Z4" s="5">
        <v>1</v>
      </c>
      <c r="AA4" s="5">
        <v>0</v>
      </c>
      <c r="AB4" s="5">
        <v>0</v>
      </c>
      <c r="AC4" s="5">
        <v>1</v>
      </c>
      <c r="AD4" s="5">
        <v>2</v>
      </c>
      <c r="AE4" s="5">
        <v>1</v>
      </c>
      <c r="AF4" s="5">
        <v>2</v>
      </c>
      <c r="AG4" s="5">
        <v>1</v>
      </c>
      <c r="AH4" s="5">
        <v>0</v>
      </c>
      <c r="AI4" s="2">
        <v>11</v>
      </c>
      <c r="AJ4" s="2">
        <v>22</v>
      </c>
      <c r="AK4" s="2">
        <v>2</v>
      </c>
      <c r="AL4" s="2">
        <v>25</v>
      </c>
      <c r="AM4" s="2">
        <v>30.5</v>
      </c>
      <c r="AN4" t="str">
        <f>IF(OR(G4="",Participant_Data!E4=""),"",IF(Participant_Data!E4&lt;70,IF(ROUND(G4,1)&lt;18.5,"ขาด/เสี่ยงขาด",IF(ROUND(G4,1)&gt;=25,"เสี่ยงเกิน/เกิน","ปกติ")),IF(ROUND(G4,1)&lt;20,"ขาด/เสี่ยงขาด",IF(ROUND(G4,1)&gt;=25,"เสี่ยงเกิน/เกิน","ปกติ"))))</f>
        <v>ขาด/เสี่ยงขาด</v>
      </c>
      <c r="AO4" t="str">
        <f>IF(OR(I4="",Participant_Data!G4=""),"",IF(Participant_Data!G4=1,IF(ROUND(I4,1)&lt;15,"ขาด/เสี่ยงขาด",IF(ROUND(I4,1)&gt;25,"เสี่ยงเกิน/เกิน","ปกติ")),IF(ROUND(I4,1)&lt;20,"ขาด/เสี่ยงขาด",IF(ROUND(I4,1)&gt;35,"เสี่ยงเกิน/เกิน","ปกติ"))))</f>
        <v>ปกติ</v>
      </c>
      <c r="AP4" t="str">
        <f t="shared" si="1"/>
        <v>ขาด/เสี่ยงขาด</v>
      </c>
    </row>
    <row r="5" spans="1:42">
      <c r="A5" s="2">
        <f>IF(Participant_Data!A5="","",Participant_Data!A5)</f>
        <v>4</v>
      </c>
      <c r="B5" s="2" t="str">
        <f>IF(Participant_Data!B5="","",Participant_Data!B5)</f>
        <v/>
      </c>
      <c r="C5" s="3" t="str">
        <f>IF(Participant_Data!C5="","",Participant_Data!C5)</f>
        <v/>
      </c>
      <c r="D5" s="5"/>
      <c r="E5" s="5">
        <v>143</v>
      </c>
      <c r="F5" s="5">
        <v>30.9</v>
      </c>
      <c r="G5" s="22">
        <f t="shared" si="0"/>
        <v>15.110763362511616</v>
      </c>
      <c r="H5" s="5">
        <v>3.86</v>
      </c>
      <c r="I5" s="5">
        <v>12.5</v>
      </c>
      <c r="J5" s="5">
        <v>1</v>
      </c>
      <c r="K5" s="5">
        <v>25.8</v>
      </c>
      <c r="L5" s="5">
        <v>1.2</v>
      </c>
      <c r="M5" s="5">
        <v>61.3</v>
      </c>
      <c r="N5" s="5">
        <v>744</v>
      </c>
      <c r="O5" s="5">
        <v>2</v>
      </c>
      <c r="P5" s="5">
        <v>3</v>
      </c>
      <c r="Q5" s="5">
        <v>2</v>
      </c>
      <c r="R5" s="5">
        <v>2</v>
      </c>
      <c r="S5" s="5">
        <v>2</v>
      </c>
      <c r="T5" s="5">
        <v>0</v>
      </c>
      <c r="U5" s="2">
        <v>11</v>
      </c>
      <c r="V5" s="2">
        <v>2</v>
      </c>
      <c r="W5" s="5">
        <v>1</v>
      </c>
      <c r="X5" s="5">
        <v>1</v>
      </c>
      <c r="Y5" s="5">
        <v>1</v>
      </c>
      <c r="Z5" s="5">
        <v>2</v>
      </c>
      <c r="AA5" s="5">
        <v>0.5</v>
      </c>
      <c r="AB5" s="5">
        <v>1</v>
      </c>
      <c r="AC5" s="5">
        <v>1</v>
      </c>
      <c r="AD5" s="5">
        <v>2</v>
      </c>
      <c r="AE5" s="5">
        <v>0</v>
      </c>
      <c r="AF5" s="5">
        <v>1</v>
      </c>
      <c r="AG5" s="5">
        <v>0</v>
      </c>
      <c r="AH5" s="5">
        <v>0</v>
      </c>
      <c r="AI5" s="2">
        <v>10.5</v>
      </c>
      <c r="AJ5" s="2">
        <v>21.5</v>
      </c>
      <c r="AK5" s="2">
        <v>2</v>
      </c>
      <c r="AL5" s="2">
        <v>19</v>
      </c>
      <c r="AM5" s="2">
        <v>28</v>
      </c>
      <c r="AN5" t="str">
        <f>IF(OR(G5="",Participant_Data!E5=""),"",IF(Participant_Data!E5&lt;70,IF(ROUND(G5,1)&lt;18.5,"ขาด/เสี่ยงขาด",IF(ROUND(G5,1)&gt;=25,"เสี่ยงเกิน/เกิน","ปกติ")),IF(ROUND(G5,1)&lt;20,"ขาด/เสี่ยงขาด",IF(ROUND(G5,1)&gt;=25,"เสี่ยงเกิน/เกิน","ปกติ"))))</f>
        <v>ขาด/เสี่ยงขาด</v>
      </c>
      <c r="AO5" t="str">
        <f>IF(OR(I5="",Participant_Data!G5=""),"",IF(Participant_Data!G5=1,IF(ROUND(I5,1)&lt;15,"ขาด/เสี่ยงขาด",IF(ROUND(I5,1)&gt;25,"เสี่ยงเกิน/เกิน","ปกติ")),IF(ROUND(I5,1)&lt;20,"ขาด/เสี่ยงขาด",IF(ROUND(I5,1)&gt;35,"เสี่ยงเกิน/เกิน","ปกติ"))))</f>
        <v>ขาด/เสี่ยงขาด</v>
      </c>
      <c r="AP5" t="str">
        <f t="shared" si="1"/>
        <v>ขาด/เสี่ยงขาด</v>
      </c>
    </row>
    <row r="6" spans="1:42">
      <c r="A6" s="2">
        <f>IF(Participant_Data!A6="","",Participant_Data!A6)</f>
        <v>5</v>
      </c>
      <c r="B6" s="2" t="str">
        <f>IF(Participant_Data!B6="","",Participant_Data!B6)</f>
        <v/>
      </c>
      <c r="C6" s="3" t="str">
        <f>IF(Participant_Data!C6="","",Participant_Data!C6)</f>
        <v/>
      </c>
      <c r="D6" s="5"/>
      <c r="E6" s="5">
        <v>160</v>
      </c>
      <c r="F6" s="5">
        <v>60.05</v>
      </c>
      <c r="G6" s="22">
        <f t="shared" si="0"/>
        <v>23.457031249999993</v>
      </c>
      <c r="H6" s="5">
        <v>13.27</v>
      </c>
      <c r="I6" s="5">
        <v>22.1</v>
      </c>
      <c r="J6" s="5">
        <v>6.5</v>
      </c>
      <c r="K6" s="5">
        <v>43.85</v>
      </c>
      <c r="L6" s="5">
        <v>2.9</v>
      </c>
      <c r="M6" s="5">
        <v>55.4</v>
      </c>
      <c r="N6" s="5">
        <v>1317</v>
      </c>
      <c r="O6" s="5">
        <v>2</v>
      </c>
      <c r="P6" s="5">
        <v>3</v>
      </c>
      <c r="Q6" s="5">
        <v>2</v>
      </c>
      <c r="R6" s="5">
        <v>2</v>
      </c>
      <c r="S6" s="5">
        <v>1</v>
      </c>
      <c r="T6" s="5">
        <v>3</v>
      </c>
      <c r="U6" s="2">
        <v>13</v>
      </c>
      <c r="V6" s="2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2</v>
      </c>
      <c r="AE6" s="5">
        <v>2</v>
      </c>
      <c r="AF6" s="5">
        <v>1</v>
      </c>
      <c r="AG6" s="5">
        <v>1</v>
      </c>
      <c r="AH6" s="5">
        <v>1</v>
      </c>
      <c r="AI6" s="2">
        <v>14</v>
      </c>
      <c r="AJ6" s="2">
        <v>27</v>
      </c>
      <c r="AK6" s="2">
        <v>1</v>
      </c>
      <c r="AL6" s="2">
        <v>28</v>
      </c>
      <c r="AM6" s="2">
        <v>34</v>
      </c>
      <c r="AN6" t="str">
        <f>IF(OR(G6="",Participant_Data!E6=""),"",IF(Participant_Data!E6&lt;70,IF(ROUND(G6,1)&lt;18.5,"ขาด/เสี่ยงขาด",IF(ROUND(G6,1)&gt;=25,"เสี่ยงเกิน/เกิน","ปกติ")),IF(ROUND(G6,1)&lt;20,"ขาด/เสี่ยงขาด",IF(ROUND(G6,1)&gt;=25,"เสี่ยงเกิน/เกิน","ปกติ"))))</f>
        <v>ปกติ</v>
      </c>
      <c r="AO6" t="str">
        <f>IF(OR(I6="",Participant_Data!G6=""),"",IF(Participant_Data!G6=1,IF(ROUND(I6,1)&lt;15,"ขาด/เสี่ยงขาด",IF(ROUND(I6,1)&gt;25,"เสี่ยงเกิน/เกิน","ปกติ")),IF(ROUND(I6,1)&lt;20,"ขาด/เสี่ยงขาด",IF(ROUND(I6,1)&gt;35,"เสี่ยงเกิน/เกิน","ปกติ"))))</f>
        <v>ปกติ</v>
      </c>
      <c r="AP6" t="str">
        <f t="shared" si="1"/>
        <v>ปกติ</v>
      </c>
    </row>
    <row r="7" spans="1:42">
      <c r="A7" s="2">
        <f>IF(Participant_Data!A7="","",Participant_Data!A7)</f>
        <v>6</v>
      </c>
      <c r="B7" s="2" t="str">
        <f>IF(Participant_Data!B7="","",Participant_Data!B7)</f>
        <v/>
      </c>
      <c r="C7" s="3" t="str">
        <f>IF(Participant_Data!C7="","",Participant_Data!C7)</f>
        <v/>
      </c>
      <c r="D7" s="5"/>
      <c r="E7" s="5">
        <v>153</v>
      </c>
      <c r="F7" s="5">
        <v>53.1</v>
      </c>
      <c r="G7" s="22">
        <f t="shared" si="0"/>
        <v>22.683583237216457</v>
      </c>
      <c r="H7" s="5">
        <v>15.56</v>
      </c>
      <c r="I7" s="5">
        <v>29.3</v>
      </c>
      <c r="J7" s="5">
        <v>6.5</v>
      </c>
      <c r="K7" s="5">
        <v>35.450000000000003</v>
      </c>
      <c r="L7" s="5">
        <v>2.1</v>
      </c>
      <c r="M7" s="5">
        <v>50.6</v>
      </c>
      <c r="N7" s="5">
        <v>1076</v>
      </c>
      <c r="O7" s="5">
        <v>2</v>
      </c>
      <c r="P7" s="5">
        <v>3</v>
      </c>
      <c r="Q7" s="5">
        <v>2</v>
      </c>
      <c r="R7" s="5">
        <v>2</v>
      </c>
      <c r="S7" s="5">
        <v>2</v>
      </c>
      <c r="T7" s="5">
        <v>2</v>
      </c>
      <c r="U7" s="2">
        <v>13</v>
      </c>
      <c r="V7" s="2">
        <v>1</v>
      </c>
      <c r="W7" s="5">
        <v>1</v>
      </c>
      <c r="X7" s="5">
        <v>1</v>
      </c>
      <c r="Y7" s="5">
        <v>1</v>
      </c>
      <c r="Z7" s="5">
        <v>1</v>
      </c>
      <c r="AA7" s="5">
        <v>0.5</v>
      </c>
      <c r="AB7" s="5">
        <v>1</v>
      </c>
      <c r="AC7" s="5">
        <v>1</v>
      </c>
      <c r="AD7" s="5">
        <v>2</v>
      </c>
      <c r="AE7" s="5">
        <v>2</v>
      </c>
      <c r="AF7" s="5">
        <v>1</v>
      </c>
      <c r="AG7" s="5">
        <v>1</v>
      </c>
      <c r="AH7" s="5">
        <v>1</v>
      </c>
      <c r="AI7" s="2">
        <v>13.5</v>
      </c>
      <c r="AJ7" s="2">
        <v>26.5</v>
      </c>
      <c r="AK7" s="2">
        <v>1</v>
      </c>
      <c r="AL7" s="2">
        <v>28</v>
      </c>
      <c r="AM7" s="2">
        <v>35</v>
      </c>
      <c r="AN7" t="str">
        <f>IF(OR(G7="",Participant_Data!E7=""),"",IF(Participant_Data!E7&lt;70,IF(ROUND(G7,1)&lt;18.5,"ขาด/เสี่ยงขาด",IF(ROUND(G7,1)&gt;=25,"เสี่ยงเกิน/เกิน","ปกติ")),IF(ROUND(G7,1)&lt;20,"ขาด/เสี่ยงขาด",IF(ROUND(G7,1)&gt;=25,"เสี่ยงเกิน/เกิน","ปกติ"))))</f>
        <v>ปกติ</v>
      </c>
      <c r="AO7" t="str">
        <f>IF(OR(I7="",Participant_Data!G7=""),"",IF(Participant_Data!G7=1,IF(ROUND(I7,1)&lt;15,"ขาด/เสี่ยงขาด",IF(ROUND(I7,1)&gt;25,"เสี่ยงเกิน/เกิน","ปกติ")),IF(ROUND(I7,1)&lt;20,"ขาด/เสี่ยงขาด",IF(ROUND(I7,1)&gt;35,"เสี่ยงเกิน/เกิน","ปกติ"))))</f>
        <v>ปกติ</v>
      </c>
      <c r="AP7" t="str">
        <f t="shared" si="1"/>
        <v>ปกติ</v>
      </c>
    </row>
    <row r="8" spans="1:42">
      <c r="A8" s="2">
        <f>IF(Participant_Data!A8="","",Participant_Data!A8)</f>
        <v>7</v>
      </c>
      <c r="B8" s="2" t="str">
        <f>IF(Participant_Data!B8="","",Participant_Data!B8)</f>
        <v/>
      </c>
      <c r="C8" s="3" t="str">
        <f>IF(Participant_Data!C8="","",Participant_Data!C8)</f>
        <v/>
      </c>
      <c r="D8" s="5"/>
      <c r="E8" s="5">
        <v>163</v>
      </c>
      <c r="F8" s="5">
        <v>79.650000000000006</v>
      </c>
      <c r="G8" s="22">
        <f t="shared" si="0"/>
        <v>29.978546426286279</v>
      </c>
      <c r="H8" s="5">
        <v>34.17</v>
      </c>
      <c r="I8" s="5">
        <v>42.9</v>
      </c>
      <c r="J8" s="5">
        <v>10.5</v>
      </c>
      <c r="K8" s="5">
        <v>42.65</v>
      </c>
      <c r="L8" s="5">
        <v>2.8</v>
      </c>
      <c r="M8" s="5">
        <v>44.5</v>
      </c>
      <c r="N8" s="5">
        <v>1397</v>
      </c>
      <c r="O8" s="5">
        <v>2</v>
      </c>
      <c r="P8" s="5">
        <v>3</v>
      </c>
      <c r="Q8" s="5">
        <v>2</v>
      </c>
      <c r="R8" s="5">
        <v>2</v>
      </c>
      <c r="S8" s="5">
        <v>2</v>
      </c>
      <c r="T8" s="5">
        <v>3</v>
      </c>
      <c r="U8" s="2">
        <v>14</v>
      </c>
      <c r="V8" s="2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2</v>
      </c>
      <c r="AE8" s="5">
        <v>0</v>
      </c>
      <c r="AF8" s="5">
        <v>1</v>
      </c>
      <c r="AG8" s="5">
        <v>1</v>
      </c>
      <c r="AH8" s="5">
        <v>1</v>
      </c>
      <c r="AI8" s="2">
        <v>12</v>
      </c>
      <c r="AJ8" s="2">
        <v>26</v>
      </c>
      <c r="AK8" s="2">
        <v>1</v>
      </c>
      <c r="AL8" s="2">
        <v>36</v>
      </c>
      <c r="AM8" s="2">
        <v>41</v>
      </c>
      <c r="AN8" t="str">
        <f>IF(OR(G8="",Participant_Data!E8=""),"",IF(Participant_Data!E8&lt;70,IF(ROUND(G8,1)&lt;18.5,"ขาด/เสี่ยงขาด",IF(ROUND(G8,1)&gt;=25,"เสี่ยงเกิน/เกิน","ปกติ")),IF(ROUND(G8,1)&lt;20,"ขาด/เสี่ยงขาด",IF(ROUND(G8,1)&gt;=25,"เสี่ยงเกิน/เกิน","ปกติ"))))</f>
        <v>เสี่ยงเกิน/เกิน</v>
      </c>
      <c r="AO8" t="str">
        <f>IF(OR(I8="",Participant_Data!G8=""),"",IF(Participant_Data!G8=1,IF(ROUND(I8,1)&lt;15,"ขาด/เสี่ยงขาด",IF(ROUND(I8,1)&gt;25,"เสี่ยงเกิน/เกิน","ปกติ")),IF(ROUND(I8,1)&lt;20,"ขาด/เสี่ยงขาด",IF(ROUND(I8,1)&gt;35,"เสี่ยงเกิน/เกิน","ปกติ"))))</f>
        <v>เสี่ยงเกิน/เกิน</v>
      </c>
      <c r="AP8" t="str">
        <f t="shared" si="1"/>
        <v>เสี่ยงเกิน/เกิน</v>
      </c>
    </row>
    <row r="9" spans="1:42">
      <c r="A9" s="2">
        <f>IF(Participant_Data!A9="","",Participant_Data!A9)</f>
        <v>8</v>
      </c>
      <c r="B9" s="2" t="str">
        <f>IF(Participant_Data!B9="","",Participant_Data!B9)</f>
        <v/>
      </c>
      <c r="C9" s="3" t="str">
        <f>IF(Participant_Data!C9="","",Participant_Data!C9)</f>
        <v/>
      </c>
      <c r="D9" s="5"/>
      <c r="E9" s="5">
        <v>156</v>
      </c>
      <c r="F9" s="5">
        <v>76.45</v>
      </c>
      <c r="G9" s="22">
        <f t="shared" si="0"/>
        <v>31.414365548980932</v>
      </c>
      <c r="H9" s="5">
        <v>34.86</v>
      </c>
      <c r="I9" s="5">
        <v>45.6</v>
      </c>
      <c r="J9" s="5">
        <v>11.5</v>
      </c>
      <c r="K9" s="5">
        <v>39.1</v>
      </c>
      <c r="L9" s="5">
        <v>2.5</v>
      </c>
      <c r="M9" s="5">
        <v>42.7</v>
      </c>
      <c r="N9" s="5">
        <v>1283</v>
      </c>
      <c r="O9" s="5">
        <v>2</v>
      </c>
      <c r="P9" s="5">
        <v>3</v>
      </c>
      <c r="Q9" s="5">
        <v>2</v>
      </c>
      <c r="R9" s="5">
        <v>0</v>
      </c>
      <c r="S9" s="5">
        <v>2</v>
      </c>
      <c r="T9" s="5">
        <v>3</v>
      </c>
      <c r="U9" s="2">
        <v>12</v>
      </c>
      <c r="V9" s="2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2</v>
      </c>
      <c r="AE9" s="5">
        <v>2</v>
      </c>
      <c r="AF9" s="5">
        <v>2</v>
      </c>
      <c r="AG9" s="5">
        <v>1</v>
      </c>
      <c r="AH9" s="5">
        <v>1</v>
      </c>
      <c r="AI9" s="2">
        <v>15</v>
      </c>
      <c r="AJ9" s="2">
        <v>27</v>
      </c>
      <c r="AK9" s="2">
        <v>1</v>
      </c>
      <c r="AL9" s="2">
        <v>36</v>
      </c>
      <c r="AM9" s="2">
        <v>41</v>
      </c>
      <c r="AN9" t="str">
        <f>IF(OR(G9="",Participant_Data!E9=""),"",IF(Participant_Data!E9&lt;70,IF(ROUND(G9,1)&lt;18.5,"ขาด/เสี่ยงขาด",IF(ROUND(G9,1)&gt;=25,"เสี่ยงเกิน/เกิน","ปกติ")),IF(ROUND(G9,1)&lt;20,"ขาด/เสี่ยงขาด",IF(ROUND(G9,1)&gt;=25,"เสี่ยงเกิน/เกิน","ปกติ"))))</f>
        <v>เสี่ยงเกิน/เกิน</v>
      </c>
      <c r="AO9" t="str">
        <f>IF(OR(I9="",Participant_Data!G9=""),"",IF(Participant_Data!G9=1,IF(ROUND(I9,1)&lt;15,"ขาด/เสี่ยงขาด",IF(ROUND(I9,1)&gt;25,"เสี่ยงเกิน/เกิน","ปกติ")),IF(ROUND(I9,1)&lt;20,"ขาด/เสี่ยงขาด",IF(ROUND(I9,1)&gt;35,"เสี่ยงเกิน/เกิน","ปกติ"))))</f>
        <v>เสี่ยงเกิน/เกิน</v>
      </c>
      <c r="AP9" t="str">
        <f t="shared" si="1"/>
        <v>เสี่ยงเกิน/เกิน</v>
      </c>
    </row>
    <row r="10" spans="1:42">
      <c r="A10" s="2">
        <f>IF(Participant_Data!A10="","",Participant_Data!A10)</f>
        <v>9</v>
      </c>
      <c r="B10" s="2" t="str">
        <f>IF(Participant_Data!B10="","",Participant_Data!B10)</f>
        <v/>
      </c>
      <c r="C10" s="3" t="str">
        <f>IF(Participant_Data!C10="","",Participant_Data!C10)</f>
        <v/>
      </c>
      <c r="D10" s="5"/>
      <c r="E10" s="5">
        <v>150</v>
      </c>
      <c r="F10" s="5">
        <v>53</v>
      </c>
      <c r="G10" s="22">
        <f t="shared" si="0"/>
        <v>23.555555555555557</v>
      </c>
      <c r="H10" s="5">
        <v>17.7</v>
      </c>
      <c r="I10" s="5">
        <v>33.4</v>
      </c>
      <c r="J10" s="5">
        <v>7.5</v>
      </c>
      <c r="K10" s="5">
        <v>33.4</v>
      </c>
      <c r="L10" s="5">
        <v>1.9</v>
      </c>
      <c r="M10" s="5">
        <v>49.1</v>
      </c>
      <c r="N10" s="5">
        <v>1024</v>
      </c>
      <c r="O10" s="5">
        <v>2</v>
      </c>
      <c r="P10" s="5">
        <v>3</v>
      </c>
      <c r="Q10" s="5">
        <v>2</v>
      </c>
      <c r="R10" s="5">
        <v>2</v>
      </c>
      <c r="S10" s="5">
        <v>2</v>
      </c>
      <c r="T10" s="5">
        <v>3</v>
      </c>
      <c r="U10" s="2">
        <v>14</v>
      </c>
      <c r="V10" s="2">
        <v>1</v>
      </c>
      <c r="W10" s="5">
        <v>1</v>
      </c>
      <c r="X10" s="5">
        <v>1</v>
      </c>
      <c r="Y10" s="5">
        <v>1</v>
      </c>
      <c r="Z10" s="5">
        <v>2</v>
      </c>
      <c r="AA10" s="5">
        <v>1</v>
      </c>
      <c r="AB10" s="5">
        <v>1</v>
      </c>
      <c r="AC10" s="5">
        <v>1</v>
      </c>
      <c r="AD10" s="5">
        <v>2</v>
      </c>
      <c r="AE10" s="5">
        <v>2</v>
      </c>
      <c r="AF10" s="5">
        <v>2</v>
      </c>
      <c r="AG10" s="5">
        <v>1</v>
      </c>
      <c r="AH10" s="5">
        <v>1</v>
      </c>
      <c r="AI10" s="2">
        <v>16</v>
      </c>
      <c r="AJ10" s="2">
        <v>30</v>
      </c>
      <c r="AK10" s="2">
        <v>1</v>
      </c>
      <c r="AL10" s="2">
        <v>28</v>
      </c>
      <c r="AM10" s="2">
        <v>35</v>
      </c>
      <c r="AN10" t="str">
        <f>IF(OR(G10="",Participant_Data!E10=""),"",IF(Participant_Data!E10&lt;70,IF(ROUND(G10,1)&lt;18.5,"ขาด/เสี่ยงขาด",IF(ROUND(G10,1)&gt;=25,"เสี่ยงเกิน/เกิน","ปกติ")),IF(ROUND(G10,1)&lt;20,"ขาด/เสี่ยงขาด",IF(ROUND(G10,1)&gt;=25,"เสี่ยงเกิน/เกิน","ปกติ"))))</f>
        <v>ปกติ</v>
      </c>
      <c r="AO10" t="str">
        <f>IF(OR(I10="",Participant_Data!G10=""),"",IF(Participant_Data!G10=1,IF(ROUND(I10,1)&lt;15,"ขาด/เสี่ยงขาด",IF(ROUND(I10,1)&gt;25,"เสี่ยงเกิน/เกิน","ปกติ")),IF(ROUND(I10,1)&lt;20,"ขาด/เสี่ยงขาด",IF(ROUND(I10,1)&gt;35,"เสี่ยงเกิน/เกิน","ปกติ"))))</f>
        <v>ปกติ</v>
      </c>
      <c r="AP10" t="str">
        <f t="shared" si="1"/>
        <v>ปกติ</v>
      </c>
    </row>
    <row r="11" spans="1:42">
      <c r="A11" s="2">
        <f>IF(Participant_Data!A11="","",Participant_Data!A11)</f>
        <v>10</v>
      </c>
      <c r="B11" s="2" t="str">
        <f>IF(Participant_Data!B11="","",Participant_Data!B11)</f>
        <v/>
      </c>
      <c r="C11" s="3" t="str">
        <f>IF(Participant_Data!C11="","",Participant_Data!C11)</f>
        <v/>
      </c>
      <c r="D11" s="5"/>
      <c r="E11" s="5">
        <v>150</v>
      </c>
      <c r="F11" s="5">
        <v>59.2</v>
      </c>
      <c r="G11" s="22">
        <f t="shared" si="0"/>
        <v>26.311111111111114</v>
      </c>
      <c r="H11" s="5">
        <v>22.08</v>
      </c>
      <c r="I11" s="5">
        <v>37.299999999999997</v>
      </c>
      <c r="J11" s="5">
        <v>8.5</v>
      </c>
      <c r="K11" s="5">
        <v>35</v>
      </c>
      <c r="L11" s="5">
        <v>2.1</v>
      </c>
      <c r="M11" s="5">
        <v>48.5</v>
      </c>
      <c r="N11" s="5">
        <v>1099</v>
      </c>
      <c r="O11" s="5">
        <v>2</v>
      </c>
      <c r="P11" s="5">
        <v>3</v>
      </c>
      <c r="Q11" s="5">
        <v>2</v>
      </c>
      <c r="R11" s="5">
        <v>2</v>
      </c>
      <c r="S11" s="5">
        <v>2</v>
      </c>
      <c r="T11" s="5">
        <v>3</v>
      </c>
      <c r="U11" s="2">
        <v>14</v>
      </c>
      <c r="V11" s="2">
        <v>1</v>
      </c>
      <c r="W11" s="5">
        <v>1</v>
      </c>
      <c r="X11" s="5">
        <v>1</v>
      </c>
      <c r="Y11" s="5">
        <v>1</v>
      </c>
      <c r="Z11" s="5">
        <v>2</v>
      </c>
      <c r="AA11" s="5">
        <v>0.5</v>
      </c>
      <c r="AB11" s="5">
        <v>1</v>
      </c>
      <c r="AC11" s="5">
        <v>1</v>
      </c>
      <c r="AD11" s="5">
        <v>2</v>
      </c>
      <c r="AE11" s="5">
        <v>1</v>
      </c>
      <c r="AF11" s="5">
        <v>0.5</v>
      </c>
      <c r="AG11" s="5">
        <v>1</v>
      </c>
      <c r="AH11" s="5">
        <v>1</v>
      </c>
      <c r="AI11" s="2">
        <v>13</v>
      </c>
      <c r="AJ11" s="2">
        <v>27</v>
      </c>
      <c r="AK11" s="2">
        <v>1</v>
      </c>
      <c r="AL11" s="2">
        <v>31</v>
      </c>
      <c r="AM11" s="2">
        <v>40</v>
      </c>
      <c r="AN11" t="str">
        <f>IF(OR(G11="",Participant_Data!E11=""),"",IF(Participant_Data!E11&lt;70,IF(ROUND(G11,1)&lt;18.5,"ขาด/เสี่ยงขาด",IF(ROUND(G11,1)&gt;=25,"เสี่ยงเกิน/เกิน","ปกติ")),IF(ROUND(G11,1)&lt;20,"ขาด/เสี่ยงขาด",IF(ROUND(G11,1)&gt;=25,"เสี่ยงเกิน/เกิน","ปกติ"))))</f>
        <v>เสี่ยงเกิน/เกิน</v>
      </c>
      <c r="AO11" t="str">
        <f>IF(OR(I11="",Participant_Data!G11=""),"",IF(Participant_Data!G11=1,IF(ROUND(I11,1)&lt;15,"ขาด/เสี่ยงขาด",IF(ROUND(I11,1)&gt;25,"เสี่ยงเกิน/เกิน","ปกติ")),IF(ROUND(I11,1)&lt;20,"ขาด/เสี่ยงขาด",IF(ROUND(I11,1)&gt;35,"เสี่ยงเกิน/เกิน","ปกติ"))))</f>
        <v>เสี่ยงเกิน/เกิน</v>
      </c>
      <c r="AP11" t="str">
        <f t="shared" si="1"/>
        <v>เสี่ยงเกิน/เกิน</v>
      </c>
    </row>
    <row r="12" spans="1:42">
      <c r="A12" s="2">
        <f>IF(Participant_Data!A12="","",Participant_Data!A12)</f>
        <v>11</v>
      </c>
      <c r="B12" s="2" t="str">
        <f>IF(Participant_Data!B12="","",Participant_Data!B12)</f>
        <v/>
      </c>
      <c r="C12" s="3" t="str">
        <f>IF(Participant_Data!C12="","",Participant_Data!C12)</f>
        <v/>
      </c>
      <c r="D12" s="5"/>
      <c r="E12" s="5">
        <v>158</v>
      </c>
      <c r="F12" s="5">
        <v>50.65</v>
      </c>
      <c r="G12" s="22">
        <f t="shared" si="0"/>
        <v>20.289216471719271</v>
      </c>
      <c r="H12" s="5">
        <v>16.010000000000002</v>
      </c>
      <c r="I12" s="5">
        <v>31.6</v>
      </c>
      <c r="J12" s="5">
        <v>6</v>
      </c>
      <c r="K12" s="5">
        <v>32.75</v>
      </c>
      <c r="L12" s="5">
        <v>1.9</v>
      </c>
      <c r="M12" s="5">
        <v>44.1</v>
      </c>
      <c r="N12" s="5">
        <v>996</v>
      </c>
      <c r="O12" s="5">
        <v>1</v>
      </c>
      <c r="P12" s="5">
        <v>3</v>
      </c>
      <c r="Q12" s="5">
        <v>2</v>
      </c>
      <c r="R12" s="5">
        <v>2</v>
      </c>
      <c r="S12" s="5">
        <v>1</v>
      </c>
      <c r="T12" s="5">
        <v>1</v>
      </c>
      <c r="U12" s="2">
        <v>10</v>
      </c>
      <c r="V12" s="2">
        <v>2</v>
      </c>
      <c r="W12" s="5">
        <v>1</v>
      </c>
      <c r="X12" s="5">
        <v>1</v>
      </c>
      <c r="Y12" s="5">
        <v>1</v>
      </c>
      <c r="Z12" s="5">
        <v>2</v>
      </c>
      <c r="AA12" s="5">
        <v>0.5</v>
      </c>
      <c r="AB12" s="5">
        <v>1</v>
      </c>
      <c r="AC12" s="5">
        <v>1</v>
      </c>
      <c r="AD12" s="5">
        <v>2</v>
      </c>
      <c r="AE12" s="5">
        <v>2</v>
      </c>
      <c r="AF12" s="5">
        <v>2</v>
      </c>
      <c r="AG12" s="5">
        <v>1</v>
      </c>
      <c r="AH12" s="5">
        <v>1</v>
      </c>
      <c r="AI12" s="2">
        <v>15.5</v>
      </c>
      <c r="AJ12" s="2">
        <v>25.5</v>
      </c>
      <c r="AK12" s="2">
        <v>1</v>
      </c>
      <c r="AL12" s="2">
        <v>26</v>
      </c>
      <c r="AM12" s="2">
        <v>33.5</v>
      </c>
      <c r="AN12" t="str">
        <f>IF(OR(G12="",Participant_Data!E12=""),"",IF(Participant_Data!E12&lt;70,IF(ROUND(G12,1)&lt;18.5,"ขาด/เสี่ยงขาด",IF(ROUND(G12,1)&gt;=25,"เสี่ยงเกิน/เกิน","ปกติ")),IF(ROUND(G12,1)&lt;20,"ขาด/เสี่ยงขาด",IF(ROUND(G12,1)&gt;=25,"เสี่ยงเกิน/เกิน","ปกติ"))))</f>
        <v>ปกติ</v>
      </c>
      <c r="AO12" t="str">
        <f>IF(OR(I12="",Participant_Data!G12=""),"",IF(Participant_Data!G12=1,IF(ROUND(I12,1)&lt;15,"ขาด/เสี่ยงขาด",IF(ROUND(I12,1)&gt;25,"เสี่ยงเกิน/เกิน","ปกติ")),IF(ROUND(I12,1)&lt;20,"ขาด/เสี่ยงขาด",IF(ROUND(I12,1)&gt;35,"เสี่ยงเกิน/เกิน","ปกติ"))))</f>
        <v>ปกติ</v>
      </c>
      <c r="AP12" t="str">
        <f t="shared" si="1"/>
        <v>ปกติ</v>
      </c>
    </row>
    <row r="13" spans="1:42">
      <c r="A13" s="2">
        <f>IF(Participant_Data!A13="","",Participant_Data!A13)</f>
        <v>12</v>
      </c>
      <c r="B13" s="2" t="str">
        <f>IF(Participant_Data!B13="","",Participant_Data!B13)</f>
        <v/>
      </c>
      <c r="C13" s="3" t="str">
        <f>IF(Participant_Data!C13="","",Participant_Data!C13)</f>
        <v/>
      </c>
      <c r="D13" s="5"/>
      <c r="E13" s="5">
        <v>156</v>
      </c>
      <c r="F13" s="5">
        <v>56.2</v>
      </c>
      <c r="G13" s="22">
        <f t="shared" si="0"/>
        <v>23.093359631821169</v>
      </c>
      <c r="H13" s="5">
        <v>17.82</v>
      </c>
      <c r="I13" s="5">
        <v>31.7</v>
      </c>
      <c r="J13" s="5">
        <v>6.5</v>
      </c>
      <c r="K13" s="5">
        <v>36.15</v>
      </c>
      <c r="L13" s="5">
        <v>2.2000000000000002</v>
      </c>
      <c r="M13" s="5">
        <v>50.6</v>
      </c>
      <c r="N13" s="5">
        <v>1113</v>
      </c>
      <c r="O13" s="5">
        <v>2</v>
      </c>
      <c r="P13" s="5">
        <v>3</v>
      </c>
      <c r="Q13" s="5">
        <v>2</v>
      </c>
      <c r="R13" s="5">
        <v>0</v>
      </c>
      <c r="S13" s="5">
        <v>2</v>
      </c>
      <c r="T13" s="5">
        <v>3</v>
      </c>
      <c r="U13" s="2">
        <v>12</v>
      </c>
      <c r="V13" s="2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2</v>
      </c>
      <c r="AE13" s="5">
        <v>2</v>
      </c>
      <c r="AF13" s="5">
        <v>2</v>
      </c>
      <c r="AG13" s="5">
        <v>1</v>
      </c>
      <c r="AH13" s="5">
        <v>1</v>
      </c>
      <c r="AI13" s="2">
        <v>15</v>
      </c>
      <c r="AJ13" s="2">
        <v>27</v>
      </c>
      <c r="AK13" s="2">
        <v>1</v>
      </c>
      <c r="AL13" s="2">
        <v>26</v>
      </c>
      <c r="AM13" s="2">
        <v>35</v>
      </c>
      <c r="AN13" t="str">
        <f>IF(OR(G13="",Participant_Data!E13=""),"",IF(Participant_Data!E13&lt;70,IF(ROUND(G13,1)&lt;18.5,"ขาด/เสี่ยงขาด",IF(ROUND(G13,1)&gt;=25,"เสี่ยงเกิน/เกิน","ปกติ")),IF(ROUND(G13,1)&lt;20,"ขาด/เสี่ยงขาด",IF(ROUND(G13,1)&gt;=25,"เสี่ยงเกิน/เกิน","ปกติ"))))</f>
        <v>ปกติ</v>
      </c>
      <c r="AO13" t="str">
        <f>IF(OR(I13="",Participant_Data!G13=""),"",IF(Participant_Data!G13=1,IF(ROUND(I13,1)&lt;15,"ขาด/เสี่ยงขาด",IF(ROUND(I13,1)&gt;25,"เสี่ยงเกิน/เกิน","ปกติ")),IF(ROUND(I13,1)&lt;20,"ขาด/เสี่ยงขาด",IF(ROUND(I13,1)&gt;35,"เสี่ยงเกิน/เกิน","ปกติ"))))</f>
        <v>ปกติ</v>
      </c>
      <c r="AP13" t="str">
        <f t="shared" si="1"/>
        <v>ปกติ</v>
      </c>
    </row>
    <row r="14" spans="1:42">
      <c r="A14" s="2">
        <f>IF(Participant_Data!A14="","",Participant_Data!A14)</f>
        <v>13</v>
      </c>
      <c r="B14" s="2" t="str">
        <f>IF(Participant_Data!B14="","",Participant_Data!B14)</f>
        <v/>
      </c>
      <c r="C14" s="3" t="str">
        <f>IF(Participant_Data!C14="","",Participant_Data!C14)</f>
        <v/>
      </c>
      <c r="D14" s="5"/>
      <c r="E14" s="5">
        <v>147</v>
      </c>
      <c r="F14" s="5">
        <v>34.700000000000003</v>
      </c>
      <c r="G14" s="22">
        <f t="shared" si="0"/>
        <v>16.058123929844051</v>
      </c>
      <c r="H14" s="5">
        <v>6.97</v>
      </c>
      <c r="I14" s="5">
        <v>20.100000000000001</v>
      </c>
      <c r="J14" s="5">
        <v>1.5</v>
      </c>
      <c r="K14" s="5">
        <v>26.45</v>
      </c>
      <c r="L14" s="5">
        <v>1.3</v>
      </c>
      <c r="M14" s="5">
        <v>53.3</v>
      </c>
      <c r="N14" s="5">
        <v>776</v>
      </c>
      <c r="O14" s="5">
        <v>2</v>
      </c>
      <c r="P14" s="5">
        <v>3</v>
      </c>
      <c r="Q14" s="5">
        <v>2</v>
      </c>
      <c r="R14" s="5">
        <v>2</v>
      </c>
      <c r="S14" s="5">
        <v>1</v>
      </c>
      <c r="T14" s="5">
        <v>0</v>
      </c>
      <c r="U14" s="2">
        <v>10</v>
      </c>
      <c r="V14" s="2">
        <v>2</v>
      </c>
      <c r="W14" s="5">
        <v>1</v>
      </c>
      <c r="X14" s="5">
        <v>1</v>
      </c>
      <c r="Y14" s="5">
        <v>1</v>
      </c>
      <c r="Z14" s="5">
        <v>2</v>
      </c>
      <c r="AA14" s="5">
        <v>0.5</v>
      </c>
      <c r="AB14" s="5">
        <v>1</v>
      </c>
      <c r="AC14" s="5">
        <v>1</v>
      </c>
      <c r="AD14" s="5">
        <v>2</v>
      </c>
      <c r="AE14" s="5">
        <v>1</v>
      </c>
      <c r="AF14" s="5">
        <v>2</v>
      </c>
      <c r="AG14" s="5">
        <v>0</v>
      </c>
      <c r="AH14" s="5">
        <v>0</v>
      </c>
      <c r="AI14" s="2">
        <v>12.5</v>
      </c>
      <c r="AJ14" s="2">
        <v>22.5</v>
      </c>
      <c r="AK14" s="2">
        <v>2</v>
      </c>
      <c r="AL14" s="2">
        <v>19</v>
      </c>
      <c r="AM14" s="2">
        <v>28</v>
      </c>
      <c r="AN14" t="str">
        <f>IF(OR(G14="",Participant_Data!E14=""),"",IF(Participant_Data!E14&lt;70,IF(ROUND(G14,1)&lt;18.5,"ขาด/เสี่ยงขาด",IF(ROUND(G14,1)&gt;=25,"เสี่ยงเกิน/เกิน","ปกติ")),IF(ROUND(G14,1)&lt;20,"ขาด/เสี่ยงขาด",IF(ROUND(G14,1)&gt;=25,"เสี่ยงเกิน/เกิน","ปกติ"))))</f>
        <v>ขาด/เสี่ยงขาด</v>
      </c>
      <c r="AO14" t="str">
        <f>IF(OR(I14="",Participant_Data!G14=""),"",IF(Participant_Data!G14=1,IF(ROUND(I14,1)&lt;15,"ขาด/เสี่ยงขาด",IF(ROUND(I14,1)&gt;25,"เสี่ยงเกิน/เกิน","ปกติ")),IF(ROUND(I14,1)&lt;20,"ขาด/เสี่ยงขาด",IF(ROUND(I14,1)&gt;35,"เสี่ยงเกิน/เกิน","ปกติ"))))</f>
        <v>ปกติ</v>
      </c>
      <c r="AP14" t="str">
        <f t="shared" si="1"/>
        <v>ขาด/เสี่ยงขาด</v>
      </c>
    </row>
    <row r="15" spans="1:42">
      <c r="A15" s="2">
        <f>IF(Participant_Data!A15="","",Participant_Data!A15)</f>
        <v>14</v>
      </c>
      <c r="B15" s="2" t="str">
        <f>IF(Participant_Data!B15="","",Participant_Data!B15)</f>
        <v/>
      </c>
      <c r="C15" s="3" t="str">
        <f>IF(Participant_Data!C15="","",Participant_Data!C15)</f>
        <v/>
      </c>
      <c r="D15" s="5"/>
      <c r="E15" s="5">
        <v>148</v>
      </c>
      <c r="F15" s="5">
        <v>29</v>
      </c>
      <c r="G15" s="22">
        <f t="shared" si="0"/>
        <v>13.239590942293646</v>
      </c>
      <c r="H15" s="5">
        <v>2.84</v>
      </c>
      <c r="I15" s="5">
        <v>9.8000000000000007</v>
      </c>
      <c r="J15" s="5">
        <v>1</v>
      </c>
      <c r="K15" s="5">
        <v>25</v>
      </c>
      <c r="L15" s="5">
        <v>1.1000000000000001</v>
      </c>
      <c r="M15" s="5">
        <v>56.1</v>
      </c>
      <c r="N15" s="5">
        <v>719</v>
      </c>
      <c r="O15" s="5">
        <v>1</v>
      </c>
      <c r="P15" s="5">
        <v>3</v>
      </c>
      <c r="Q15" s="5">
        <v>2</v>
      </c>
      <c r="R15" s="5">
        <v>2</v>
      </c>
      <c r="S15" s="5">
        <v>1</v>
      </c>
      <c r="T15" s="5">
        <v>0</v>
      </c>
      <c r="U15" s="2">
        <v>9</v>
      </c>
      <c r="V15" s="2">
        <v>2</v>
      </c>
      <c r="W15" s="5">
        <v>1</v>
      </c>
      <c r="X15" s="5">
        <v>1</v>
      </c>
      <c r="Y15" s="5">
        <v>1</v>
      </c>
      <c r="Z15" s="5">
        <v>2</v>
      </c>
      <c r="AA15" s="5">
        <v>0.5</v>
      </c>
      <c r="AB15" s="5">
        <v>0</v>
      </c>
      <c r="AC15" s="5">
        <v>1</v>
      </c>
      <c r="AD15" s="5">
        <v>2</v>
      </c>
      <c r="AE15" s="5">
        <v>0</v>
      </c>
      <c r="AF15" s="5">
        <v>0</v>
      </c>
      <c r="AG15" s="5">
        <v>0</v>
      </c>
      <c r="AH15" s="5">
        <v>0</v>
      </c>
      <c r="AI15" s="2">
        <v>8.5</v>
      </c>
      <c r="AJ15" s="2">
        <v>17.5</v>
      </c>
      <c r="AK15" s="2">
        <v>2</v>
      </c>
      <c r="AL15" s="2">
        <v>17</v>
      </c>
      <c r="AM15" s="2">
        <v>26</v>
      </c>
      <c r="AN15" t="str">
        <f>IF(OR(G15="",Participant_Data!E15=""),"",IF(Participant_Data!E15&lt;70,IF(ROUND(G15,1)&lt;18.5,"ขาด/เสี่ยงขาด",IF(ROUND(G15,1)&gt;=25,"เสี่ยงเกิน/เกิน","ปกติ")),IF(ROUND(G15,1)&lt;20,"ขาด/เสี่ยงขาด",IF(ROUND(G15,1)&gt;=25,"เสี่ยงเกิน/เกิน","ปกติ"))))</f>
        <v>ขาด/เสี่ยงขาด</v>
      </c>
      <c r="AO15" t="str">
        <f>IF(OR(I15="",Participant_Data!G15=""),"",IF(Participant_Data!G15=1,IF(ROUND(I15,1)&lt;15,"ขาด/เสี่ยงขาด",IF(ROUND(I15,1)&gt;25,"เสี่ยงเกิน/เกิน","ปกติ")),IF(ROUND(I15,1)&lt;20,"ขาด/เสี่ยงขาด",IF(ROUND(I15,1)&gt;35,"เสี่ยงเกิน/เกิน","ปกติ"))))</f>
        <v>ขาด/เสี่ยงขาด</v>
      </c>
      <c r="AP15" t="str">
        <f t="shared" si="1"/>
        <v>ขาด/เสี่ยงขาด</v>
      </c>
    </row>
    <row r="16" spans="1:42">
      <c r="A16" s="2">
        <f>IF(Participant_Data!A16="","",Participant_Data!A16)</f>
        <v>15</v>
      </c>
      <c r="B16" s="2" t="str">
        <f>IF(Participant_Data!B16="","",Participant_Data!B16)</f>
        <v/>
      </c>
      <c r="C16" s="3" t="str">
        <f>IF(Participant_Data!C16="","",Participant_Data!C16)</f>
        <v/>
      </c>
      <c r="D16" s="5"/>
      <c r="E16" s="5">
        <v>150</v>
      </c>
      <c r="F16" s="5">
        <v>42.75</v>
      </c>
      <c r="G16" s="22">
        <f t="shared" si="0"/>
        <v>19</v>
      </c>
      <c r="H16" s="5">
        <v>10.26</v>
      </c>
      <c r="I16" s="5">
        <v>20.399999999999999</v>
      </c>
      <c r="J16" s="5">
        <v>3.5</v>
      </c>
      <c r="K16" s="5">
        <v>32.200000000000003</v>
      </c>
      <c r="L16" s="5">
        <v>1.8</v>
      </c>
      <c r="M16" s="5">
        <v>54.8</v>
      </c>
      <c r="N16" s="5">
        <v>946</v>
      </c>
      <c r="O16" s="5">
        <v>2</v>
      </c>
      <c r="P16" s="5">
        <v>3</v>
      </c>
      <c r="Q16" s="5">
        <v>2</v>
      </c>
      <c r="R16" s="5">
        <v>2</v>
      </c>
      <c r="S16" s="5">
        <v>1</v>
      </c>
      <c r="T16" s="5">
        <v>1</v>
      </c>
      <c r="U16" s="2">
        <v>11</v>
      </c>
      <c r="V16" s="2">
        <v>2</v>
      </c>
      <c r="W16" s="5">
        <v>1</v>
      </c>
      <c r="X16" s="5">
        <v>0</v>
      </c>
      <c r="Y16" s="5">
        <v>1</v>
      </c>
      <c r="Z16" s="5">
        <v>2</v>
      </c>
      <c r="AA16" s="5">
        <v>0.5</v>
      </c>
      <c r="AB16" s="5">
        <v>1</v>
      </c>
      <c r="AC16" s="5">
        <v>1</v>
      </c>
      <c r="AD16" s="5">
        <v>2</v>
      </c>
      <c r="AE16" s="5">
        <v>1</v>
      </c>
      <c r="AF16" s="5">
        <v>1</v>
      </c>
      <c r="AG16" s="5">
        <v>1</v>
      </c>
      <c r="AH16" s="5">
        <v>1</v>
      </c>
      <c r="AI16" s="2">
        <v>12.5</v>
      </c>
      <c r="AJ16" s="2">
        <v>23.5</v>
      </c>
      <c r="AK16" s="2">
        <v>2</v>
      </c>
      <c r="AL16" s="2">
        <v>22.5</v>
      </c>
      <c r="AM16" s="2">
        <v>34</v>
      </c>
      <c r="AN16" t="str">
        <f>IF(OR(G16="",Participant_Data!E16=""),"",IF(Participant_Data!E16&lt;70,IF(ROUND(G16,1)&lt;18.5,"ขาด/เสี่ยงขาด",IF(ROUND(G16,1)&gt;=25,"เสี่ยงเกิน/เกิน","ปกติ")),IF(ROUND(G16,1)&lt;20,"ขาด/เสี่ยงขาด",IF(ROUND(G16,1)&gt;=25,"เสี่ยงเกิน/เกิน","ปกติ"))))</f>
        <v>ปกติ</v>
      </c>
      <c r="AO16" t="str">
        <f>IF(OR(I16="",Participant_Data!G16=""),"",IF(Participant_Data!G16=1,IF(ROUND(I16,1)&lt;15,"ขาด/เสี่ยงขาด",IF(ROUND(I16,1)&gt;25,"เสี่ยงเกิน/เกิน","ปกติ")),IF(ROUND(I16,1)&lt;20,"ขาด/เสี่ยงขาด",IF(ROUND(I16,1)&gt;35,"เสี่ยงเกิน/เกิน","ปกติ"))))</f>
        <v>ปกติ</v>
      </c>
      <c r="AP16" t="str">
        <f t="shared" si="1"/>
        <v>ปกติ</v>
      </c>
    </row>
    <row r="17" spans="1:42">
      <c r="A17" s="2">
        <f>IF(Participant_Data!A17="","",Participant_Data!A17)</f>
        <v>16</v>
      </c>
      <c r="B17" s="2" t="str">
        <f>IF(Participant_Data!B17="","",Participant_Data!B17)</f>
        <v/>
      </c>
      <c r="C17" s="3" t="str">
        <f>IF(Participant_Data!C17="","",Participant_Data!C17)</f>
        <v/>
      </c>
      <c r="D17" s="5"/>
      <c r="E17" s="5">
        <v>157</v>
      </c>
      <c r="F17" s="5">
        <v>63.75</v>
      </c>
      <c r="G17" s="22">
        <f t="shared" si="0"/>
        <v>25.86311817923648</v>
      </c>
      <c r="H17" s="5">
        <v>24.35</v>
      </c>
      <c r="I17" s="5">
        <v>38.200000000000003</v>
      </c>
      <c r="J17" s="5">
        <v>8.5</v>
      </c>
      <c r="K17" s="5">
        <v>37.1</v>
      </c>
      <c r="L17" s="5">
        <v>2.2999999999999998</v>
      </c>
      <c r="M17" s="5">
        <v>43.4</v>
      </c>
      <c r="N17" s="5">
        <v>1173</v>
      </c>
      <c r="O17" s="5">
        <v>2</v>
      </c>
      <c r="P17" s="5">
        <v>3</v>
      </c>
      <c r="Q17" s="5">
        <v>2</v>
      </c>
      <c r="R17" s="5">
        <v>2</v>
      </c>
      <c r="S17" s="5">
        <v>2</v>
      </c>
      <c r="T17" s="5">
        <v>3</v>
      </c>
      <c r="U17" s="2">
        <v>14</v>
      </c>
      <c r="V17" s="2">
        <v>1</v>
      </c>
      <c r="W17" s="5">
        <v>1</v>
      </c>
      <c r="X17" s="5">
        <v>1</v>
      </c>
      <c r="Y17" s="5">
        <v>1</v>
      </c>
      <c r="Z17" s="5">
        <v>2</v>
      </c>
      <c r="AA17" s="5">
        <v>0.5</v>
      </c>
      <c r="AB17" s="5">
        <v>1</v>
      </c>
      <c r="AC17" s="5">
        <v>1</v>
      </c>
      <c r="AD17" s="5">
        <v>2</v>
      </c>
      <c r="AE17" s="5">
        <v>1</v>
      </c>
      <c r="AF17" s="5">
        <v>1</v>
      </c>
      <c r="AG17" s="5">
        <v>1</v>
      </c>
      <c r="AH17" s="5">
        <v>1</v>
      </c>
      <c r="AI17" s="2">
        <v>13.5</v>
      </c>
      <c r="AJ17" s="2">
        <v>27.5</v>
      </c>
      <c r="AK17" s="2">
        <v>1</v>
      </c>
      <c r="AL17" s="2">
        <v>32</v>
      </c>
      <c r="AM17" s="2">
        <v>37</v>
      </c>
      <c r="AN17" t="str">
        <f>IF(OR(G17="",Participant_Data!E17=""),"",IF(Participant_Data!E17&lt;70,IF(ROUND(G17,1)&lt;18.5,"ขาด/เสี่ยงขาด",IF(ROUND(G17,1)&gt;=25,"เสี่ยงเกิน/เกิน","ปกติ")),IF(ROUND(G17,1)&lt;20,"ขาด/เสี่ยงขาด",IF(ROUND(G17,1)&gt;=25,"เสี่ยงเกิน/เกิน","ปกติ"))))</f>
        <v>เสี่ยงเกิน/เกิน</v>
      </c>
      <c r="AO17" t="str">
        <f>IF(OR(I17="",Participant_Data!G17=""),"",IF(Participant_Data!G17=1,IF(ROUND(I17,1)&lt;15,"ขาด/เสี่ยงขาด",IF(ROUND(I17,1)&gt;25,"เสี่ยงเกิน/เกิน","ปกติ")),IF(ROUND(I17,1)&lt;20,"ขาด/เสี่ยงขาด",IF(ROUND(I17,1)&gt;35,"เสี่ยงเกิน/เกิน","ปกติ"))))</f>
        <v>เสี่ยงเกิน/เกิน</v>
      </c>
      <c r="AP17" t="str">
        <f t="shared" si="1"/>
        <v>เสี่ยงเกิน/เกิน</v>
      </c>
    </row>
    <row r="18" spans="1:42">
      <c r="A18" s="2">
        <f>IF(Participant_Data!A18="","",Participant_Data!A18)</f>
        <v>17</v>
      </c>
      <c r="B18" s="2" t="str">
        <f>IF(Participant_Data!B18="","",Participant_Data!B18)</f>
        <v/>
      </c>
      <c r="C18" s="3" t="str">
        <f>IF(Participant_Data!C18="","",Participant_Data!C18)</f>
        <v/>
      </c>
      <c r="D18" s="5"/>
      <c r="E18" s="5">
        <v>156</v>
      </c>
      <c r="F18" s="5">
        <v>72.75</v>
      </c>
      <c r="G18" s="22">
        <f t="shared" si="0"/>
        <v>29.893984220907296</v>
      </c>
      <c r="H18" s="5">
        <v>28.95</v>
      </c>
      <c r="I18" s="5">
        <v>39.799999999999997</v>
      </c>
      <c r="J18" s="5">
        <v>10.5</v>
      </c>
      <c r="K18" s="5">
        <v>41.1</v>
      </c>
      <c r="L18" s="5">
        <v>2.7</v>
      </c>
      <c r="M18" s="5">
        <v>49.7</v>
      </c>
      <c r="N18" s="5">
        <v>1318</v>
      </c>
      <c r="O18" s="5">
        <v>2</v>
      </c>
      <c r="P18" s="5">
        <v>3</v>
      </c>
      <c r="Q18" s="5">
        <v>2</v>
      </c>
      <c r="R18" s="5">
        <v>2</v>
      </c>
      <c r="S18" s="5">
        <v>2</v>
      </c>
      <c r="T18" s="5">
        <v>3</v>
      </c>
      <c r="U18" s="2">
        <v>14</v>
      </c>
      <c r="V18" s="2">
        <v>1</v>
      </c>
      <c r="W18" s="5">
        <v>1</v>
      </c>
      <c r="X18" s="5">
        <v>1</v>
      </c>
      <c r="Y18" s="5">
        <v>1</v>
      </c>
      <c r="Z18" s="5">
        <v>2</v>
      </c>
      <c r="AA18" s="5">
        <v>0</v>
      </c>
      <c r="AB18" s="5">
        <v>1</v>
      </c>
      <c r="AC18" s="5">
        <v>1</v>
      </c>
      <c r="AD18" s="5">
        <v>2</v>
      </c>
      <c r="AE18" s="5">
        <v>2</v>
      </c>
      <c r="AF18" s="5">
        <v>2</v>
      </c>
      <c r="AG18" s="5">
        <v>1</v>
      </c>
      <c r="AH18" s="5">
        <v>1</v>
      </c>
      <c r="AI18" s="2">
        <v>15</v>
      </c>
      <c r="AJ18" s="2">
        <v>29</v>
      </c>
      <c r="AK18" s="2">
        <v>1</v>
      </c>
      <c r="AL18" s="2">
        <v>34</v>
      </c>
      <c r="AM18" s="2">
        <v>43</v>
      </c>
      <c r="AN18" t="str">
        <f>IF(OR(G18="",Participant_Data!E18=""),"",IF(Participant_Data!E18&lt;70,IF(ROUND(G18,1)&lt;18.5,"ขาด/เสี่ยงขาด",IF(ROUND(G18,1)&gt;=25,"เสี่ยงเกิน/เกิน","ปกติ")),IF(ROUND(G18,1)&lt;20,"ขาด/เสี่ยงขาด",IF(ROUND(G18,1)&gt;=25,"เสี่ยงเกิน/เกิน","ปกติ"))))</f>
        <v>เสี่ยงเกิน/เกิน</v>
      </c>
      <c r="AO18" t="str">
        <f>IF(OR(I18="",Participant_Data!G18=""),"",IF(Participant_Data!G18=1,IF(ROUND(I18,1)&lt;15,"ขาด/เสี่ยงขาด",IF(ROUND(I18,1)&gt;25,"เสี่ยงเกิน/เกิน","ปกติ")),IF(ROUND(I18,1)&lt;20,"ขาด/เสี่ยงขาด",IF(ROUND(I18,1)&gt;35,"เสี่ยงเกิน/เกิน","ปกติ"))))</f>
        <v>เสี่ยงเกิน/เกิน</v>
      </c>
      <c r="AP18" t="str">
        <f t="shared" si="1"/>
        <v>เสี่ยงเกิน/เกิน</v>
      </c>
    </row>
    <row r="19" spans="1:42">
      <c r="A19" s="2">
        <f>IF(Participant_Data!A19="","",Participant_Data!A19)</f>
        <v>18</v>
      </c>
      <c r="B19" s="2" t="str">
        <f>IF(Participant_Data!B19="","",Participant_Data!B19)</f>
        <v/>
      </c>
      <c r="C19" s="3" t="str">
        <f>IF(Participant_Data!C19="","",Participant_Data!C19)</f>
        <v/>
      </c>
      <c r="D19" s="5"/>
      <c r="E19" s="5">
        <v>155</v>
      </c>
      <c r="F19" s="5">
        <v>76.599999999999994</v>
      </c>
      <c r="G19" s="22">
        <f t="shared" si="0"/>
        <v>31.883454734651398</v>
      </c>
      <c r="H19" s="5">
        <v>35.08</v>
      </c>
      <c r="I19" s="5">
        <v>45.8</v>
      </c>
      <c r="J19" s="5">
        <v>11.5</v>
      </c>
      <c r="K19" s="5">
        <v>39.1</v>
      </c>
      <c r="L19" s="5">
        <v>2.5</v>
      </c>
      <c r="M19" s="5">
        <v>39.700000000000003</v>
      </c>
      <c r="N19" s="5">
        <v>1288</v>
      </c>
      <c r="O19" s="5">
        <v>1</v>
      </c>
      <c r="P19" s="5">
        <v>3</v>
      </c>
      <c r="Q19" s="5">
        <v>2</v>
      </c>
      <c r="R19" s="5">
        <v>2</v>
      </c>
      <c r="S19" s="5">
        <v>2</v>
      </c>
      <c r="T19" s="5">
        <v>3</v>
      </c>
      <c r="U19" s="2">
        <v>13</v>
      </c>
      <c r="V19" s="2">
        <v>1</v>
      </c>
      <c r="W19" s="5">
        <v>1</v>
      </c>
      <c r="X19" s="5">
        <v>0</v>
      </c>
      <c r="Y19" s="5">
        <v>1</v>
      </c>
      <c r="Z19" s="5">
        <v>1</v>
      </c>
      <c r="AA19" s="5">
        <v>0.5</v>
      </c>
      <c r="AB19" s="5">
        <v>1</v>
      </c>
      <c r="AC19" s="5">
        <v>1</v>
      </c>
      <c r="AD19" s="5">
        <v>2</v>
      </c>
      <c r="AE19" s="5">
        <v>2</v>
      </c>
      <c r="AF19" s="5">
        <v>1</v>
      </c>
      <c r="AG19" s="5">
        <v>1</v>
      </c>
      <c r="AH19" s="5">
        <v>1</v>
      </c>
      <c r="AI19" s="2">
        <v>12.5</v>
      </c>
      <c r="AJ19" s="2">
        <v>25.5</v>
      </c>
      <c r="AK19" s="2">
        <v>1</v>
      </c>
      <c r="AL19" s="2">
        <v>37.5</v>
      </c>
      <c r="AM19" s="2">
        <v>40</v>
      </c>
      <c r="AN19" t="str">
        <f>IF(OR(G19="",Participant_Data!E19=""),"",IF(Participant_Data!E19&lt;70,IF(ROUND(G19,1)&lt;18.5,"ขาด/เสี่ยงขาด",IF(ROUND(G19,1)&gt;=25,"เสี่ยงเกิน/เกิน","ปกติ")),IF(ROUND(G19,1)&lt;20,"ขาด/เสี่ยงขาด",IF(ROUND(G19,1)&gt;=25,"เสี่ยงเกิน/เกิน","ปกติ"))))</f>
        <v>เสี่ยงเกิน/เกิน</v>
      </c>
      <c r="AO19" t="str">
        <f>IF(OR(I19="",Participant_Data!G19=""),"",IF(Participant_Data!G19=1,IF(ROUND(I19,1)&lt;15,"ขาด/เสี่ยงขาด",IF(ROUND(I19,1)&gt;25,"เสี่ยงเกิน/เกิน","ปกติ")),IF(ROUND(I19,1)&lt;20,"ขาด/เสี่ยงขาด",IF(ROUND(I19,1)&gt;35,"เสี่ยงเกิน/เกิน","ปกติ"))))</f>
        <v>เสี่ยงเกิน/เกิน</v>
      </c>
      <c r="AP19" t="str">
        <f t="shared" si="1"/>
        <v>เสี่ยงเกิน/เกิน</v>
      </c>
    </row>
    <row r="20" spans="1:42">
      <c r="A20" s="2">
        <f>IF(Participant_Data!A20="","",Participant_Data!A20)</f>
        <v>19</v>
      </c>
      <c r="B20" s="2" t="str">
        <f>IF(Participant_Data!B20="","",Participant_Data!B20)</f>
        <v/>
      </c>
      <c r="C20" s="3" t="str">
        <f>IF(Participant_Data!C20="","",Participant_Data!C20)</f>
        <v/>
      </c>
      <c r="D20" s="5"/>
      <c r="E20" s="5">
        <v>147</v>
      </c>
      <c r="F20" s="5">
        <v>61.55</v>
      </c>
      <c r="G20" s="22">
        <f t="shared" si="0"/>
        <v>28.48350224443519</v>
      </c>
      <c r="H20" s="5">
        <v>25.17</v>
      </c>
      <c r="I20" s="5">
        <v>40.9</v>
      </c>
      <c r="J20" s="5">
        <v>10</v>
      </c>
      <c r="K20" s="5">
        <v>34.35</v>
      </c>
      <c r="L20" s="5">
        <v>2</v>
      </c>
      <c r="M20" s="5">
        <v>46.1</v>
      </c>
      <c r="N20" s="5">
        <v>1091</v>
      </c>
      <c r="O20" s="5">
        <v>2</v>
      </c>
      <c r="P20" s="5">
        <v>3</v>
      </c>
      <c r="Q20" s="5">
        <v>2</v>
      </c>
      <c r="R20" s="5">
        <v>2</v>
      </c>
      <c r="S20" s="5">
        <v>1</v>
      </c>
      <c r="T20" s="5">
        <v>3</v>
      </c>
      <c r="U20" s="2">
        <v>13</v>
      </c>
      <c r="V20" s="2">
        <v>1</v>
      </c>
      <c r="W20" s="5">
        <v>1</v>
      </c>
      <c r="X20" s="5">
        <v>1</v>
      </c>
      <c r="Y20" s="5">
        <v>1</v>
      </c>
      <c r="Z20" s="5">
        <v>1</v>
      </c>
      <c r="AA20" s="5">
        <v>0.5</v>
      </c>
      <c r="AB20" s="5">
        <v>1</v>
      </c>
      <c r="AC20" s="5">
        <v>0.5</v>
      </c>
      <c r="AD20" s="5">
        <v>2</v>
      </c>
      <c r="AE20" s="5">
        <v>0</v>
      </c>
      <c r="AF20" s="5">
        <v>1</v>
      </c>
      <c r="AG20" s="5">
        <v>1</v>
      </c>
      <c r="AH20" s="5">
        <v>1</v>
      </c>
      <c r="AI20" s="2">
        <v>11</v>
      </c>
      <c r="AJ20" s="2">
        <v>24</v>
      </c>
      <c r="AK20" s="2">
        <v>1</v>
      </c>
      <c r="AL20" s="2">
        <v>28.5</v>
      </c>
      <c r="AM20" s="2">
        <v>39</v>
      </c>
      <c r="AN20" t="str">
        <f>IF(OR(G20="",Participant_Data!E20=""),"",IF(Participant_Data!E20&lt;70,IF(ROUND(G20,1)&lt;18.5,"ขาด/เสี่ยงขาด",IF(ROUND(G20,1)&gt;=25,"เสี่ยงเกิน/เกิน","ปกติ")),IF(ROUND(G20,1)&lt;20,"ขาด/เสี่ยงขาด",IF(ROUND(G20,1)&gt;=25,"เสี่ยงเกิน/เกิน","ปกติ"))))</f>
        <v>เสี่ยงเกิน/เกิน</v>
      </c>
      <c r="AO20" t="str">
        <f>IF(OR(I20="",Participant_Data!G20=""),"",IF(Participant_Data!G20=1,IF(ROUND(I20,1)&lt;15,"ขาด/เสี่ยงขาด",IF(ROUND(I20,1)&gt;25,"เสี่ยงเกิน/เกิน","ปกติ")),IF(ROUND(I20,1)&lt;20,"ขาด/เสี่ยงขาด",IF(ROUND(I20,1)&gt;35,"เสี่ยงเกิน/เกิน","ปกติ"))))</f>
        <v>เสี่ยงเกิน/เกิน</v>
      </c>
      <c r="AP20" t="str">
        <f t="shared" si="1"/>
        <v>เสี่ยงเกิน/เกิน</v>
      </c>
    </row>
    <row r="21" spans="1:42">
      <c r="A21" s="2">
        <f>IF(Participant_Data!A21="","",Participant_Data!A21)</f>
        <v>20</v>
      </c>
      <c r="B21" s="2" t="str">
        <f>IF(Participant_Data!B21="","",Participant_Data!B21)</f>
        <v/>
      </c>
      <c r="C21" s="3" t="str">
        <f>IF(Participant_Data!C21="","",Participant_Data!C21)</f>
        <v/>
      </c>
      <c r="D21" s="5"/>
      <c r="E21" s="5">
        <v>158</v>
      </c>
      <c r="F21" s="5">
        <v>56.65</v>
      </c>
      <c r="G21" s="22">
        <f t="shared" si="0"/>
        <v>22.692677455535968</v>
      </c>
      <c r="H21" s="5">
        <v>19.829999999999998</v>
      </c>
      <c r="I21" s="5">
        <v>35</v>
      </c>
      <c r="J21" s="5">
        <v>7</v>
      </c>
      <c r="K21" s="5">
        <v>34.75</v>
      </c>
      <c r="L21" s="5">
        <v>2.1</v>
      </c>
      <c r="M21" s="5">
        <v>45.6</v>
      </c>
      <c r="N21" s="5">
        <v>1076</v>
      </c>
      <c r="O21" s="5">
        <v>2</v>
      </c>
      <c r="P21" s="5">
        <v>3</v>
      </c>
      <c r="Q21" s="5">
        <v>2</v>
      </c>
      <c r="R21" s="5">
        <v>2</v>
      </c>
      <c r="S21" s="5">
        <v>2</v>
      </c>
      <c r="T21" s="5">
        <v>2</v>
      </c>
      <c r="U21" s="2">
        <v>13</v>
      </c>
      <c r="V21" s="2">
        <v>1</v>
      </c>
      <c r="W21" s="5">
        <v>1</v>
      </c>
      <c r="X21" s="5">
        <v>1</v>
      </c>
      <c r="Y21" s="5">
        <v>1</v>
      </c>
      <c r="Z21" s="5">
        <v>1</v>
      </c>
      <c r="AA21" s="5">
        <v>0.5</v>
      </c>
      <c r="AB21" s="5">
        <v>1</v>
      </c>
      <c r="AC21" s="5">
        <v>1</v>
      </c>
      <c r="AD21" s="5">
        <v>2</v>
      </c>
      <c r="AE21" s="5">
        <v>1</v>
      </c>
      <c r="AF21" s="5">
        <v>1</v>
      </c>
      <c r="AG21" s="5">
        <v>1</v>
      </c>
      <c r="AH21" s="5">
        <v>1</v>
      </c>
      <c r="AI21" s="2">
        <v>12.5</v>
      </c>
      <c r="AJ21" s="2">
        <v>25.5</v>
      </c>
      <c r="AK21" s="2">
        <v>1</v>
      </c>
      <c r="AL21" s="2">
        <v>28</v>
      </c>
      <c r="AM21" s="2">
        <v>32</v>
      </c>
      <c r="AN21" t="str">
        <f>IF(OR(G21="",Participant_Data!E21=""),"",IF(Participant_Data!E21&lt;70,IF(ROUND(G21,1)&lt;18.5,"ขาด/เสี่ยงขาด",IF(ROUND(G21,1)&gt;=25,"เสี่ยงเกิน/เกิน","ปกติ")),IF(ROUND(G21,1)&lt;20,"ขาด/เสี่ยงขาด",IF(ROUND(G21,1)&gt;=25,"เสี่ยงเกิน/เกิน","ปกติ"))))</f>
        <v>ปกติ</v>
      </c>
      <c r="AO21" t="str">
        <f>IF(OR(I21="",Participant_Data!G21=""),"",IF(Participant_Data!G21=1,IF(ROUND(I21,1)&lt;15,"ขาด/เสี่ยงขาด",IF(ROUND(I21,1)&gt;25,"เสี่ยงเกิน/เกิน","ปกติ")),IF(ROUND(I21,1)&lt;20,"ขาด/เสี่ยงขาด",IF(ROUND(I21,1)&gt;35,"เสี่ยงเกิน/เกิน","ปกติ"))))</f>
        <v>ปกติ</v>
      </c>
      <c r="AP21" t="str">
        <f t="shared" si="1"/>
        <v>ปกติ</v>
      </c>
    </row>
    <row r="22" spans="1:42">
      <c r="A22" s="2">
        <f>IF(Participant_Data!A22="","",Participant_Data!A22)</f>
        <v>21</v>
      </c>
      <c r="B22" s="2" t="str">
        <f>IF(Participant_Data!B22="","",Participant_Data!B22)</f>
        <v/>
      </c>
      <c r="C22" s="3" t="str">
        <f>IF(Participant_Data!C22="","",Participant_Data!C22)</f>
        <v/>
      </c>
      <c r="D22" s="5"/>
      <c r="E22" s="5">
        <v>149</v>
      </c>
      <c r="F22" s="5">
        <v>59.2</v>
      </c>
      <c r="G22" s="22">
        <f t="shared" si="0"/>
        <v>26.665465519571192</v>
      </c>
      <c r="H22" s="5">
        <v>24.86</v>
      </c>
      <c r="I22" s="5">
        <v>42</v>
      </c>
      <c r="J22" s="5">
        <v>9</v>
      </c>
      <c r="K22" s="5">
        <v>32.5</v>
      </c>
      <c r="L22" s="5">
        <v>1.8</v>
      </c>
      <c r="M22" s="5">
        <v>32.5</v>
      </c>
      <c r="N22" s="5">
        <v>1037</v>
      </c>
      <c r="O22" s="5">
        <v>2</v>
      </c>
      <c r="P22" s="5">
        <v>3</v>
      </c>
      <c r="Q22" s="5">
        <v>2</v>
      </c>
      <c r="R22" s="5">
        <v>2</v>
      </c>
      <c r="S22" s="5">
        <v>2</v>
      </c>
      <c r="T22" s="5">
        <v>3</v>
      </c>
      <c r="U22" s="2">
        <v>14</v>
      </c>
      <c r="V22" s="2">
        <v>1</v>
      </c>
      <c r="W22" s="5">
        <v>1</v>
      </c>
      <c r="X22" s="5">
        <v>0</v>
      </c>
      <c r="Y22" s="5">
        <v>1</v>
      </c>
      <c r="Z22" s="5">
        <v>2</v>
      </c>
      <c r="AA22" s="5">
        <v>0.5</v>
      </c>
      <c r="AB22" s="5">
        <v>1</v>
      </c>
      <c r="AC22" s="5">
        <v>1</v>
      </c>
      <c r="AD22" s="5">
        <v>2</v>
      </c>
      <c r="AE22" s="5">
        <v>2</v>
      </c>
      <c r="AF22" s="5">
        <v>1</v>
      </c>
      <c r="AG22" s="5">
        <v>1</v>
      </c>
      <c r="AH22" s="5">
        <v>1</v>
      </c>
      <c r="AI22" s="2">
        <v>13.5</v>
      </c>
      <c r="AJ22" s="2">
        <v>27.5</v>
      </c>
      <c r="AK22" s="2">
        <v>1</v>
      </c>
      <c r="AL22" s="2">
        <v>31.5</v>
      </c>
      <c r="AM22" s="2">
        <v>33</v>
      </c>
      <c r="AN22" t="str">
        <f>IF(OR(G22="",Participant_Data!E22=""),"",IF(Participant_Data!E22&lt;70,IF(ROUND(G22,1)&lt;18.5,"ขาด/เสี่ยงขาด",IF(ROUND(G22,1)&gt;=25,"เสี่ยงเกิน/เกิน","ปกติ")),IF(ROUND(G22,1)&lt;20,"ขาด/เสี่ยงขาด",IF(ROUND(G22,1)&gt;=25,"เสี่ยงเกิน/เกิน","ปกติ"))))</f>
        <v>เสี่ยงเกิน/เกิน</v>
      </c>
      <c r="AO22" t="str">
        <f>IF(OR(I22="",Participant_Data!G22=""),"",IF(Participant_Data!G22=1,IF(ROUND(I22,1)&lt;15,"ขาด/เสี่ยงขาด",IF(ROUND(I22,1)&gt;25,"เสี่ยงเกิน/เกิน","ปกติ")),IF(ROUND(I22,1)&lt;20,"ขาด/เสี่ยงขาด",IF(ROUND(I22,1)&gt;35,"เสี่ยงเกิน/เกิน","ปกติ"))))</f>
        <v>เสี่ยงเกิน/เกิน</v>
      </c>
      <c r="AP22" t="str">
        <f t="shared" si="1"/>
        <v>เสี่ยงเกิน/เกิน</v>
      </c>
    </row>
    <row r="23" spans="1:42">
      <c r="A23" s="2">
        <f>IF(Participant_Data!A23="","",Participant_Data!A23)</f>
        <v>22</v>
      </c>
      <c r="B23" s="2" t="str">
        <f>IF(Participant_Data!B23="","",Participant_Data!B23)</f>
        <v/>
      </c>
      <c r="C23" s="3" t="str">
        <f>IF(Participant_Data!C23="","",Participant_Data!C23)</f>
        <v/>
      </c>
      <c r="D23" s="5"/>
      <c r="E23" s="5">
        <v>146</v>
      </c>
      <c r="F23" s="5">
        <v>48.8</v>
      </c>
      <c r="G23" s="22">
        <f t="shared" si="0"/>
        <v>22.893601050853821</v>
      </c>
      <c r="H23" s="5">
        <v>17.03</v>
      </c>
      <c r="I23" s="5">
        <v>34.9</v>
      </c>
      <c r="J23" s="5">
        <v>7</v>
      </c>
      <c r="K23" s="5">
        <v>30.15</v>
      </c>
      <c r="L23" s="5">
        <v>1.6</v>
      </c>
      <c r="M23" s="5">
        <v>46.1</v>
      </c>
      <c r="N23" s="5">
        <v>927</v>
      </c>
      <c r="O23" s="5">
        <v>2</v>
      </c>
      <c r="P23" s="5">
        <v>3</v>
      </c>
      <c r="Q23" s="5">
        <v>2</v>
      </c>
      <c r="R23" s="5">
        <v>2</v>
      </c>
      <c r="S23" s="5">
        <v>2</v>
      </c>
      <c r="T23" s="5">
        <v>2</v>
      </c>
      <c r="U23" s="2">
        <v>13</v>
      </c>
      <c r="V23" s="2">
        <v>1</v>
      </c>
      <c r="W23" s="5">
        <v>1</v>
      </c>
      <c r="X23" s="5">
        <v>0</v>
      </c>
      <c r="Y23" s="5">
        <v>1</v>
      </c>
      <c r="Z23" s="5">
        <v>2</v>
      </c>
      <c r="AA23" s="5">
        <v>1</v>
      </c>
      <c r="AB23" s="5">
        <v>1</v>
      </c>
      <c r="AC23" s="5">
        <v>1</v>
      </c>
      <c r="AD23" s="5">
        <v>2</v>
      </c>
      <c r="AE23" s="5">
        <v>2</v>
      </c>
      <c r="AF23" s="5">
        <v>2</v>
      </c>
      <c r="AG23" s="5">
        <v>1</v>
      </c>
      <c r="AH23" s="5">
        <v>1</v>
      </c>
      <c r="AI23" s="2">
        <v>15</v>
      </c>
      <c r="AJ23" s="2">
        <v>28</v>
      </c>
      <c r="AK23" s="2">
        <v>1</v>
      </c>
      <c r="AL23" s="2">
        <v>25.5</v>
      </c>
      <c r="AM23" s="2">
        <v>32.5</v>
      </c>
      <c r="AN23" t="str">
        <f>IF(OR(G23="",Participant_Data!E23=""),"",IF(Participant_Data!E23&lt;70,IF(ROUND(G23,1)&lt;18.5,"ขาด/เสี่ยงขาด",IF(ROUND(G23,1)&gt;=25,"เสี่ยงเกิน/เกิน","ปกติ")),IF(ROUND(G23,1)&lt;20,"ขาด/เสี่ยงขาด",IF(ROUND(G23,1)&gt;=25,"เสี่ยงเกิน/เกิน","ปกติ"))))</f>
        <v>ปกติ</v>
      </c>
      <c r="AO23" t="str">
        <f>IF(OR(I23="",Participant_Data!G23=""),"",IF(Participant_Data!G23=1,IF(ROUND(I23,1)&lt;15,"ขาด/เสี่ยงขาด",IF(ROUND(I23,1)&gt;25,"เสี่ยงเกิน/เกิน","ปกติ")),IF(ROUND(I23,1)&lt;20,"ขาด/เสี่ยงขาด",IF(ROUND(I23,1)&gt;35,"เสี่ยงเกิน/เกิน","ปกติ"))))</f>
        <v>ปกติ</v>
      </c>
      <c r="AP23" t="str">
        <f t="shared" si="1"/>
        <v>ปกติ</v>
      </c>
    </row>
    <row r="24" spans="1:42">
      <c r="A24" s="2">
        <f>IF(Participant_Data!A24="","",Participant_Data!A24)</f>
        <v>23</v>
      </c>
      <c r="B24" s="2" t="str">
        <f>IF(Participant_Data!B24="","",Participant_Data!B24)</f>
        <v/>
      </c>
      <c r="C24" s="3" t="str">
        <f>IF(Participant_Data!C24="","",Participant_Data!C24)</f>
        <v/>
      </c>
      <c r="D24" s="5"/>
      <c r="E24" s="5">
        <v>168</v>
      </c>
      <c r="F24" s="5">
        <v>59.3</v>
      </c>
      <c r="G24" s="22">
        <f t="shared" si="0"/>
        <v>21.010487528344672</v>
      </c>
      <c r="H24" s="5">
        <v>11.27</v>
      </c>
      <c r="I24" s="5">
        <v>19</v>
      </c>
      <c r="J24" s="5">
        <v>11</v>
      </c>
      <c r="K24" s="5">
        <v>45.5</v>
      </c>
      <c r="L24" s="5">
        <v>2.5</v>
      </c>
      <c r="M24" s="5">
        <v>53</v>
      </c>
      <c r="N24" s="5">
        <v>1289</v>
      </c>
      <c r="O24" s="5">
        <v>2</v>
      </c>
      <c r="P24" s="5">
        <v>2</v>
      </c>
      <c r="Q24" s="5">
        <v>2</v>
      </c>
      <c r="R24" s="5">
        <v>2</v>
      </c>
      <c r="S24" s="5">
        <v>2</v>
      </c>
      <c r="T24" s="5">
        <v>2</v>
      </c>
      <c r="U24" s="2">
        <v>12</v>
      </c>
      <c r="V24" s="2">
        <v>1</v>
      </c>
      <c r="W24" s="5">
        <v>1</v>
      </c>
      <c r="X24" s="5">
        <v>1</v>
      </c>
      <c r="Y24" s="5">
        <v>1</v>
      </c>
      <c r="Z24" s="5">
        <v>2</v>
      </c>
      <c r="AA24" s="5">
        <v>0.5</v>
      </c>
      <c r="AB24" s="5">
        <v>1</v>
      </c>
      <c r="AC24" s="5">
        <v>1</v>
      </c>
      <c r="AD24" s="5">
        <v>2</v>
      </c>
      <c r="AE24" s="5">
        <v>2</v>
      </c>
      <c r="AF24" s="5">
        <v>2</v>
      </c>
      <c r="AG24" s="5">
        <v>1</v>
      </c>
      <c r="AH24" s="5">
        <v>1</v>
      </c>
      <c r="AI24" s="2">
        <v>15.5</v>
      </c>
      <c r="AJ24" s="2">
        <v>27.5</v>
      </c>
      <c r="AK24" s="2">
        <v>1</v>
      </c>
      <c r="AL24" s="2">
        <v>29</v>
      </c>
      <c r="AM24" s="2">
        <v>34</v>
      </c>
      <c r="AN24" t="str">
        <f>IF(OR(G24="",Participant_Data!E24=""),"",IF(Participant_Data!E24&lt;70,IF(ROUND(G24,1)&lt;18.5,"ขาด/เสี่ยงขาด",IF(ROUND(G24,1)&gt;=25,"เสี่ยงเกิน/เกิน","ปกติ")),IF(ROUND(G24,1)&lt;20,"ขาด/เสี่ยงขาด",IF(ROUND(G24,1)&gt;=25,"เสี่ยงเกิน/เกิน","ปกติ"))))</f>
        <v>ปกติ</v>
      </c>
      <c r="AO24" t="str">
        <f>IF(OR(I24="",Participant_Data!G24=""),"",IF(Participant_Data!G24=1,IF(ROUND(I24,1)&lt;15,"ขาด/เสี่ยงขาด",IF(ROUND(I24,1)&gt;25,"เสี่ยงเกิน/เกิน","ปกติ")),IF(ROUND(I24,1)&lt;20,"ขาด/เสี่ยงขาด",IF(ROUND(I24,1)&gt;35,"เสี่ยงเกิน/เกิน","ปกติ"))))</f>
        <v>ปกติ</v>
      </c>
      <c r="AP24" t="str">
        <f t="shared" si="1"/>
        <v>ปกติ</v>
      </c>
    </row>
    <row r="25" spans="1:42">
      <c r="A25" s="2">
        <f>IF(Participant_Data!A25="","",Participant_Data!A25)</f>
        <v>24</v>
      </c>
      <c r="B25" s="2" t="str">
        <f>IF(Participant_Data!B25="","",Participant_Data!B25)</f>
        <v/>
      </c>
      <c r="C25" s="3" t="str">
        <f>IF(Participant_Data!C25="","",Participant_Data!C25)</f>
        <v/>
      </c>
      <c r="D25" s="5"/>
      <c r="E25" s="5">
        <v>150</v>
      </c>
      <c r="F25" s="5">
        <v>64.7</v>
      </c>
      <c r="G25" s="22">
        <f t="shared" si="0"/>
        <v>28.755555555555556</v>
      </c>
      <c r="H25" s="5">
        <v>29.37</v>
      </c>
      <c r="I25" s="5">
        <v>45.4</v>
      </c>
      <c r="J25" s="5">
        <v>10</v>
      </c>
      <c r="K25" s="5">
        <v>33.35</v>
      </c>
      <c r="L25" s="5">
        <v>1.9</v>
      </c>
      <c r="M25" s="5">
        <v>37.5</v>
      </c>
      <c r="N25" s="5">
        <v>1086</v>
      </c>
      <c r="O25" s="5">
        <v>2</v>
      </c>
      <c r="P25" s="5">
        <v>3</v>
      </c>
      <c r="Q25" s="5">
        <v>2</v>
      </c>
      <c r="R25" s="5">
        <v>2</v>
      </c>
      <c r="S25" s="5">
        <v>2</v>
      </c>
      <c r="T25" s="5">
        <v>3</v>
      </c>
      <c r="U25" s="2">
        <v>14</v>
      </c>
      <c r="V25" s="2">
        <v>1</v>
      </c>
      <c r="W25" s="5">
        <v>1</v>
      </c>
      <c r="X25" s="5">
        <v>1</v>
      </c>
      <c r="Y25" s="5">
        <v>1</v>
      </c>
      <c r="Z25" s="5">
        <v>2</v>
      </c>
      <c r="AA25" s="5">
        <v>0.5</v>
      </c>
      <c r="AB25" s="5">
        <v>1</v>
      </c>
      <c r="AC25" s="5">
        <v>1</v>
      </c>
      <c r="AD25" s="5">
        <v>2</v>
      </c>
      <c r="AE25" s="5">
        <v>2</v>
      </c>
      <c r="AF25" s="5">
        <v>2</v>
      </c>
      <c r="AG25" s="5">
        <v>1</v>
      </c>
      <c r="AH25" s="5">
        <v>1</v>
      </c>
      <c r="AI25" s="2">
        <v>15.5</v>
      </c>
      <c r="AJ25" s="2">
        <v>29.5</v>
      </c>
      <c r="AK25" s="2">
        <v>1</v>
      </c>
      <c r="AL25" s="2">
        <v>32</v>
      </c>
      <c r="AM25" s="2">
        <v>37</v>
      </c>
      <c r="AN25" t="str">
        <f>IF(OR(G25="",Participant_Data!E25=""),"",IF(Participant_Data!E25&lt;70,IF(ROUND(G25,1)&lt;18.5,"ขาด/เสี่ยงขาด",IF(ROUND(G25,1)&gt;=25,"เสี่ยงเกิน/เกิน","ปกติ")),IF(ROUND(G25,1)&lt;20,"ขาด/เสี่ยงขาด",IF(ROUND(G25,1)&gt;=25,"เสี่ยงเกิน/เกิน","ปกติ"))))</f>
        <v>เสี่ยงเกิน/เกิน</v>
      </c>
      <c r="AO25" t="str">
        <f>IF(OR(I25="",Participant_Data!G25=""),"",IF(Participant_Data!G25=1,IF(ROUND(I25,1)&lt;15,"ขาด/เสี่ยงขาด",IF(ROUND(I25,1)&gt;25,"เสี่ยงเกิน/เกิน","ปกติ")),IF(ROUND(I25,1)&lt;20,"ขาด/เสี่ยงขาด",IF(ROUND(I25,1)&gt;35,"เสี่ยงเกิน/เกิน","ปกติ"))))</f>
        <v>เสี่ยงเกิน/เกิน</v>
      </c>
      <c r="AP25" t="str">
        <f t="shared" si="1"/>
        <v>เสี่ยงเกิน/เกิน</v>
      </c>
    </row>
    <row r="26" spans="1:42">
      <c r="A26" s="2">
        <f>IF(Participant_Data!A26="","",Participant_Data!A26)</f>
        <v>25</v>
      </c>
      <c r="B26" s="2" t="str">
        <f>IF(Participant_Data!B26="","",Participant_Data!B26)</f>
        <v/>
      </c>
      <c r="C26" s="3" t="str">
        <f>IF(Participant_Data!C26="","",Participant_Data!C26)</f>
        <v/>
      </c>
      <c r="D26" s="5"/>
      <c r="E26" s="5">
        <v>152</v>
      </c>
      <c r="F26" s="5">
        <v>72.05</v>
      </c>
      <c r="G26" s="22">
        <f t="shared" si="0"/>
        <v>31.185076177285318</v>
      </c>
      <c r="H26" s="5">
        <v>32.49</v>
      </c>
      <c r="I26" s="5">
        <v>45.1</v>
      </c>
      <c r="J26" s="5">
        <v>11</v>
      </c>
      <c r="K26" s="5">
        <v>37.299999999999997</v>
      </c>
      <c r="L26" s="5">
        <v>2.2999999999999998</v>
      </c>
      <c r="M26" s="5">
        <v>43.7</v>
      </c>
      <c r="N26" s="5">
        <v>1220</v>
      </c>
      <c r="O26" s="5">
        <v>2</v>
      </c>
      <c r="P26" s="5">
        <v>3</v>
      </c>
      <c r="Q26" s="5">
        <v>2</v>
      </c>
      <c r="R26" s="5">
        <v>2</v>
      </c>
      <c r="S26" s="5">
        <v>2</v>
      </c>
      <c r="T26" s="5">
        <v>3</v>
      </c>
      <c r="U26" s="2">
        <v>14</v>
      </c>
      <c r="V26" s="2">
        <v>1</v>
      </c>
      <c r="W26" s="5">
        <v>1</v>
      </c>
      <c r="X26" s="5">
        <v>1</v>
      </c>
      <c r="Y26" s="5">
        <v>1</v>
      </c>
      <c r="Z26" s="5">
        <v>1</v>
      </c>
      <c r="AA26" s="5">
        <v>0.5</v>
      </c>
      <c r="AB26" s="5">
        <v>1</v>
      </c>
      <c r="AC26" s="5">
        <v>1</v>
      </c>
      <c r="AD26" s="5">
        <v>2</v>
      </c>
      <c r="AE26" s="5">
        <v>1</v>
      </c>
      <c r="AF26" s="5">
        <v>2</v>
      </c>
      <c r="AG26" s="5">
        <v>1</v>
      </c>
      <c r="AH26" s="5">
        <v>1</v>
      </c>
      <c r="AI26" s="2">
        <v>13.5</v>
      </c>
      <c r="AJ26" s="2">
        <v>27.5</v>
      </c>
      <c r="AK26" s="2">
        <v>1</v>
      </c>
      <c r="AL26" s="2">
        <v>32</v>
      </c>
      <c r="AM26" s="2">
        <v>38</v>
      </c>
      <c r="AN26" t="str">
        <f>IF(OR(G26="",Participant_Data!E26=""),"",IF(Participant_Data!E26&lt;70,IF(ROUND(G26,1)&lt;18.5,"ขาด/เสี่ยงขาด",IF(ROUND(G26,1)&gt;=25,"เสี่ยงเกิน/เกิน","ปกติ")),IF(ROUND(G26,1)&lt;20,"ขาด/เสี่ยงขาด",IF(ROUND(G26,1)&gt;=25,"เสี่ยงเกิน/เกิน","ปกติ"))))</f>
        <v>เสี่ยงเกิน/เกิน</v>
      </c>
      <c r="AO26" t="str">
        <f>IF(OR(I26="",Participant_Data!G26=""),"",IF(Participant_Data!G26=1,IF(ROUND(I26,1)&lt;15,"ขาด/เสี่ยงขาด",IF(ROUND(I26,1)&gt;25,"เสี่ยงเกิน/เกิน","ปกติ")),IF(ROUND(I26,1)&lt;20,"ขาด/เสี่ยงขาด",IF(ROUND(I26,1)&gt;35,"เสี่ยงเกิน/เกิน","ปกติ"))))</f>
        <v>เสี่ยงเกิน/เกิน</v>
      </c>
      <c r="AP26" t="str">
        <f t="shared" si="1"/>
        <v>เสี่ยงเกิน/เกิน</v>
      </c>
    </row>
    <row r="27" spans="1:42">
      <c r="A27" s="2">
        <f>IF(Participant_Data!A27="","",Participant_Data!A27)</f>
        <v>26</v>
      </c>
      <c r="B27" s="2" t="str">
        <f>IF(Participant_Data!B27="","",Participant_Data!B27)</f>
        <v/>
      </c>
      <c r="C27" s="3" t="str">
        <f>IF(Participant_Data!C27="","",Participant_Data!C27)</f>
        <v/>
      </c>
      <c r="D27" s="5"/>
      <c r="E27" s="5">
        <v>148</v>
      </c>
      <c r="F27" s="5">
        <v>54.95</v>
      </c>
      <c r="G27" s="22">
        <f t="shared" si="0"/>
        <v>25.086742147552961</v>
      </c>
      <c r="H27" s="5">
        <v>19.510000000000002</v>
      </c>
      <c r="I27" s="5">
        <v>35.5</v>
      </c>
      <c r="J27" s="5">
        <v>8.5</v>
      </c>
      <c r="K27" s="5">
        <v>33.5</v>
      </c>
      <c r="L27" s="5">
        <v>1.9</v>
      </c>
      <c r="M27" s="5">
        <v>48.2</v>
      </c>
      <c r="N27" s="5">
        <v>1035</v>
      </c>
      <c r="O27" s="5">
        <v>2</v>
      </c>
      <c r="P27" s="5">
        <v>3</v>
      </c>
      <c r="Q27" s="5">
        <v>2</v>
      </c>
      <c r="R27" s="5">
        <v>2</v>
      </c>
      <c r="S27" s="5">
        <v>2</v>
      </c>
      <c r="T27" s="5">
        <v>3</v>
      </c>
      <c r="U27" s="2">
        <v>14</v>
      </c>
      <c r="V27" s="2">
        <v>1</v>
      </c>
      <c r="W27" s="5">
        <v>1</v>
      </c>
      <c r="X27" s="5">
        <v>1</v>
      </c>
      <c r="Y27" s="5">
        <v>1</v>
      </c>
      <c r="Z27" s="5">
        <v>2</v>
      </c>
      <c r="AA27" s="5">
        <v>0.5</v>
      </c>
      <c r="AB27" s="5">
        <v>1</v>
      </c>
      <c r="AC27" s="5">
        <v>1</v>
      </c>
      <c r="AD27" s="5">
        <v>2</v>
      </c>
      <c r="AE27" s="5">
        <v>1</v>
      </c>
      <c r="AF27" s="5">
        <v>2</v>
      </c>
      <c r="AG27" s="5">
        <v>1</v>
      </c>
      <c r="AH27" s="5">
        <v>1</v>
      </c>
      <c r="AI27" s="2">
        <v>14.5</v>
      </c>
      <c r="AJ27" s="2">
        <v>28.5</v>
      </c>
      <c r="AK27" s="2">
        <v>1</v>
      </c>
      <c r="AL27" s="2">
        <v>26.5</v>
      </c>
      <c r="AM27" s="2">
        <v>36</v>
      </c>
      <c r="AN27" t="str">
        <f>IF(OR(G27="",Participant_Data!E27=""),"",IF(Participant_Data!E27&lt;70,IF(ROUND(G27,1)&lt;18.5,"ขาด/เสี่ยงขาด",IF(ROUND(G27,1)&gt;=25,"เสี่ยงเกิน/เกิน","ปกติ")),IF(ROUND(G27,1)&lt;20,"ขาด/เสี่ยงขาด",IF(ROUND(G27,1)&gt;=25,"เสี่ยงเกิน/เกิน","ปกติ"))))</f>
        <v>เสี่ยงเกิน/เกิน</v>
      </c>
      <c r="AO27" t="str">
        <f>IF(OR(I27="",Participant_Data!G27=""),"",IF(Participant_Data!G27=1,IF(ROUND(I27,1)&lt;15,"ขาด/เสี่ยงขาด",IF(ROUND(I27,1)&gt;25,"เสี่ยงเกิน/เกิน","ปกติ")),IF(ROUND(I27,1)&lt;20,"ขาด/เสี่ยงขาด",IF(ROUND(I27,1)&gt;35,"เสี่ยงเกิน/เกิน","ปกติ"))))</f>
        <v>เสี่ยงเกิน/เกิน</v>
      </c>
      <c r="AP27" t="str">
        <f t="shared" si="1"/>
        <v>เสี่ยงเกิน/เกิน</v>
      </c>
    </row>
    <row r="28" spans="1:42">
      <c r="A28" s="2">
        <f>IF(Participant_Data!A28="","",Participant_Data!A28)</f>
        <v>27</v>
      </c>
      <c r="B28" s="2" t="str">
        <f>IF(Participant_Data!B28="","",Participant_Data!B28)</f>
        <v/>
      </c>
      <c r="C28" s="3" t="str">
        <f>IF(Participant_Data!C28="","",Participant_Data!C28)</f>
        <v/>
      </c>
      <c r="D28" s="5"/>
      <c r="E28" s="5">
        <v>164</v>
      </c>
      <c r="F28" s="5">
        <v>71.400000000000006</v>
      </c>
      <c r="G28" s="22">
        <f t="shared" si="0"/>
        <v>26.546698393813212</v>
      </c>
      <c r="H28" s="5">
        <v>28.98</v>
      </c>
      <c r="I28" s="5">
        <v>40.6</v>
      </c>
      <c r="J28" s="5">
        <v>9.5</v>
      </c>
      <c r="K28" s="5">
        <v>39.85</v>
      </c>
      <c r="L28" s="5">
        <v>2.5</v>
      </c>
      <c r="M28" s="5">
        <v>36.700000000000003</v>
      </c>
      <c r="N28" s="5">
        <v>1267</v>
      </c>
      <c r="O28" s="5">
        <v>2</v>
      </c>
      <c r="P28" s="5">
        <v>3</v>
      </c>
      <c r="Q28" s="5">
        <v>2</v>
      </c>
      <c r="R28" s="5">
        <v>2</v>
      </c>
      <c r="S28" s="5">
        <v>2</v>
      </c>
      <c r="T28" s="5">
        <v>3</v>
      </c>
      <c r="U28" s="2">
        <v>14</v>
      </c>
      <c r="V28" s="2">
        <v>1</v>
      </c>
      <c r="W28" s="5">
        <v>1</v>
      </c>
      <c r="X28" s="5">
        <v>1</v>
      </c>
      <c r="Y28" s="5">
        <v>1</v>
      </c>
      <c r="Z28" s="5">
        <v>2</v>
      </c>
      <c r="AA28" s="5">
        <v>1</v>
      </c>
      <c r="AB28" s="5">
        <v>1</v>
      </c>
      <c r="AC28" s="5">
        <v>0.5</v>
      </c>
      <c r="AD28" s="5">
        <v>2</v>
      </c>
      <c r="AE28" s="5">
        <v>2</v>
      </c>
      <c r="AF28" s="5">
        <v>2</v>
      </c>
      <c r="AG28" s="5">
        <v>1</v>
      </c>
      <c r="AH28" s="5">
        <v>1</v>
      </c>
      <c r="AI28" s="2">
        <v>15.5</v>
      </c>
      <c r="AJ28" s="2">
        <v>29.5</v>
      </c>
      <c r="AK28" s="2">
        <v>1</v>
      </c>
      <c r="AL28" s="2">
        <v>30</v>
      </c>
      <c r="AM28" s="2">
        <v>36</v>
      </c>
      <c r="AN28" t="str">
        <f>IF(OR(G28="",Participant_Data!E28=""),"",IF(Participant_Data!E28&lt;70,IF(ROUND(G28,1)&lt;18.5,"ขาด/เสี่ยงขาด",IF(ROUND(G28,1)&gt;=25,"เสี่ยงเกิน/เกิน","ปกติ")),IF(ROUND(G28,1)&lt;20,"ขาด/เสี่ยงขาด",IF(ROUND(G28,1)&gt;=25,"เสี่ยงเกิน/เกิน","ปกติ"))))</f>
        <v>เสี่ยงเกิน/เกิน</v>
      </c>
      <c r="AO28" t="str">
        <f>IF(OR(I28="",Participant_Data!G28=""),"",IF(Participant_Data!G28=1,IF(ROUND(I28,1)&lt;15,"ขาด/เสี่ยงขาด",IF(ROUND(I28,1)&gt;25,"เสี่ยงเกิน/เกิน","ปกติ")),IF(ROUND(I28,1)&lt;20,"ขาด/เสี่ยงขาด",IF(ROUND(I28,1)&gt;35,"เสี่ยงเกิน/เกิน","ปกติ"))))</f>
        <v>เสี่ยงเกิน/เกิน</v>
      </c>
      <c r="AP28" t="str">
        <f t="shared" si="1"/>
        <v>เสี่ยงเกิน/เกิน</v>
      </c>
    </row>
    <row r="29" spans="1:42">
      <c r="A29" s="2">
        <f>IF(Participant_Data!A29="","",Participant_Data!A29)</f>
        <v>28</v>
      </c>
      <c r="B29" s="2" t="str">
        <f>IF(Participant_Data!B29="","",Participant_Data!B29)</f>
        <v/>
      </c>
      <c r="C29" s="3" t="str">
        <f>IF(Participant_Data!C29="","",Participant_Data!C29)</f>
        <v/>
      </c>
      <c r="D29" s="5"/>
      <c r="E29" s="5">
        <v>150</v>
      </c>
      <c r="F29" s="5">
        <v>65.45</v>
      </c>
      <c r="G29" s="22">
        <f t="shared" si="0"/>
        <v>29.088888888888889</v>
      </c>
      <c r="H29" s="5">
        <v>28.47</v>
      </c>
      <c r="I29" s="5">
        <v>43.5</v>
      </c>
      <c r="J29" s="5">
        <v>10.5</v>
      </c>
      <c r="K29" s="5">
        <v>34.9</v>
      </c>
      <c r="L29" s="5">
        <v>2.1</v>
      </c>
      <c r="M29" s="5">
        <v>41.6</v>
      </c>
      <c r="N29" s="5">
        <v>1126</v>
      </c>
      <c r="O29" s="5">
        <v>2</v>
      </c>
      <c r="P29" s="5">
        <v>3</v>
      </c>
      <c r="Q29" s="5">
        <v>2</v>
      </c>
      <c r="R29" s="5">
        <v>2</v>
      </c>
      <c r="S29" s="5">
        <v>1</v>
      </c>
      <c r="T29" s="5">
        <v>3</v>
      </c>
      <c r="U29" s="2">
        <v>13</v>
      </c>
      <c r="V29" s="2">
        <v>1</v>
      </c>
      <c r="W29" s="5">
        <v>1</v>
      </c>
      <c r="X29" s="5">
        <v>1</v>
      </c>
      <c r="Y29" s="5">
        <v>1</v>
      </c>
      <c r="Z29" s="5">
        <v>2</v>
      </c>
      <c r="AA29" s="5">
        <v>0.5</v>
      </c>
      <c r="AB29" s="5">
        <v>0</v>
      </c>
      <c r="AC29" s="5">
        <v>1</v>
      </c>
      <c r="AD29" s="5">
        <v>2</v>
      </c>
      <c r="AE29" s="5">
        <v>2</v>
      </c>
      <c r="AF29" s="5">
        <v>1</v>
      </c>
      <c r="AG29" s="5">
        <v>1</v>
      </c>
      <c r="AH29" s="5">
        <v>1</v>
      </c>
      <c r="AI29" s="2">
        <v>13.5</v>
      </c>
      <c r="AJ29" s="2">
        <v>26.5</v>
      </c>
      <c r="AK29" s="2">
        <v>1</v>
      </c>
      <c r="AL29" s="2">
        <v>31</v>
      </c>
      <c r="AM29" s="2">
        <v>37</v>
      </c>
      <c r="AN29" t="str">
        <f>IF(OR(G29="",Participant_Data!E29=""),"",IF(Participant_Data!E29&lt;70,IF(ROUND(G29,1)&lt;18.5,"ขาด/เสี่ยงขาด",IF(ROUND(G29,1)&gt;=25,"เสี่ยงเกิน/เกิน","ปกติ")),IF(ROUND(G29,1)&lt;20,"ขาด/เสี่ยงขาด",IF(ROUND(G29,1)&gt;=25,"เสี่ยงเกิน/เกิน","ปกติ"))))</f>
        <v>เสี่ยงเกิน/เกิน</v>
      </c>
      <c r="AO29" t="str">
        <f>IF(OR(I29="",Participant_Data!G29=""),"",IF(Participant_Data!G29=1,IF(ROUND(I29,1)&lt;15,"ขาด/เสี่ยงขาด",IF(ROUND(I29,1)&gt;25,"เสี่ยงเกิน/เกิน","ปกติ")),IF(ROUND(I29,1)&lt;20,"ขาด/เสี่ยงขาด",IF(ROUND(I29,1)&gt;35,"เสี่ยงเกิน/เกิน","ปกติ"))))</f>
        <v>เสี่ยงเกิน/เกิน</v>
      </c>
      <c r="AP29" t="str">
        <f t="shared" si="1"/>
        <v>เสี่ยงเกิน/เกิน</v>
      </c>
    </row>
    <row r="30" spans="1:42">
      <c r="A30" s="2">
        <f>IF(Participant_Data!A30="","",Participant_Data!A30)</f>
        <v>29</v>
      </c>
      <c r="B30" s="2" t="str">
        <f>IF(Participant_Data!B30="","",Participant_Data!B30)</f>
        <v/>
      </c>
      <c r="C30" s="3" t="str">
        <f>IF(Participant_Data!C30="","",Participant_Data!C30)</f>
        <v/>
      </c>
      <c r="D30" s="5"/>
      <c r="E30" s="5">
        <v>167</v>
      </c>
      <c r="F30" s="5">
        <v>87.25</v>
      </c>
      <c r="G30" s="22">
        <f t="shared" si="0"/>
        <v>31.284735917386783</v>
      </c>
      <c r="H30" s="5">
        <v>28.18</v>
      </c>
      <c r="I30" s="5">
        <v>32.299999999999997</v>
      </c>
      <c r="J30" s="5">
        <v>20</v>
      </c>
      <c r="K30" s="5">
        <v>56.05</v>
      </c>
      <c r="L30" s="5">
        <v>3.1</v>
      </c>
      <c r="M30" s="5">
        <v>43.2</v>
      </c>
      <c r="N30" s="5">
        <v>1649</v>
      </c>
      <c r="O30" s="5">
        <v>2</v>
      </c>
      <c r="P30" s="5">
        <v>3</v>
      </c>
      <c r="Q30" s="5">
        <v>2</v>
      </c>
      <c r="R30" s="5">
        <v>2</v>
      </c>
      <c r="S30" s="5">
        <v>2</v>
      </c>
      <c r="T30" s="5">
        <v>3</v>
      </c>
      <c r="U30" s="2">
        <v>14</v>
      </c>
      <c r="V30" s="2">
        <v>1</v>
      </c>
      <c r="W30" s="5">
        <v>1</v>
      </c>
      <c r="X30" s="5">
        <v>1</v>
      </c>
      <c r="Y30" s="5">
        <v>1</v>
      </c>
      <c r="Z30" s="5">
        <v>2</v>
      </c>
      <c r="AA30" s="5">
        <v>0.5</v>
      </c>
      <c r="AB30" s="5">
        <v>0</v>
      </c>
      <c r="AC30" s="5">
        <v>1</v>
      </c>
      <c r="AD30" s="5">
        <v>2</v>
      </c>
      <c r="AE30" s="5">
        <v>2</v>
      </c>
      <c r="AF30" s="5">
        <v>0.5</v>
      </c>
      <c r="AG30" s="5">
        <v>1</v>
      </c>
      <c r="AH30" s="5">
        <v>1</v>
      </c>
      <c r="AI30" s="2">
        <v>13</v>
      </c>
      <c r="AJ30" s="2">
        <v>27</v>
      </c>
      <c r="AK30" s="2">
        <v>1</v>
      </c>
      <c r="AL30" s="2">
        <v>35</v>
      </c>
      <c r="AM30" s="2">
        <v>40.5</v>
      </c>
      <c r="AN30" t="str">
        <f>IF(OR(G30="",Participant_Data!E30=""),"",IF(Participant_Data!E30&lt;70,IF(ROUND(G30,1)&lt;18.5,"ขาด/เสี่ยงขาด",IF(ROUND(G30,1)&gt;=25,"เสี่ยงเกิน/เกิน","ปกติ")),IF(ROUND(G30,1)&lt;20,"ขาด/เสี่ยงขาด",IF(ROUND(G30,1)&gt;=25,"เสี่ยงเกิน/เกิน","ปกติ"))))</f>
        <v>เสี่ยงเกิน/เกิน</v>
      </c>
      <c r="AO30" t="str">
        <f>IF(OR(I30="",Participant_Data!G30=""),"",IF(Participant_Data!G30=1,IF(ROUND(I30,1)&lt;15,"ขาด/เสี่ยงขาด",IF(ROUND(I30,1)&gt;25,"เสี่ยงเกิน/เกิน","ปกติ")),IF(ROUND(I30,1)&lt;20,"ขาด/เสี่ยงขาด",IF(ROUND(I30,1)&gt;35,"เสี่ยงเกิน/เกิน","ปกติ"))))</f>
        <v>เสี่ยงเกิน/เกิน</v>
      </c>
      <c r="AP30" t="str">
        <f t="shared" si="1"/>
        <v>เสี่ยงเกิน/เกิน</v>
      </c>
    </row>
    <row r="31" spans="1:42">
      <c r="A31" s="2">
        <f>IF(Participant_Data!A31="","",Participant_Data!A31)</f>
        <v>30</v>
      </c>
      <c r="B31" s="2" t="str">
        <f>IF(Participant_Data!B31="","",Participant_Data!B31)</f>
        <v/>
      </c>
      <c r="C31" s="3" t="str">
        <f>IF(Participant_Data!C31="","",Participant_Data!C31)</f>
        <v/>
      </c>
      <c r="D31" s="5"/>
      <c r="E31" s="5">
        <v>159</v>
      </c>
      <c r="F31" s="5">
        <v>74.349999999999994</v>
      </c>
      <c r="G31" s="22">
        <f t="shared" si="0"/>
        <v>29.409437917803878</v>
      </c>
      <c r="H31" s="5">
        <v>33.53</v>
      </c>
      <c r="I31" s="5">
        <v>45.1</v>
      </c>
      <c r="J31" s="5">
        <v>10.5</v>
      </c>
      <c r="K31" s="5">
        <v>38.450000000000003</v>
      </c>
      <c r="L31" s="5">
        <v>2.4</v>
      </c>
      <c r="M31" s="5">
        <v>38.5</v>
      </c>
      <c r="N31" s="5">
        <v>1257</v>
      </c>
      <c r="O31" s="5">
        <v>2</v>
      </c>
      <c r="P31" s="5">
        <v>3</v>
      </c>
      <c r="Q31" s="5">
        <v>2</v>
      </c>
      <c r="R31" s="5">
        <v>2</v>
      </c>
      <c r="S31" s="5">
        <v>1</v>
      </c>
      <c r="T31" s="5">
        <v>3</v>
      </c>
      <c r="U31" s="2">
        <v>13</v>
      </c>
      <c r="V31" s="2">
        <v>1</v>
      </c>
      <c r="W31" s="5">
        <v>1</v>
      </c>
      <c r="X31" s="5">
        <v>1</v>
      </c>
      <c r="Y31" s="5">
        <v>1</v>
      </c>
      <c r="Z31" s="5">
        <v>2</v>
      </c>
      <c r="AA31" s="5">
        <v>1</v>
      </c>
      <c r="AB31" s="5">
        <v>1</v>
      </c>
      <c r="AC31" s="5">
        <v>1</v>
      </c>
      <c r="AD31" s="5">
        <v>2</v>
      </c>
      <c r="AE31" s="5">
        <v>2</v>
      </c>
      <c r="AF31" s="5">
        <v>1</v>
      </c>
      <c r="AG31" s="5">
        <v>1</v>
      </c>
      <c r="AH31" s="5">
        <v>1</v>
      </c>
      <c r="AI31" s="2">
        <v>15</v>
      </c>
      <c r="AJ31" s="2">
        <v>28</v>
      </c>
      <c r="AK31" s="2">
        <v>1</v>
      </c>
      <c r="AL31" s="2">
        <v>34.5</v>
      </c>
      <c r="AM31" s="2">
        <v>38</v>
      </c>
      <c r="AN31" t="str">
        <f>IF(OR(G31="",Participant_Data!E31=""),"",IF(Participant_Data!E31&lt;70,IF(ROUND(G31,1)&lt;18.5,"ขาด/เสี่ยงขาด",IF(ROUND(G31,1)&gt;=25,"เสี่ยงเกิน/เกิน","ปกติ")),IF(ROUND(G31,1)&lt;20,"ขาด/เสี่ยงขาด",IF(ROUND(G31,1)&gt;=25,"เสี่ยงเกิน/เกิน","ปกติ"))))</f>
        <v>เสี่ยงเกิน/เกิน</v>
      </c>
      <c r="AO31" t="str">
        <f>IF(OR(I31="",Participant_Data!G31=""),"",IF(Participant_Data!G31=1,IF(ROUND(I31,1)&lt;15,"ขาด/เสี่ยงขาด",IF(ROUND(I31,1)&gt;25,"เสี่ยงเกิน/เกิน","ปกติ")),IF(ROUND(I31,1)&lt;20,"ขาด/เสี่ยงขาด",IF(ROUND(I31,1)&gt;35,"เสี่ยงเกิน/เกิน","ปกติ"))))</f>
        <v>เสี่ยงเกิน/เกิน</v>
      </c>
      <c r="AP31" t="str">
        <f t="shared" si="1"/>
        <v>เสี่ยงเกิน/เกิน</v>
      </c>
    </row>
    <row r="32" spans="1:42">
      <c r="A32" s="2">
        <f>IF(Participant_Data!A32="","",Participant_Data!A32)</f>
        <v>31</v>
      </c>
      <c r="B32" s="2" t="str">
        <f>IF(Participant_Data!B32="","",Participant_Data!B32)</f>
        <v/>
      </c>
      <c r="C32" s="3" t="str">
        <f>IF(Participant_Data!C32="","",Participant_Data!C32)</f>
        <v/>
      </c>
      <c r="D32" s="5"/>
      <c r="E32" s="5">
        <v>153</v>
      </c>
      <c r="F32" s="5">
        <v>47.05</v>
      </c>
      <c r="G32" s="22">
        <f t="shared" si="0"/>
        <v>20.099107180998761</v>
      </c>
      <c r="H32" s="5">
        <v>13.69</v>
      </c>
      <c r="I32" s="5">
        <v>29.1</v>
      </c>
      <c r="J32" s="5">
        <v>5</v>
      </c>
      <c r="K32" s="5">
        <v>31.6</v>
      </c>
      <c r="L32" s="5">
        <v>1.8</v>
      </c>
      <c r="M32" s="5">
        <v>49.5</v>
      </c>
      <c r="N32" s="5">
        <v>956</v>
      </c>
      <c r="O32" s="5">
        <v>2</v>
      </c>
      <c r="P32" s="5">
        <v>1</v>
      </c>
      <c r="Q32" s="5">
        <v>2</v>
      </c>
      <c r="R32" s="5">
        <v>2</v>
      </c>
      <c r="S32" s="5">
        <v>1</v>
      </c>
      <c r="T32" s="5">
        <v>1</v>
      </c>
      <c r="U32" s="2">
        <v>9</v>
      </c>
      <c r="V32" s="2">
        <v>2</v>
      </c>
      <c r="W32" s="5">
        <v>1</v>
      </c>
      <c r="X32" s="5">
        <v>1</v>
      </c>
      <c r="Y32" s="5">
        <v>1</v>
      </c>
      <c r="Z32" s="5">
        <v>1</v>
      </c>
      <c r="AA32" s="5">
        <v>0.5</v>
      </c>
      <c r="AB32" s="5">
        <v>1</v>
      </c>
      <c r="AC32" s="5">
        <v>1</v>
      </c>
      <c r="AD32" s="5">
        <v>2</v>
      </c>
      <c r="AE32" s="5">
        <v>2</v>
      </c>
      <c r="AF32" s="5">
        <v>1</v>
      </c>
      <c r="AG32" s="5">
        <v>1</v>
      </c>
      <c r="AH32" s="5">
        <v>1</v>
      </c>
      <c r="AI32" s="2">
        <v>13.5</v>
      </c>
      <c r="AJ32" s="2">
        <v>22.5</v>
      </c>
      <c r="AK32" s="2">
        <v>2</v>
      </c>
      <c r="AL32" s="2">
        <v>26</v>
      </c>
      <c r="AM32" s="2">
        <v>33</v>
      </c>
      <c r="AN32" t="str">
        <f>IF(OR(G32="",Participant_Data!E32=""),"",IF(Participant_Data!E32&lt;70,IF(ROUND(G32,1)&lt;18.5,"ขาด/เสี่ยงขาด",IF(ROUND(G32,1)&gt;=25,"เสี่ยงเกิน/เกิน","ปกติ")),IF(ROUND(G32,1)&lt;20,"ขาด/เสี่ยงขาด",IF(ROUND(G32,1)&gt;=25,"เสี่ยงเกิน/เกิน","ปกติ"))))</f>
        <v>ปกติ</v>
      </c>
      <c r="AO32" t="str">
        <f>IF(OR(I32="",Participant_Data!G32=""),"",IF(Participant_Data!G32=1,IF(ROUND(I32,1)&lt;15,"ขาด/เสี่ยงขาด",IF(ROUND(I32,1)&gt;25,"เสี่ยงเกิน/เกิน","ปกติ")),IF(ROUND(I32,1)&lt;20,"ขาด/เสี่ยงขาด",IF(ROUND(I32,1)&gt;35,"เสี่ยงเกิน/เกิน","ปกติ"))))</f>
        <v>ปกติ</v>
      </c>
      <c r="AP32" t="str">
        <f t="shared" si="1"/>
        <v>ปกติ</v>
      </c>
    </row>
    <row r="33" spans="1:42">
      <c r="A33" s="2">
        <f>IF(Participant_Data!A33="","",Participant_Data!A33)</f>
        <v>32</v>
      </c>
      <c r="B33" s="2" t="str">
        <f>IF(Participant_Data!B33="","",Participant_Data!B33)</f>
        <v/>
      </c>
      <c r="C33" s="3" t="str">
        <f>IF(Participant_Data!C33="","",Participant_Data!C33)</f>
        <v/>
      </c>
      <c r="D33" s="5"/>
      <c r="E33" s="5">
        <v>178</v>
      </c>
      <c r="F33" s="5">
        <v>87.95</v>
      </c>
      <c r="G33" s="22">
        <f t="shared" si="0"/>
        <v>27.758490089635146</v>
      </c>
      <c r="H33" s="5">
        <v>23.57</v>
      </c>
      <c r="I33" s="5">
        <v>26.8</v>
      </c>
      <c r="J33" s="5">
        <v>19</v>
      </c>
      <c r="K33" s="5">
        <v>61.05</v>
      </c>
      <c r="L33" s="5">
        <v>3.3</v>
      </c>
      <c r="M33" s="5">
        <v>46</v>
      </c>
      <c r="N33" s="5">
        <v>1795</v>
      </c>
      <c r="O33" s="5">
        <v>2</v>
      </c>
      <c r="P33" s="5">
        <v>3</v>
      </c>
      <c r="Q33" s="5">
        <v>2</v>
      </c>
      <c r="R33" s="5">
        <v>2</v>
      </c>
      <c r="S33" s="5">
        <v>2</v>
      </c>
      <c r="T33" s="5">
        <v>3</v>
      </c>
      <c r="U33" s="2">
        <v>14</v>
      </c>
      <c r="V33" s="2">
        <v>1</v>
      </c>
      <c r="W33" s="5">
        <v>1</v>
      </c>
      <c r="X33" s="5">
        <v>1</v>
      </c>
      <c r="Y33" s="5">
        <v>1</v>
      </c>
      <c r="Z33" s="5">
        <v>1</v>
      </c>
      <c r="AA33" s="5">
        <v>0.5</v>
      </c>
      <c r="AB33" s="5">
        <v>1</v>
      </c>
      <c r="AC33" s="5">
        <v>1</v>
      </c>
      <c r="AD33" s="5">
        <v>2</v>
      </c>
      <c r="AE33" s="5">
        <v>2</v>
      </c>
      <c r="AF33" s="5">
        <v>2</v>
      </c>
      <c r="AG33" s="5">
        <v>1</v>
      </c>
      <c r="AH33" s="5">
        <v>1</v>
      </c>
      <c r="AI33" s="2">
        <v>14.5</v>
      </c>
      <c r="AJ33" s="2">
        <v>28.5</v>
      </c>
      <c r="AK33" s="2">
        <v>1</v>
      </c>
      <c r="AL33" s="2">
        <v>32</v>
      </c>
      <c r="AM33" s="2">
        <v>39</v>
      </c>
      <c r="AN33" t="str">
        <f>IF(OR(G33="",Participant_Data!E33=""),"",IF(Participant_Data!E33&lt;70,IF(ROUND(G33,1)&lt;18.5,"ขาด/เสี่ยงขาด",IF(ROUND(G33,1)&gt;=25,"เสี่ยงเกิน/เกิน","ปกติ")),IF(ROUND(G33,1)&lt;20,"ขาด/เสี่ยงขาด",IF(ROUND(G33,1)&gt;=25,"เสี่ยงเกิน/เกิน","ปกติ"))))</f>
        <v>เสี่ยงเกิน/เกิน</v>
      </c>
      <c r="AO33" t="str">
        <f>IF(OR(I33="",Participant_Data!G33=""),"",IF(Participant_Data!G33=1,IF(ROUND(I33,1)&lt;15,"ขาด/เสี่ยงขาด",IF(ROUND(I33,1)&gt;25,"เสี่ยงเกิน/เกิน","ปกติ")),IF(ROUND(I33,1)&lt;20,"ขาด/เสี่ยงขาด",IF(ROUND(I33,1)&gt;35,"เสี่ยงเกิน/เกิน","ปกติ"))))</f>
        <v>เสี่ยงเกิน/เกิน</v>
      </c>
      <c r="AP33" t="str">
        <f t="shared" si="1"/>
        <v>เสี่ยงเกิน/เกิน</v>
      </c>
    </row>
    <row r="34" spans="1:42">
      <c r="A34" s="2">
        <f>IF(Participant_Data!A34="","",Participant_Data!A34)</f>
        <v>33</v>
      </c>
      <c r="B34" s="2" t="str">
        <f>IF(Participant_Data!B34="","",Participant_Data!B34)</f>
        <v/>
      </c>
      <c r="C34" s="3" t="str">
        <f>IF(Participant_Data!C34="","",Participant_Data!C34)</f>
        <v/>
      </c>
      <c r="D34" s="5"/>
      <c r="E34" s="5">
        <v>160</v>
      </c>
      <c r="F34" s="5">
        <v>64.25</v>
      </c>
      <c r="G34" s="22">
        <f t="shared" si="0"/>
        <v>25.097656249999996</v>
      </c>
      <c r="H34" s="5">
        <v>21.27</v>
      </c>
      <c r="I34" s="5">
        <v>33.1</v>
      </c>
      <c r="J34" s="5">
        <v>8.5</v>
      </c>
      <c r="K34" s="5">
        <v>40.4</v>
      </c>
      <c r="L34" s="5">
        <v>2.6</v>
      </c>
      <c r="M34" s="5">
        <v>50.8</v>
      </c>
      <c r="N34" s="5">
        <v>1252</v>
      </c>
      <c r="O34" s="5">
        <v>2</v>
      </c>
      <c r="P34" s="5">
        <v>3</v>
      </c>
      <c r="Q34" s="5">
        <v>2</v>
      </c>
      <c r="R34" s="5">
        <v>2</v>
      </c>
      <c r="S34" s="5">
        <v>2</v>
      </c>
      <c r="T34" s="5">
        <v>3</v>
      </c>
      <c r="U34" s="2">
        <v>14</v>
      </c>
      <c r="V34" s="2">
        <v>1</v>
      </c>
      <c r="W34" s="5">
        <v>1</v>
      </c>
      <c r="X34" s="5">
        <v>1</v>
      </c>
      <c r="Y34" s="5">
        <v>1</v>
      </c>
      <c r="Z34" s="5">
        <v>1</v>
      </c>
      <c r="AA34" s="5">
        <v>0.5</v>
      </c>
      <c r="AB34" s="5">
        <v>1</v>
      </c>
      <c r="AC34" s="5">
        <v>1</v>
      </c>
      <c r="AD34" s="5">
        <v>2</v>
      </c>
      <c r="AE34" s="5">
        <v>0</v>
      </c>
      <c r="AF34" s="5">
        <v>2</v>
      </c>
      <c r="AG34" s="5">
        <v>1</v>
      </c>
      <c r="AH34" s="5">
        <v>1</v>
      </c>
      <c r="AI34" s="2">
        <v>12.5</v>
      </c>
      <c r="AJ34" s="2">
        <v>26.5</v>
      </c>
      <c r="AK34" s="2">
        <v>1</v>
      </c>
      <c r="AL34" s="2">
        <v>28</v>
      </c>
      <c r="AM34" s="2">
        <v>38</v>
      </c>
      <c r="AN34" t="str">
        <f>IF(OR(G34="",Participant_Data!E34=""),"",IF(Participant_Data!E34&lt;70,IF(ROUND(G34,1)&lt;18.5,"ขาด/เสี่ยงขาด",IF(ROUND(G34,1)&gt;=25,"เสี่ยงเกิน/เกิน","ปกติ")),IF(ROUND(G34,1)&lt;20,"ขาด/เสี่ยงขาด",IF(ROUND(G34,1)&gt;=25,"เสี่ยงเกิน/เกิน","ปกติ"))))</f>
        <v>เสี่ยงเกิน/เกิน</v>
      </c>
      <c r="AO34" t="str">
        <f>IF(OR(I34="",Participant_Data!G34=""),"",IF(Participant_Data!G34=1,IF(ROUND(I34,1)&lt;15,"ขาด/เสี่ยงขาด",IF(ROUND(I34,1)&gt;25,"เสี่ยงเกิน/เกิน","ปกติ")),IF(ROUND(I34,1)&lt;20,"ขาด/เสี่ยงขาด",IF(ROUND(I34,1)&gt;35,"เสี่ยงเกิน/เกิน","ปกติ"))))</f>
        <v>ปกติ</v>
      </c>
      <c r="AP34" t="str">
        <f t="shared" si="1"/>
        <v>เสี่ยงเกิน/เกิน</v>
      </c>
    </row>
    <row r="35" spans="1:42">
      <c r="A35" s="2">
        <f>IF(Participant_Data!A35="","",Participant_Data!A35)</f>
        <v>34</v>
      </c>
      <c r="B35" s="2" t="str">
        <f>IF(Participant_Data!B35="","",Participant_Data!B35)</f>
        <v/>
      </c>
      <c r="C35" s="3" t="str">
        <f>IF(Participant_Data!C35="","",Participant_Data!C35)</f>
        <v/>
      </c>
      <c r="D35" s="5"/>
      <c r="E35" s="5">
        <v>165</v>
      </c>
      <c r="F35" s="5">
        <v>60</v>
      </c>
      <c r="G35" s="22">
        <f t="shared" si="0"/>
        <v>22.03856749311295</v>
      </c>
      <c r="H35" s="5">
        <v>20.7</v>
      </c>
      <c r="I35" s="5">
        <v>34.5</v>
      </c>
      <c r="J35" s="5">
        <v>7</v>
      </c>
      <c r="K35" s="5">
        <v>37</v>
      </c>
      <c r="L35" s="5">
        <v>2.2999999999999998</v>
      </c>
      <c r="M35" s="5">
        <v>43.5</v>
      </c>
      <c r="N35" s="5">
        <v>1149</v>
      </c>
      <c r="O35" s="5">
        <v>2</v>
      </c>
      <c r="P35" s="5">
        <v>3</v>
      </c>
      <c r="Q35" s="5">
        <v>2</v>
      </c>
      <c r="R35" s="5">
        <v>2</v>
      </c>
      <c r="S35" s="5">
        <v>2</v>
      </c>
      <c r="T35" s="5">
        <v>2</v>
      </c>
      <c r="U35" s="2">
        <v>13</v>
      </c>
      <c r="V35" s="2">
        <v>1</v>
      </c>
      <c r="W35" s="5">
        <v>1</v>
      </c>
      <c r="X35" s="5">
        <v>1</v>
      </c>
      <c r="Y35" s="5">
        <v>1</v>
      </c>
      <c r="Z35" s="5">
        <v>2</v>
      </c>
      <c r="AA35" s="5">
        <v>1</v>
      </c>
      <c r="AB35" s="5">
        <v>1</v>
      </c>
      <c r="AC35" s="5">
        <v>1</v>
      </c>
      <c r="AD35" s="5">
        <v>2</v>
      </c>
      <c r="AE35" s="5">
        <v>2</v>
      </c>
      <c r="AF35" s="5">
        <v>1</v>
      </c>
      <c r="AG35" s="5">
        <v>1</v>
      </c>
      <c r="AH35" s="5">
        <v>1</v>
      </c>
      <c r="AI35" s="2">
        <v>15</v>
      </c>
      <c r="AJ35" s="2">
        <v>28</v>
      </c>
      <c r="AK35" s="2">
        <v>1</v>
      </c>
      <c r="AL35" s="2">
        <v>27.5</v>
      </c>
      <c r="AM35" s="2">
        <v>33.5</v>
      </c>
      <c r="AN35" t="str">
        <f>IF(OR(G35="",Participant_Data!E35=""),"",IF(Participant_Data!E35&lt;70,IF(ROUND(G35,1)&lt;18.5,"ขาด/เสี่ยงขาด",IF(ROUND(G35,1)&gt;=25,"เสี่ยงเกิน/เกิน","ปกติ")),IF(ROUND(G35,1)&lt;20,"ขาด/เสี่ยงขาด",IF(ROUND(G35,1)&gt;=25,"เสี่ยงเกิน/เกิน","ปกติ"))))</f>
        <v>ปกติ</v>
      </c>
      <c r="AO35" t="str">
        <f>IF(OR(I35="",Participant_Data!G35=""),"",IF(Participant_Data!G35=1,IF(ROUND(I35,1)&lt;15,"ขาด/เสี่ยงขาด",IF(ROUND(I35,1)&gt;25,"เสี่ยงเกิน/เกิน","ปกติ")),IF(ROUND(I35,1)&lt;20,"ขาด/เสี่ยงขาด",IF(ROUND(I35,1)&gt;35,"เสี่ยงเกิน/เกิน","ปกติ"))))</f>
        <v>ปกติ</v>
      </c>
      <c r="AP35" t="str">
        <f t="shared" si="1"/>
        <v>ปกติ</v>
      </c>
    </row>
    <row r="36" spans="1:42">
      <c r="A36" s="2">
        <f>IF(Participant_Data!A36="","",Participant_Data!A36)</f>
        <v>35</v>
      </c>
      <c r="B36" s="2" t="str">
        <f>IF(Participant_Data!B36="","",Participant_Data!B36)</f>
        <v/>
      </c>
      <c r="C36" s="3" t="str">
        <f>IF(Participant_Data!C36="","",Participant_Data!C36)</f>
        <v/>
      </c>
      <c r="D36" s="5"/>
      <c r="E36" s="5">
        <v>155</v>
      </c>
      <c r="F36" s="5">
        <v>58.7</v>
      </c>
      <c r="G36" s="22">
        <f t="shared" si="0"/>
        <v>24.432882414151923</v>
      </c>
      <c r="H36" s="5">
        <v>23.54</v>
      </c>
      <c r="I36" s="5">
        <v>40.1</v>
      </c>
      <c r="J36" s="5">
        <v>8.5</v>
      </c>
      <c r="K36" s="5">
        <v>33.25</v>
      </c>
      <c r="L36" s="5">
        <v>1.9</v>
      </c>
      <c r="M36" s="5">
        <v>37.4</v>
      </c>
      <c r="N36" s="5">
        <v>1050</v>
      </c>
      <c r="O36" s="5">
        <v>2</v>
      </c>
      <c r="P36" s="5">
        <v>3</v>
      </c>
      <c r="Q36" s="5">
        <v>2</v>
      </c>
      <c r="R36" s="5">
        <v>2</v>
      </c>
      <c r="S36" s="5">
        <v>1</v>
      </c>
      <c r="T36" s="5">
        <v>3</v>
      </c>
      <c r="U36" s="2">
        <v>13</v>
      </c>
      <c r="V36" s="2">
        <v>1</v>
      </c>
      <c r="W36" s="5">
        <v>1</v>
      </c>
      <c r="X36" s="5">
        <v>1</v>
      </c>
      <c r="Y36" s="5">
        <v>1</v>
      </c>
      <c r="Z36" s="5">
        <v>2</v>
      </c>
      <c r="AA36" s="5">
        <v>0.5</v>
      </c>
      <c r="AB36" s="5">
        <v>1</v>
      </c>
      <c r="AC36" s="5">
        <v>1</v>
      </c>
      <c r="AD36" s="5">
        <v>2</v>
      </c>
      <c r="AE36" s="5">
        <v>0</v>
      </c>
      <c r="AF36" s="5">
        <v>2</v>
      </c>
      <c r="AG36" s="5">
        <v>1</v>
      </c>
      <c r="AH36" s="5">
        <v>1</v>
      </c>
      <c r="AI36" s="2">
        <v>13.5</v>
      </c>
      <c r="AJ36" s="2">
        <v>26.5</v>
      </c>
      <c r="AK36" s="2">
        <v>1</v>
      </c>
      <c r="AL36" s="2">
        <v>26</v>
      </c>
      <c r="AM36" s="2">
        <v>32</v>
      </c>
      <c r="AN36" t="str">
        <f>IF(OR(G36="",Participant_Data!E36=""),"",IF(Participant_Data!E36&lt;70,IF(ROUND(G36,1)&lt;18.5,"ขาด/เสี่ยงขาด",IF(ROUND(G36,1)&gt;=25,"เสี่ยงเกิน/เกิน","ปกติ")),IF(ROUND(G36,1)&lt;20,"ขาด/เสี่ยงขาด",IF(ROUND(G36,1)&gt;=25,"เสี่ยงเกิน/เกิน","ปกติ"))))</f>
        <v>ปกติ</v>
      </c>
      <c r="AO36" t="str">
        <f>IF(OR(I36="",Participant_Data!G36=""),"",IF(Participant_Data!G36=1,IF(ROUND(I36,1)&lt;15,"ขาด/เสี่ยงขาด",IF(ROUND(I36,1)&gt;25,"เสี่ยงเกิน/เกิน","ปกติ")),IF(ROUND(I36,1)&lt;20,"ขาด/เสี่ยงขาด",IF(ROUND(I36,1)&gt;35,"เสี่ยงเกิน/เกิน","ปกติ"))))</f>
        <v>เสี่ยงเกิน/เกิน</v>
      </c>
      <c r="AP36" t="str">
        <f t="shared" si="1"/>
        <v>เสี่ยงเกิน/เกิน</v>
      </c>
    </row>
    <row r="37" spans="1:42">
      <c r="A37" s="2">
        <f>IF(Participant_Data!A37="","",Participant_Data!A37)</f>
        <v>36</v>
      </c>
      <c r="B37" s="2" t="str">
        <f>IF(Participant_Data!B37="","",Participant_Data!B37)</f>
        <v/>
      </c>
      <c r="C37" s="3" t="str">
        <f>IF(Participant_Data!C37="","",Participant_Data!C37)</f>
        <v/>
      </c>
      <c r="D37" s="5"/>
      <c r="E37" s="5">
        <v>163</v>
      </c>
      <c r="F37" s="5">
        <v>63.3</v>
      </c>
      <c r="G37" s="22">
        <f t="shared" si="0"/>
        <v>23.824758176822613</v>
      </c>
      <c r="H37" s="5">
        <v>21.59</v>
      </c>
      <c r="I37" s="5">
        <v>34.1</v>
      </c>
      <c r="J37" s="5">
        <v>7.5</v>
      </c>
      <c r="K37" s="5">
        <v>39.200000000000003</v>
      </c>
      <c r="L37" s="5">
        <v>2.5</v>
      </c>
      <c r="M37" s="5">
        <v>47.4</v>
      </c>
      <c r="N37" s="5">
        <v>1218</v>
      </c>
      <c r="O37" s="5">
        <v>2</v>
      </c>
      <c r="P37" s="5">
        <v>3</v>
      </c>
      <c r="Q37" s="5">
        <v>2</v>
      </c>
      <c r="R37" s="5">
        <v>2</v>
      </c>
      <c r="S37" s="5">
        <v>1</v>
      </c>
      <c r="T37" s="5">
        <v>3</v>
      </c>
      <c r="U37" s="2">
        <v>13</v>
      </c>
      <c r="V37" s="2">
        <v>1</v>
      </c>
      <c r="W37" s="5">
        <v>1</v>
      </c>
      <c r="X37" s="5">
        <v>1</v>
      </c>
      <c r="Y37" s="5">
        <v>1</v>
      </c>
      <c r="Z37" s="5">
        <v>2</v>
      </c>
      <c r="AA37" s="5">
        <v>0.5</v>
      </c>
      <c r="AB37" s="5">
        <v>1</v>
      </c>
      <c r="AC37" s="5">
        <v>1</v>
      </c>
      <c r="AD37" s="5">
        <v>2</v>
      </c>
      <c r="AE37" s="5">
        <v>2</v>
      </c>
      <c r="AF37" s="5">
        <v>2</v>
      </c>
      <c r="AG37" s="5">
        <v>1</v>
      </c>
      <c r="AH37" s="5">
        <v>1</v>
      </c>
      <c r="AI37" s="2">
        <v>15.5</v>
      </c>
      <c r="AJ37" s="2">
        <v>28.5</v>
      </c>
      <c r="AK37" s="2">
        <v>1</v>
      </c>
      <c r="AL37" s="2">
        <v>26</v>
      </c>
      <c r="AM37" s="2">
        <v>34</v>
      </c>
      <c r="AN37" t="str">
        <f>IF(OR(G37="",Participant_Data!E37=""),"",IF(Participant_Data!E37&lt;70,IF(ROUND(G37,1)&lt;18.5,"ขาด/เสี่ยงขาด",IF(ROUND(G37,1)&gt;=25,"เสี่ยงเกิน/เกิน","ปกติ")),IF(ROUND(G37,1)&lt;20,"ขาด/เสี่ยงขาด",IF(ROUND(G37,1)&gt;=25,"เสี่ยงเกิน/เกิน","ปกติ"))))</f>
        <v>ปกติ</v>
      </c>
      <c r="AO37" t="str">
        <f>IF(OR(I37="",Participant_Data!G37=""),"",IF(Participant_Data!G37=1,IF(ROUND(I37,1)&lt;15,"ขาด/เสี่ยงขาด",IF(ROUND(I37,1)&gt;25,"เสี่ยงเกิน/เกิน","ปกติ")),IF(ROUND(I37,1)&lt;20,"ขาด/เสี่ยงขาด",IF(ROUND(I37,1)&gt;35,"เสี่ยงเกิน/เกิน","ปกติ"))))</f>
        <v>ปกติ</v>
      </c>
      <c r="AP37" t="str">
        <f t="shared" si="1"/>
        <v>ปกติ</v>
      </c>
    </row>
    <row r="38" spans="1:42">
      <c r="A38" s="2">
        <f>IF(Participant_Data!A38="","",Participant_Data!A38)</f>
        <v>37</v>
      </c>
      <c r="B38" s="2" t="str">
        <f>IF(Participant_Data!B38="","",Participant_Data!B38)</f>
        <v/>
      </c>
      <c r="C38" s="3" t="str">
        <f>IF(Participant_Data!C38="","",Participant_Data!C38)</f>
        <v/>
      </c>
      <c r="D38" s="5"/>
      <c r="E38" s="5">
        <v>140</v>
      </c>
      <c r="F38" s="5">
        <v>63.2</v>
      </c>
      <c r="G38" s="22">
        <f t="shared" si="0"/>
        <v>32.244897959183682</v>
      </c>
      <c r="H38" s="5">
        <v>28.88</v>
      </c>
      <c r="I38" s="5">
        <v>45.7</v>
      </c>
      <c r="J38" s="5">
        <v>11.5</v>
      </c>
      <c r="K38" s="5">
        <v>32.5</v>
      </c>
      <c r="L38" s="5">
        <v>1.9</v>
      </c>
      <c r="M38" s="5">
        <v>44.3</v>
      </c>
      <c r="N38" s="5">
        <v>1060</v>
      </c>
      <c r="O38" s="5">
        <v>2</v>
      </c>
      <c r="P38" s="5">
        <v>3</v>
      </c>
      <c r="Q38" s="5">
        <v>2</v>
      </c>
      <c r="R38" s="5">
        <v>2</v>
      </c>
      <c r="S38" s="5">
        <v>2</v>
      </c>
      <c r="T38" s="5">
        <v>3</v>
      </c>
      <c r="U38" s="2">
        <v>14</v>
      </c>
      <c r="V38" s="2">
        <v>1</v>
      </c>
      <c r="W38" s="5">
        <v>1</v>
      </c>
      <c r="X38" s="5">
        <v>1</v>
      </c>
      <c r="Y38" s="5">
        <v>1</v>
      </c>
      <c r="Z38" s="5">
        <v>2</v>
      </c>
      <c r="AA38" s="5">
        <v>0.5</v>
      </c>
      <c r="AB38" s="5">
        <v>1</v>
      </c>
      <c r="AC38" s="5">
        <v>1</v>
      </c>
      <c r="AD38" s="5">
        <v>2</v>
      </c>
      <c r="AE38" s="5">
        <v>2</v>
      </c>
      <c r="AF38" s="5">
        <v>0.5</v>
      </c>
      <c r="AG38" s="5">
        <v>1</v>
      </c>
      <c r="AH38" s="5">
        <v>1</v>
      </c>
      <c r="AI38" s="2">
        <v>14</v>
      </c>
      <c r="AJ38" s="2">
        <v>28</v>
      </c>
      <c r="AK38" s="2">
        <v>1</v>
      </c>
      <c r="AL38" s="2">
        <v>30</v>
      </c>
      <c r="AM38" s="2">
        <v>38.5</v>
      </c>
      <c r="AN38" t="str">
        <f>IF(OR(G38="",Participant_Data!E38=""),"",IF(Participant_Data!E38&lt;70,IF(ROUND(G38,1)&lt;18.5,"ขาด/เสี่ยงขาด",IF(ROUND(G38,1)&gt;=25,"เสี่ยงเกิน/เกิน","ปกติ")),IF(ROUND(G38,1)&lt;20,"ขาด/เสี่ยงขาด",IF(ROUND(G38,1)&gt;=25,"เสี่ยงเกิน/เกิน","ปกติ"))))</f>
        <v>เสี่ยงเกิน/เกิน</v>
      </c>
      <c r="AO38" t="str">
        <f>IF(OR(I38="",Participant_Data!G38=""),"",IF(Participant_Data!G38=1,IF(ROUND(I38,1)&lt;15,"ขาด/เสี่ยงขาด",IF(ROUND(I38,1)&gt;25,"เสี่ยงเกิน/เกิน","ปกติ")),IF(ROUND(I38,1)&lt;20,"ขาด/เสี่ยงขาด",IF(ROUND(I38,1)&gt;35,"เสี่ยงเกิน/เกิน","ปกติ"))))</f>
        <v>เสี่ยงเกิน/เกิน</v>
      </c>
      <c r="AP38" t="str">
        <f t="shared" si="1"/>
        <v>เสี่ยงเกิน/เกิน</v>
      </c>
    </row>
    <row r="39" spans="1:42">
      <c r="A39" s="2">
        <f>IF(Participant_Data!A39="","",Participant_Data!A39)</f>
        <v>38</v>
      </c>
      <c r="B39" s="2" t="str">
        <f>IF(Participant_Data!B39="","",Participant_Data!B39)</f>
        <v/>
      </c>
      <c r="C39" s="3" t="str">
        <f>IF(Participant_Data!C39="","",Participant_Data!C39)</f>
        <v/>
      </c>
      <c r="D39" s="5"/>
      <c r="E39" s="5">
        <v>145</v>
      </c>
      <c r="F39" s="5">
        <v>69.150000000000006</v>
      </c>
      <c r="G39" s="22">
        <f t="shared" si="0"/>
        <v>32.889417360285378</v>
      </c>
      <c r="H39" s="5">
        <v>32.15</v>
      </c>
      <c r="I39" s="5">
        <v>46.5</v>
      </c>
      <c r="J39" s="5">
        <v>12</v>
      </c>
      <c r="K39" s="5">
        <v>34.9</v>
      </c>
      <c r="L39" s="5">
        <v>2.1</v>
      </c>
      <c r="M39" s="5">
        <v>42.5</v>
      </c>
      <c r="N39" s="5">
        <v>1149</v>
      </c>
      <c r="O39" s="5">
        <v>2</v>
      </c>
      <c r="P39" s="5">
        <v>3</v>
      </c>
      <c r="Q39" s="5">
        <v>2</v>
      </c>
      <c r="R39" s="5">
        <v>2</v>
      </c>
      <c r="S39" s="5">
        <v>2</v>
      </c>
      <c r="T39" s="5">
        <v>3</v>
      </c>
      <c r="U39" s="2">
        <v>14</v>
      </c>
      <c r="V39" s="2">
        <v>1</v>
      </c>
      <c r="W39" s="5">
        <v>1</v>
      </c>
      <c r="X39" s="5">
        <v>1</v>
      </c>
      <c r="Y39" s="5">
        <v>1</v>
      </c>
      <c r="Z39" s="5">
        <v>2</v>
      </c>
      <c r="AA39" s="5">
        <v>0.5</v>
      </c>
      <c r="AB39" s="5">
        <v>1</v>
      </c>
      <c r="AC39" s="5">
        <v>1</v>
      </c>
      <c r="AD39" s="5">
        <v>2</v>
      </c>
      <c r="AE39" s="5">
        <v>0</v>
      </c>
      <c r="AF39" s="5">
        <v>2</v>
      </c>
      <c r="AG39" s="5">
        <v>1</v>
      </c>
      <c r="AH39" s="5">
        <v>1</v>
      </c>
      <c r="AI39" s="2">
        <v>13.5</v>
      </c>
      <c r="AJ39" s="2">
        <v>27.5</v>
      </c>
      <c r="AK39" s="2">
        <v>1</v>
      </c>
      <c r="AL39" s="2">
        <v>36</v>
      </c>
      <c r="AM39" s="2">
        <v>36</v>
      </c>
      <c r="AN39" t="str">
        <f>IF(OR(G39="",Participant_Data!E39=""),"",IF(Participant_Data!E39&lt;70,IF(ROUND(G39,1)&lt;18.5,"ขาด/เสี่ยงขาด",IF(ROUND(G39,1)&gt;=25,"เสี่ยงเกิน/เกิน","ปกติ")),IF(ROUND(G39,1)&lt;20,"ขาด/เสี่ยงขาด",IF(ROUND(G39,1)&gt;=25,"เสี่ยงเกิน/เกิน","ปกติ"))))</f>
        <v>เสี่ยงเกิน/เกิน</v>
      </c>
      <c r="AO39" t="str">
        <f>IF(OR(I39="",Participant_Data!G39=""),"",IF(Participant_Data!G39=1,IF(ROUND(I39,1)&lt;15,"ขาด/เสี่ยงขาด",IF(ROUND(I39,1)&gt;25,"เสี่ยงเกิน/เกิน","ปกติ")),IF(ROUND(I39,1)&lt;20,"ขาด/เสี่ยงขาด",IF(ROUND(I39,1)&gt;35,"เสี่ยงเกิน/เกิน","ปกติ"))))</f>
        <v>เสี่ยงเกิน/เกิน</v>
      </c>
      <c r="AP39" t="str">
        <f t="shared" si="1"/>
        <v>เสี่ยงเกิน/เกิน</v>
      </c>
    </row>
    <row r="40" spans="1:42">
      <c r="A40" s="2">
        <f>IF(Participant_Data!A40="","",Participant_Data!A40)</f>
        <v>39</v>
      </c>
      <c r="B40" s="2" t="str">
        <f>IF(Participant_Data!B40="","",Participant_Data!B40)</f>
        <v/>
      </c>
      <c r="C40" s="3" t="str">
        <f>IF(Participant_Data!C40="","",Participant_Data!C40)</f>
        <v/>
      </c>
      <c r="D40" s="5"/>
      <c r="E40" s="5">
        <v>150</v>
      </c>
      <c r="F40" s="5">
        <v>44.5</v>
      </c>
      <c r="G40" s="22">
        <f t="shared" si="0"/>
        <v>19.777777777777779</v>
      </c>
      <c r="H40" s="5">
        <v>12.73</v>
      </c>
      <c r="I40" s="5">
        <v>28.6</v>
      </c>
      <c r="J40" s="5">
        <v>5</v>
      </c>
      <c r="K40" s="5">
        <v>30.15</v>
      </c>
      <c r="L40" s="5">
        <v>1.6</v>
      </c>
      <c r="M40" s="5">
        <v>49.2</v>
      </c>
      <c r="N40" s="5">
        <v>908</v>
      </c>
      <c r="O40" s="5">
        <v>2</v>
      </c>
      <c r="P40" s="5">
        <v>3</v>
      </c>
      <c r="Q40" s="5">
        <v>2</v>
      </c>
      <c r="R40" s="5">
        <v>0</v>
      </c>
      <c r="S40" s="5">
        <v>1</v>
      </c>
      <c r="T40" s="5">
        <v>1</v>
      </c>
      <c r="U40" s="2">
        <v>9</v>
      </c>
      <c r="V40" s="2">
        <v>2</v>
      </c>
      <c r="W40" s="5">
        <v>1</v>
      </c>
      <c r="X40" s="5">
        <v>1</v>
      </c>
      <c r="Y40" s="5">
        <v>1</v>
      </c>
      <c r="Z40" s="5">
        <v>1</v>
      </c>
      <c r="AA40" s="5">
        <v>0.5</v>
      </c>
      <c r="AB40" s="5">
        <v>1</v>
      </c>
      <c r="AC40" s="5">
        <v>0.5</v>
      </c>
      <c r="AD40" s="5">
        <v>2</v>
      </c>
      <c r="AE40" s="5">
        <v>0</v>
      </c>
      <c r="AF40" s="5">
        <v>0</v>
      </c>
      <c r="AG40" s="5">
        <v>1</v>
      </c>
      <c r="AH40" s="5">
        <v>0</v>
      </c>
      <c r="AI40" s="2">
        <v>9</v>
      </c>
      <c r="AJ40" s="2">
        <v>18</v>
      </c>
      <c r="AK40" s="2">
        <v>2</v>
      </c>
      <c r="AL40" s="2">
        <v>23</v>
      </c>
      <c r="AM40" s="2">
        <v>29.5</v>
      </c>
      <c r="AN40" t="str">
        <f>IF(OR(G40="",Participant_Data!E40=""),"",IF(Participant_Data!E40&lt;70,IF(ROUND(G40,1)&lt;18.5,"ขาด/เสี่ยงขาด",IF(ROUND(G40,1)&gt;=25,"เสี่ยงเกิน/เกิน","ปกติ")),IF(ROUND(G40,1)&lt;20,"ขาด/เสี่ยงขาด",IF(ROUND(G40,1)&gt;=25,"เสี่ยงเกิน/เกิน","ปกติ"))))</f>
        <v>ปกติ</v>
      </c>
      <c r="AO40" t="str">
        <f>IF(OR(I40="",Participant_Data!G40=""),"",IF(Participant_Data!G40=1,IF(ROUND(I40,1)&lt;15,"ขาด/เสี่ยงขาด",IF(ROUND(I40,1)&gt;25,"เสี่ยงเกิน/เกิน","ปกติ")),IF(ROUND(I40,1)&lt;20,"ขาด/เสี่ยงขาด",IF(ROUND(I40,1)&gt;35,"เสี่ยงเกิน/เกิน","ปกติ"))))</f>
        <v>ปกติ</v>
      </c>
      <c r="AP40" t="str">
        <f t="shared" si="1"/>
        <v>ปกติ</v>
      </c>
    </row>
    <row r="41" spans="1:42">
      <c r="A41" s="2">
        <f>IF(Participant_Data!A41="","",Participant_Data!A41)</f>
        <v>40</v>
      </c>
      <c r="B41" s="2" t="str">
        <f>IF(Participant_Data!B41="","",Participant_Data!B41)</f>
        <v/>
      </c>
      <c r="C41" s="3" t="str">
        <f>IF(Participant_Data!C41="","",Participant_Data!C41)</f>
        <v/>
      </c>
      <c r="D41" s="5"/>
      <c r="E41" s="5">
        <v>158</v>
      </c>
      <c r="F41" s="5">
        <v>68.7</v>
      </c>
      <c r="G41" s="22">
        <f t="shared" si="0"/>
        <v>27.519628264701165</v>
      </c>
      <c r="H41" s="5">
        <v>26.99</v>
      </c>
      <c r="I41" s="5">
        <v>39.299999999999997</v>
      </c>
      <c r="J41" s="5">
        <v>9.5</v>
      </c>
      <c r="K41" s="5">
        <v>39.200000000000003</v>
      </c>
      <c r="L41" s="5">
        <v>2.5</v>
      </c>
      <c r="M41" s="5">
        <v>45.7</v>
      </c>
      <c r="N41" s="5">
        <v>1246</v>
      </c>
      <c r="O41" s="5">
        <v>2</v>
      </c>
      <c r="P41" s="5">
        <v>3</v>
      </c>
      <c r="Q41" s="5">
        <v>2</v>
      </c>
      <c r="R41" s="5">
        <v>2</v>
      </c>
      <c r="S41" s="5">
        <v>2</v>
      </c>
      <c r="T41" s="5">
        <v>3</v>
      </c>
      <c r="U41" s="2">
        <v>14</v>
      </c>
      <c r="V41" s="2">
        <v>1</v>
      </c>
      <c r="W41" s="5">
        <v>1</v>
      </c>
      <c r="X41" s="5">
        <v>1</v>
      </c>
      <c r="Y41" s="5">
        <v>1</v>
      </c>
      <c r="Z41" s="5">
        <v>1</v>
      </c>
      <c r="AA41" s="5">
        <v>0.5</v>
      </c>
      <c r="AB41" s="5">
        <v>1</v>
      </c>
      <c r="AC41" s="5">
        <v>1</v>
      </c>
      <c r="AD41" s="5">
        <v>2</v>
      </c>
      <c r="AE41" s="5">
        <v>2</v>
      </c>
      <c r="AF41" s="5">
        <v>2</v>
      </c>
      <c r="AG41" s="5">
        <v>1</v>
      </c>
      <c r="AH41" s="5">
        <v>1</v>
      </c>
      <c r="AI41" s="2">
        <v>14.5</v>
      </c>
      <c r="AJ41" s="2">
        <v>28.5</v>
      </c>
      <c r="AK41" s="2">
        <v>1</v>
      </c>
      <c r="AL41" s="2">
        <v>27</v>
      </c>
      <c r="AM41" s="2">
        <v>37</v>
      </c>
      <c r="AN41" t="str">
        <f>IF(OR(G41="",Participant_Data!E41=""),"",IF(Participant_Data!E41&lt;70,IF(ROUND(G41,1)&lt;18.5,"ขาด/เสี่ยงขาด",IF(ROUND(G41,1)&gt;=25,"เสี่ยงเกิน/เกิน","ปกติ")),IF(ROUND(G41,1)&lt;20,"ขาด/เสี่ยงขาด",IF(ROUND(G41,1)&gt;=25,"เสี่ยงเกิน/เกิน","ปกติ"))))</f>
        <v>เสี่ยงเกิน/เกิน</v>
      </c>
      <c r="AO41" t="str">
        <f>IF(OR(I41="",Participant_Data!G41=""),"",IF(Participant_Data!G41=1,IF(ROUND(I41,1)&lt;15,"ขาด/เสี่ยงขาด",IF(ROUND(I41,1)&gt;25,"เสี่ยงเกิน/เกิน","ปกติ")),IF(ROUND(I41,1)&lt;20,"ขาด/เสี่ยงขาด",IF(ROUND(I41,1)&gt;35,"เสี่ยงเกิน/เกิน","ปกติ"))))</f>
        <v>เสี่ยงเกิน/เกิน</v>
      </c>
      <c r="AP41" t="str">
        <f t="shared" si="1"/>
        <v>เสี่ยงเกิน/เกิน</v>
      </c>
    </row>
    <row r="42" spans="1:42">
      <c r="A42" s="2">
        <f>IF(Participant_Data!A42="","",Participant_Data!A42)</f>
        <v>41</v>
      </c>
      <c r="B42" s="2" t="str">
        <f>IF(Participant_Data!B42="","",Participant_Data!B42)</f>
        <v/>
      </c>
      <c r="C42" s="3" t="str">
        <f>IF(Participant_Data!C42="","",Participant_Data!C42)</f>
        <v/>
      </c>
      <c r="D42" s="5"/>
      <c r="E42" s="5">
        <v>150</v>
      </c>
      <c r="F42" s="5">
        <v>54.85</v>
      </c>
      <c r="G42" s="22">
        <f t="shared" si="0"/>
        <v>24.37777777777778</v>
      </c>
      <c r="H42" s="5">
        <v>21.5</v>
      </c>
      <c r="I42" s="5">
        <v>39.200000000000003</v>
      </c>
      <c r="J42" s="5">
        <v>8</v>
      </c>
      <c r="K42" s="5">
        <v>31.55</v>
      </c>
      <c r="L42" s="5">
        <v>1.8</v>
      </c>
      <c r="M42" s="5">
        <v>41.2</v>
      </c>
      <c r="N42" s="5">
        <v>991</v>
      </c>
      <c r="O42" s="5">
        <v>2</v>
      </c>
      <c r="P42" s="5">
        <v>3</v>
      </c>
      <c r="Q42" s="5">
        <v>2</v>
      </c>
      <c r="R42" s="5">
        <v>2</v>
      </c>
      <c r="S42" s="5">
        <v>1</v>
      </c>
      <c r="T42" s="5">
        <v>3</v>
      </c>
      <c r="U42" s="2">
        <v>13</v>
      </c>
      <c r="V42" s="2">
        <v>1</v>
      </c>
      <c r="W42" s="5">
        <v>1</v>
      </c>
      <c r="X42" s="5">
        <v>1</v>
      </c>
      <c r="Y42" s="5">
        <v>1</v>
      </c>
      <c r="Z42" s="5">
        <v>2</v>
      </c>
      <c r="AA42" s="5">
        <v>0.5</v>
      </c>
      <c r="AB42" s="5">
        <v>1</v>
      </c>
      <c r="AC42" s="5">
        <v>1</v>
      </c>
      <c r="AD42" s="5">
        <v>2</v>
      </c>
      <c r="AE42" s="5">
        <v>2</v>
      </c>
      <c r="AF42" s="5">
        <v>2</v>
      </c>
      <c r="AG42" s="5">
        <v>1</v>
      </c>
      <c r="AH42" s="5">
        <v>1</v>
      </c>
      <c r="AI42" s="2">
        <v>15.5</v>
      </c>
      <c r="AJ42" s="2">
        <v>28.5</v>
      </c>
      <c r="AK42" s="2">
        <v>1</v>
      </c>
      <c r="AL42" s="2">
        <v>25</v>
      </c>
      <c r="AM42" s="2">
        <v>33</v>
      </c>
      <c r="AN42" t="str">
        <f>IF(OR(G42="",Participant_Data!E42=""),"",IF(Participant_Data!E42&lt;70,IF(ROUND(G42,1)&lt;18.5,"ขาด/เสี่ยงขาด",IF(ROUND(G42,1)&gt;=25,"เสี่ยงเกิน/เกิน","ปกติ")),IF(ROUND(G42,1)&lt;20,"ขาด/เสี่ยงขาด",IF(ROUND(G42,1)&gt;=25,"เสี่ยงเกิน/เกิน","ปกติ"))))</f>
        <v>ปกติ</v>
      </c>
      <c r="AO42" t="str">
        <f>IF(OR(I42="",Participant_Data!G42=""),"",IF(Participant_Data!G42=1,IF(ROUND(I42,1)&lt;15,"ขาด/เสี่ยงขาด",IF(ROUND(I42,1)&gt;25,"เสี่ยงเกิน/เกิน","ปกติ")),IF(ROUND(I42,1)&lt;20,"ขาด/เสี่ยงขาด",IF(ROUND(I42,1)&gt;35,"เสี่ยงเกิน/เกิน","ปกติ"))))</f>
        <v>เสี่ยงเกิน/เกิน</v>
      </c>
      <c r="AP42" t="str">
        <f t="shared" si="1"/>
        <v>เสี่ยงเกิน/เกิน</v>
      </c>
    </row>
    <row r="43" spans="1:42">
      <c r="A43" s="2">
        <f>IF(Participant_Data!A43="","",Participant_Data!A43)</f>
        <v>42</v>
      </c>
      <c r="B43" s="2" t="str">
        <f>IF(Participant_Data!B43="","",Participant_Data!B43)</f>
        <v/>
      </c>
      <c r="C43" s="3" t="str">
        <f>IF(Participant_Data!C43="","",Participant_Data!C43)</f>
        <v/>
      </c>
      <c r="D43" s="5"/>
      <c r="E43" s="5">
        <v>152</v>
      </c>
      <c r="F43" s="5">
        <v>64.25</v>
      </c>
      <c r="G43" s="22">
        <f t="shared" si="0"/>
        <v>27.809037396121884</v>
      </c>
      <c r="H43" s="5">
        <v>26.15</v>
      </c>
      <c r="I43" s="5">
        <v>40.700000000000003</v>
      </c>
      <c r="J43" s="5">
        <v>10</v>
      </c>
      <c r="K43" s="5">
        <v>35.9</v>
      </c>
      <c r="L43" s="5">
        <v>2.2000000000000002</v>
      </c>
      <c r="M43" s="5">
        <v>41.9</v>
      </c>
      <c r="N43" s="5">
        <v>1142</v>
      </c>
      <c r="O43" s="5">
        <v>1</v>
      </c>
      <c r="P43" s="5">
        <v>3</v>
      </c>
      <c r="Q43" s="5">
        <v>2</v>
      </c>
      <c r="R43" s="5">
        <v>2</v>
      </c>
      <c r="S43" s="5">
        <v>1</v>
      </c>
      <c r="T43" s="5">
        <v>3</v>
      </c>
      <c r="U43" s="2">
        <v>12</v>
      </c>
      <c r="V43" s="2">
        <v>1</v>
      </c>
      <c r="W43" s="5">
        <v>1</v>
      </c>
      <c r="X43" s="5">
        <v>1</v>
      </c>
      <c r="Y43" s="5">
        <v>1</v>
      </c>
      <c r="Z43" s="5">
        <v>1</v>
      </c>
      <c r="AA43" s="5">
        <v>0</v>
      </c>
      <c r="AB43" s="5">
        <v>0</v>
      </c>
      <c r="AC43" s="5">
        <v>1</v>
      </c>
      <c r="AD43" s="5">
        <v>2</v>
      </c>
      <c r="AE43" s="5">
        <v>2</v>
      </c>
      <c r="AF43" s="5">
        <v>1</v>
      </c>
      <c r="AG43" s="5">
        <v>1</v>
      </c>
      <c r="AH43" s="5">
        <v>1</v>
      </c>
      <c r="AI43" s="2">
        <v>12</v>
      </c>
      <c r="AJ43" s="2">
        <v>24</v>
      </c>
      <c r="AK43" s="2">
        <v>1</v>
      </c>
      <c r="AL43" s="2">
        <v>27.5</v>
      </c>
      <c r="AM43" s="2">
        <v>37</v>
      </c>
      <c r="AN43" t="str">
        <f>IF(OR(G43="",Participant_Data!E43=""),"",IF(Participant_Data!E43&lt;70,IF(ROUND(G43,1)&lt;18.5,"ขาด/เสี่ยงขาด",IF(ROUND(G43,1)&gt;=25,"เสี่ยงเกิน/เกิน","ปกติ")),IF(ROUND(G43,1)&lt;20,"ขาด/เสี่ยงขาด",IF(ROUND(G43,1)&gt;=25,"เสี่ยงเกิน/เกิน","ปกติ"))))</f>
        <v>เสี่ยงเกิน/เกิน</v>
      </c>
      <c r="AO43" t="str">
        <f>IF(OR(I43="",Participant_Data!G43=""),"",IF(Participant_Data!G43=1,IF(ROUND(I43,1)&lt;15,"ขาด/เสี่ยงขาด",IF(ROUND(I43,1)&gt;25,"เสี่ยงเกิน/เกิน","ปกติ")),IF(ROUND(I43,1)&lt;20,"ขาด/เสี่ยงขาด",IF(ROUND(I43,1)&gt;35,"เสี่ยงเกิน/เกิน","ปกติ"))))</f>
        <v>เสี่ยงเกิน/เกิน</v>
      </c>
      <c r="AP43" t="str">
        <f t="shared" si="1"/>
        <v>เสี่ยงเกิน/เกิน</v>
      </c>
    </row>
    <row r="44" spans="1:42">
      <c r="A44" s="2">
        <f>IF(Participant_Data!A44="","",Participant_Data!A44)</f>
        <v>43</v>
      </c>
      <c r="B44" s="2" t="str">
        <f>IF(Participant_Data!B44="","",Participant_Data!B44)</f>
        <v/>
      </c>
      <c r="C44" s="3" t="str">
        <f>IF(Participant_Data!C44="","",Participant_Data!C44)</f>
        <v/>
      </c>
      <c r="D44" s="5"/>
      <c r="E44" s="5">
        <v>160</v>
      </c>
      <c r="F44" s="5">
        <v>76.150000000000006</v>
      </c>
      <c r="G44" s="22">
        <f t="shared" si="0"/>
        <v>29.746093749999996</v>
      </c>
      <c r="H44" s="5">
        <v>30.69</v>
      </c>
      <c r="I44" s="5">
        <v>40.299999999999997</v>
      </c>
      <c r="J44" s="5">
        <v>10.5</v>
      </c>
      <c r="K44" s="5">
        <v>42.65</v>
      </c>
      <c r="L44" s="5">
        <v>2.8</v>
      </c>
      <c r="M44" s="5">
        <v>43.8</v>
      </c>
      <c r="N44" s="5">
        <v>1374</v>
      </c>
      <c r="O44" s="5">
        <v>2</v>
      </c>
      <c r="P44" s="5">
        <v>3</v>
      </c>
      <c r="Q44" s="5">
        <v>2</v>
      </c>
      <c r="R44" s="5">
        <v>2</v>
      </c>
      <c r="S44" s="5">
        <v>2</v>
      </c>
      <c r="T44" s="5">
        <v>3</v>
      </c>
      <c r="U44" s="2">
        <v>14</v>
      </c>
      <c r="V44" s="2">
        <v>1</v>
      </c>
      <c r="W44" s="5">
        <v>1</v>
      </c>
      <c r="X44" s="5">
        <v>1</v>
      </c>
      <c r="Y44" s="5">
        <v>1</v>
      </c>
      <c r="Z44" s="5">
        <v>2</v>
      </c>
      <c r="AA44" s="5">
        <v>0.5</v>
      </c>
      <c r="AB44" s="5">
        <v>1</v>
      </c>
      <c r="AC44" s="5">
        <v>1</v>
      </c>
      <c r="AD44" s="5">
        <v>2</v>
      </c>
      <c r="AE44" s="5">
        <v>2</v>
      </c>
      <c r="AF44" s="5">
        <v>2</v>
      </c>
      <c r="AG44" s="5">
        <v>1</v>
      </c>
      <c r="AH44" s="5">
        <v>1</v>
      </c>
      <c r="AI44" s="2">
        <v>15.5</v>
      </c>
      <c r="AJ44" s="2">
        <v>29.5</v>
      </c>
      <c r="AK44" s="2">
        <v>1</v>
      </c>
      <c r="AL44" s="2">
        <v>33</v>
      </c>
      <c r="AM44" s="2">
        <v>38.5</v>
      </c>
      <c r="AN44" t="str">
        <f>IF(OR(G44="",Participant_Data!E44=""),"",IF(Participant_Data!E44&lt;70,IF(ROUND(G44,1)&lt;18.5,"ขาด/เสี่ยงขาด",IF(ROUND(G44,1)&gt;=25,"เสี่ยงเกิน/เกิน","ปกติ")),IF(ROUND(G44,1)&lt;20,"ขาด/เสี่ยงขาด",IF(ROUND(G44,1)&gt;=25,"เสี่ยงเกิน/เกิน","ปกติ"))))</f>
        <v>เสี่ยงเกิน/เกิน</v>
      </c>
      <c r="AO44" t="str">
        <f>IF(OR(I44="",Participant_Data!G44=""),"",IF(Participant_Data!G44=1,IF(ROUND(I44,1)&lt;15,"ขาด/เสี่ยงขาด",IF(ROUND(I44,1)&gt;25,"เสี่ยงเกิน/เกิน","ปกติ")),IF(ROUND(I44,1)&lt;20,"ขาด/เสี่ยงขาด",IF(ROUND(I44,1)&gt;35,"เสี่ยงเกิน/เกิน","ปกติ"))))</f>
        <v>เสี่ยงเกิน/เกิน</v>
      </c>
      <c r="AP44" t="str">
        <f t="shared" si="1"/>
        <v>เสี่ยงเกิน/เกิน</v>
      </c>
    </row>
    <row r="45" spans="1:42">
      <c r="A45" s="2">
        <f>IF(Participant_Data!A45="","",Participant_Data!A45)</f>
        <v>44</v>
      </c>
      <c r="B45" s="2" t="str">
        <f>IF(Participant_Data!B45="","",Participant_Data!B45)</f>
        <v/>
      </c>
      <c r="C45" s="3" t="str">
        <f>IF(Participant_Data!C45="","",Participant_Data!C45)</f>
        <v/>
      </c>
      <c r="D45" s="5"/>
      <c r="E45" s="5">
        <v>149</v>
      </c>
      <c r="F45" s="5">
        <v>56</v>
      </c>
      <c r="G45" s="22">
        <f t="shared" si="0"/>
        <v>25.224089004999776</v>
      </c>
      <c r="H45" s="5">
        <v>19.82</v>
      </c>
      <c r="I45" s="5">
        <v>35.4</v>
      </c>
      <c r="J45" s="5">
        <v>8.5</v>
      </c>
      <c r="K45" s="5">
        <v>34.15</v>
      </c>
      <c r="L45" s="5">
        <v>2</v>
      </c>
      <c r="M45" s="5">
        <v>41</v>
      </c>
      <c r="N45" s="5">
        <v>1057</v>
      </c>
      <c r="O45" s="5">
        <v>2</v>
      </c>
      <c r="P45" s="5">
        <v>3</v>
      </c>
      <c r="Q45" s="5">
        <v>2</v>
      </c>
      <c r="R45" s="5">
        <v>2</v>
      </c>
      <c r="S45" s="5">
        <v>2</v>
      </c>
      <c r="T45" s="5">
        <v>3</v>
      </c>
      <c r="U45" s="2">
        <v>14</v>
      </c>
      <c r="V45" s="2">
        <v>1</v>
      </c>
      <c r="W45" s="5">
        <v>1</v>
      </c>
      <c r="X45" s="5">
        <v>1</v>
      </c>
      <c r="Y45" s="5">
        <v>1</v>
      </c>
      <c r="Z45" s="5">
        <v>2</v>
      </c>
      <c r="AA45" s="5">
        <v>0.5</v>
      </c>
      <c r="AB45" s="5">
        <v>0</v>
      </c>
      <c r="AC45" s="5">
        <v>1</v>
      </c>
      <c r="AD45" s="5">
        <v>2</v>
      </c>
      <c r="AE45" s="5">
        <v>2</v>
      </c>
      <c r="AF45" s="5">
        <v>2</v>
      </c>
      <c r="AG45" s="5">
        <v>1</v>
      </c>
      <c r="AH45" s="5">
        <v>1</v>
      </c>
      <c r="AI45" s="2">
        <v>14.5</v>
      </c>
      <c r="AJ45" s="2">
        <v>28.5</v>
      </c>
      <c r="AK45" s="2">
        <v>1</v>
      </c>
      <c r="AL45" s="2">
        <v>26</v>
      </c>
      <c r="AM45" s="2">
        <v>36</v>
      </c>
      <c r="AN45" t="str">
        <f>IF(OR(G45="",Participant_Data!E45=""),"",IF(Participant_Data!E45&lt;70,IF(ROUND(G45,1)&lt;18.5,"ขาด/เสี่ยงขาด",IF(ROUND(G45,1)&gt;=25,"เสี่ยงเกิน/เกิน","ปกติ")),IF(ROUND(G45,1)&lt;20,"ขาด/เสี่ยงขาด",IF(ROUND(G45,1)&gt;=25,"เสี่ยงเกิน/เกิน","ปกติ"))))</f>
        <v>เสี่ยงเกิน/เกิน</v>
      </c>
      <c r="AO45" t="str">
        <f>IF(OR(I45="",Participant_Data!G45=""),"",IF(Participant_Data!G45=1,IF(ROUND(I45,1)&lt;15,"ขาด/เสี่ยงขาด",IF(ROUND(I45,1)&gt;25,"เสี่ยงเกิน/เกิน","ปกติ")),IF(ROUND(I45,1)&lt;20,"ขาด/เสี่ยงขาด",IF(ROUND(I45,1)&gt;35,"เสี่ยงเกิน/เกิน","ปกติ"))))</f>
        <v>เสี่ยงเกิน/เกิน</v>
      </c>
      <c r="AP45" t="str">
        <f t="shared" si="1"/>
        <v>เสี่ยงเกิน/เกิน</v>
      </c>
    </row>
    <row r="46" spans="1:42">
      <c r="A46" s="2">
        <f>IF(Participant_Data!A46="","",Participant_Data!A46)</f>
        <v>45</v>
      </c>
      <c r="B46" s="2" t="str">
        <f>IF(Participant_Data!B46="","",Participant_Data!B46)</f>
        <v/>
      </c>
      <c r="C46" s="3" t="str">
        <f>IF(Participant_Data!C46="","",Participant_Data!C46)</f>
        <v/>
      </c>
      <c r="D46" s="5"/>
      <c r="E46" s="5">
        <v>154</v>
      </c>
      <c r="F46" s="5">
        <v>65.900000000000006</v>
      </c>
      <c r="G46" s="22">
        <f t="shared" si="0"/>
        <v>27.78714791701805</v>
      </c>
      <c r="H46" s="5">
        <v>26.43</v>
      </c>
      <c r="I46" s="5">
        <v>40.1</v>
      </c>
      <c r="J46" s="5">
        <v>10</v>
      </c>
      <c r="K46" s="5">
        <v>37.15</v>
      </c>
      <c r="L46" s="5">
        <v>2.2999999999999998</v>
      </c>
      <c r="M46" s="5">
        <v>40.6</v>
      </c>
      <c r="N46" s="5">
        <v>1180</v>
      </c>
      <c r="O46" s="5">
        <v>0</v>
      </c>
      <c r="P46" s="5">
        <v>2</v>
      </c>
      <c r="Q46" s="5">
        <v>2</v>
      </c>
      <c r="R46" s="5">
        <v>0</v>
      </c>
      <c r="S46" s="5">
        <v>2</v>
      </c>
      <c r="T46" s="5">
        <v>3</v>
      </c>
      <c r="U46" s="2">
        <v>9</v>
      </c>
      <c r="V46" s="2">
        <v>2</v>
      </c>
      <c r="W46" s="5">
        <v>1</v>
      </c>
      <c r="X46" s="5">
        <v>0</v>
      </c>
      <c r="Y46" s="5">
        <v>1</v>
      </c>
      <c r="Z46" s="5">
        <v>2</v>
      </c>
      <c r="AA46" s="5">
        <v>0.5</v>
      </c>
      <c r="AB46" s="5">
        <v>1</v>
      </c>
      <c r="AC46" s="5">
        <v>1</v>
      </c>
      <c r="AD46" s="5">
        <v>2</v>
      </c>
      <c r="AE46" s="5">
        <v>2</v>
      </c>
      <c r="AF46" s="5">
        <v>1</v>
      </c>
      <c r="AG46" s="5">
        <v>1</v>
      </c>
      <c r="AH46" s="5">
        <v>1</v>
      </c>
      <c r="AI46" s="2">
        <v>13.5</v>
      </c>
      <c r="AJ46" s="2">
        <v>22.5</v>
      </c>
      <c r="AK46" s="2">
        <v>2</v>
      </c>
      <c r="AL46" s="2">
        <v>28</v>
      </c>
      <c r="AM46" s="2">
        <v>35.5</v>
      </c>
      <c r="AN46" t="str">
        <f>IF(OR(G46="",Participant_Data!E46=""),"",IF(Participant_Data!E46&lt;70,IF(ROUND(G46,1)&lt;18.5,"ขาด/เสี่ยงขาด",IF(ROUND(G46,1)&gt;=25,"เสี่ยงเกิน/เกิน","ปกติ")),IF(ROUND(G46,1)&lt;20,"ขาด/เสี่ยงขาด",IF(ROUND(G46,1)&gt;=25,"เสี่ยงเกิน/เกิน","ปกติ"))))</f>
        <v>เสี่ยงเกิน/เกิน</v>
      </c>
      <c r="AO46" t="str">
        <f>IF(OR(I46="",Participant_Data!G46=""),"",IF(Participant_Data!G46=1,IF(ROUND(I46,1)&lt;15,"ขาด/เสี่ยงขาด",IF(ROUND(I46,1)&gt;25,"เสี่ยงเกิน/เกิน","ปกติ")),IF(ROUND(I46,1)&lt;20,"ขาด/เสี่ยงขาด",IF(ROUND(I46,1)&gt;35,"เสี่ยงเกิน/เกิน","ปกติ"))))</f>
        <v>เสี่ยงเกิน/เกิน</v>
      </c>
      <c r="AP46" t="str">
        <f t="shared" si="1"/>
        <v>เสี่ยงเกิน/เกิน</v>
      </c>
    </row>
    <row r="47" spans="1:42">
      <c r="A47" s="2">
        <f>IF(Participant_Data!A47="","",Participant_Data!A47)</f>
        <v>46</v>
      </c>
      <c r="B47" s="2" t="str">
        <f>IF(Participant_Data!B47="","",Participant_Data!B47)</f>
        <v/>
      </c>
      <c r="C47" s="3" t="str">
        <f>IF(Participant_Data!C47="","",Participant_Data!C47)</f>
        <v/>
      </c>
      <c r="D47" s="5"/>
      <c r="E47" s="5">
        <v>155</v>
      </c>
      <c r="F47" s="5">
        <v>53.85</v>
      </c>
      <c r="G47" s="22">
        <f t="shared" si="0"/>
        <v>22.414151925078041</v>
      </c>
      <c r="H47" s="5">
        <v>16.91</v>
      </c>
      <c r="I47" s="5">
        <v>31.4</v>
      </c>
      <c r="J47" s="5">
        <v>7</v>
      </c>
      <c r="K47" s="5">
        <v>34.85</v>
      </c>
      <c r="L47" s="5">
        <v>2.1</v>
      </c>
      <c r="M47" s="5">
        <v>48.4</v>
      </c>
      <c r="N47" s="5">
        <v>1063</v>
      </c>
      <c r="O47" s="5">
        <v>1</v>
      </c>
      <c r="P47" s="5">
        <v>2</v>
      </c>
      <c r="Q47" s="5">
        <v>2</v>
      </c>
      <c r="R47" s="5">
        <v>2</v>
      </c>
      <c r="S47" s="5">
        <v>1</v>
      </c>
      <c r="T47" s="5">
        <v>2</v>
      </c>
      <c r="U47" s="2">
        <v>10</v>
      </c>
      <c r="V47" s="2">
        <v>2</v>
      </c>
      <c r="W47" s="5">
        <v>1</v>
      </c>
      <c r="X47" s="5">
        <v>1</v>
      </c>
      <c r="Y47" s="5">
        <v>1</v>
      </c>
      <c r="Z47" s="5">
        <v>2</v>
      </c>
      <c r="AA47" s="5">
        <v>1</v>
      </c>
      <c r="AB47" s="5">
        <v>1</v>
      </c>
      <c r="AC47" s="5">
        <v>1</v>
      </c>
      <c r="AD47" s="5">
        <v>2</v>
      </c>
      <c r="AE47" s="5">
        <v>0</v>
      </c>
      <c r="AF47" s="5">
        <v>1</v>
      </c>
      <c r="AG47" s="5">
        <v>1</v>
      </c>
      <c r="AH47" s="5">
        <v>1</v>
      </c>
      <c r="AI47" s="2">
        <v>13</v>
      </c>
      <c r="AJ47" s="2">
        <v>23</v>
      </c>
      <c r="AK47" s="2">
        <v>2</v>
      </c>
      <c r="AL47" s="2">
        <v>28.5</v>
      </c>
      <c r="AM47" s="2">
        <v>36</v>
      </c>
      <c r="AN47" t="str">
        <f>IF(OR(G47="",Participant_Data!E47=""),"",IF(Participant_Data!E47&lt;70,IF(ROUND(G47,1)&lt;18.5,"ขาด/เสี่ยงขาด",IF(ROUND(G47,1)&gt;=25,"เสี่ยงเกิน/เกิน","ปกติ")),IF(ROUND(G47,1)&lt;20,"ขาด/เสี่ยงขาด",IF(ROUND(G47,1)&gt;=25,"เสี่ยงเกิน/เกิน","ปกติ"))))</f>
        <v>ปกติ</v>
      </c>
      <c r="AO47" t="str">
        <f>IF(OR(I47="",Participant_Data!G47=""),"",IF(Participant_Data!G47=1,IF(ROUND(I47,1)&lt;15,"ขาด/เสี่ยงขาด",IF(ROUND(I47,1)&gt;25,"เสี่ยงเกิน/เกิน","ปกติ")),IF(ROUND(I47,1)&lt;20,"ขาด/เสี่ยงขาด",IF(ROUND(I47,1)&gt;35,"เสี่ยงเกิน/เกิน","ปกติ"))))</f>
        <v>ปกติ</v>
      </c>
      <c r="AP47" t="str">
        <f t="shared" si="1"/>
        <v>ปกติ</v>
      </c>
    </row>
    <row r="48" spans="1:42">
      <c r="A48" s="2">
        <f>IF(Participant_Data!A48="","",Participant_Data!A48)</f>
        <v>47</v>
      </c>
      <c r="B48" s="2" t="str">
        <f>IF(Participant_Data!B48="","",Participant_Data!B48)</f>
        <v/>
      </c>
      <c r="C48" s="3" t="str">
        <f>IF(Participant_Data!C48="","",Participant_Data!C48)</f>
        <v/>
      </c>
      <c r="D48" s="5"/>
      <c r="E48" s="5">
        <v>158</v>
      </c>
      <c r="F48" s="5">
        <v>62.45</v>
      </c>
      <c r="G48" s="22">
        <f t="shared" si="0"/>
        <v>25.01602307322544</v>
      </c>
      <c r="H48" s="5">
        <v>23.29</v>
      </c>
      <c r="I48" s="5">
        <v>37.299999999999997</v>
      </c>
      <c r="J48" s="5">
        <v>8</v>
      </c>
      <c r="K48" s="5">
        <v>36.9</v>
      </c>
      <c r="L48" s="5">
        <v>2.2999999999999998</v>
      </c>
      <c r="M48" s="5">
        <v>42.1</v>
      </c>
      <c r="N48" s="5">
        <v>1161</v>
      </c>
      <c r="O48" s="5">
        <v>2</v>
      </c>
      <c r="P48" s="5">
        <v>3</v>
      </c>
      <c r="Q48" s="5">
        <v>2</v>
      </c>
      <c r="R48" s="5">
        <v>2</v>
      </c>
      <c r="S48" s="5">
        <v>2</v>
      </c>
      <c r="T48" s="5">
        <v>3</v>
      </c>
      <c r="U48" s="2">
        <v>14</v>
      </c>
      <c r="V48" s="2">
        <v>1</v>
      </c>
      <c r="W48" s="5">
        <v>1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5">
        <v>1</v>
      </c>
      <c r="AD48" s="5">
        <v>2</v>
      </c>
      <c r="AE48" s="5">
        <v>1</v>
      </c>
      <c r="AF48" s="5">
        <v>1</v>
      </c>
      <c r="AG48" s="5">
        <v>1</v>
      </c>
      <c r="AH48" s="5">
        <v>1</v>
      </c>
      <c r="AI48" s="2">
        <v>13</v>
      </c>
      <c r="AJ48" s="2">
        <v>27</v>
      </c>
      <c r="AK48" s="2">
        <v>1</v>
      </c>
      <c r="AL48" s="2">
        <v>29</v>
      </c>
      <c r="AM48" s="2">
        <v>34.5</v>
      </c>
      <c r="AN48" t="str">
        <f>IF(OR(G48="",Participant_Data!E48=""),"",IF(Participant_Data!E48&lt;70,IF(ROUND(G48,1)&lt;18.5,"ขาด/เสี่ยงขาด",IF(ROUND(G48,1)&gt;=25,"เสี่ยงเกิน/เกิน","ปกติ")),IF(ROUND(G48,1)&lt;20,"ขาด/เสี่ยงขาด",IF(ROUND(G48,1)&gt;=25,"เสี่ยงเกิน/เกิน","ปกติ"))))</f>
        <v>เสี่ยงเกิน/เกิน</v>
      </c>
      <c r="AO48" t="str">
        <f>IF(OR(I48="",Participant_Data!G48=""),"",IF(Participant_Data!G48=1,IF(ROUND(I48,1)&lt;15,"ขาด/เสี่ยงขาด",IF(ROUND(I48,1)&gt;25,"เสี่ยงเกิน/เกิน","ปกติ")),IF(ROUND(I48,1)&lt;20,"ขาด/เสี่ยงขาด",IF(ROUND(I48,1)&gt;35,"เสี่ยงเกิน/เกิน","ปกติ"))))</f>
        <v>เสี่ยงเกิน/เกิน</v>
      </c>
      <c r="AP48" t="str">
        <f t="shared" si="1"/>
        <v>เสี่ยงเกิน/เกิน</v>
      </c>
    </row>
    <row r="49" spans="1:42">
      <c r="A49" s="2">
        <f>IF(Participant_Data!A49="","",Participant_Data!A49)</f>
        <v>48</v>
      </c>
      <c r="B49" s="2" t="str">
        <f>IF(Participant_Data!B49="","",Participant_Data!B49)</f>
        <v/>
      </c>
      <c r="C49" s="3" t="str">
        <f>IF(Participant_Data!C49="","",Participant_Data!C49)</f>
        <v/>
      </c>
      <c r="D49" s="5"/>
      <c r="E49" s="5">
        <v>156</v>
      </c>
      <c r="F49" s="5">
        <v>72.25</v>
      </c>
      <c r="G49" s="22">
        <f t="shared" si="0"/>
        <v>29.688527284681129</v>
      </c>
      <c r="H49" s="5">
        <v>30.99</v>
      </c>
      <c r="I49" s="5">
        <v>42.9</v>
      </c>
      <c r="J49" s="5">
        <v>11</v>
      </c>
      <c r="K49" s="5">
        <v>38.799999999999997</v>
      </c>
      <c r="L49" s="5">
        <v>2.4</v>
      </c>
      <c r="M49" s="5">
        <v>37.299999999999997</v>
      </c>
      <c r="N49" s="5">
        <v>1253</v>
      </c>
      <c r="O49" s="5">
        <v>2</v>
      </c>
      <c r="P49" s="5">
        <v>3</v>
      </c>
      <c r="Q49" s="5">
        <v>2</v>
      </c>
      <c r="R49" s="5">
        <v>2</v>
      </c>
      <c r="S49" s="5">
        <v>1</v>
      </c>
      <c r="T49" s="5">
        <v>3</v>
      </c>
      <c r="U49" s="2">
        <v>13</v>
      </c>
      <c r="V49" s="2">
        <v>1</v>
      </c>
      <c r="W49" s="5">
        <v>1</v>
      </c>
      <c r="X49" s="5">
        <v>0</v>
      </c>
      <c r="Y49" s="5">
        <v>1</v>
      </c>
      <c r="Z49" s="5">
        <v>1</v>
      </c>
      <c r="AA49" s="5">
        <v>0.5</v>
      </c>
      <c r="AB49" s="5">
        <v>1</v>
      </c>
      <c r="AC49" s="5">
        <v>1</v>
      </c>
      <c r="AD49" s="5">
        <v>2</v>
      </c>
      <c r="AE49" s="5">
        <v>2</v>
      </c>
      <c r="AF49" s="5">
        <v>2</v>
      </c>
      <c r="AG49" s="5">
        <v>1</v>
      </c>
      <c r="AH49" s="5">
        <v>1</v>
      </c>
      <c r="AI49" s="2">
        <v>13.5</v>
      </c>
      <c r="AJ49" s="2">
        <v>26.5</v>
      </c>
      <c r="AK49" s="2">
        <v>1</v>
      </c>
      <c r="AL49" s="2">
        <v>28.5</v>
      </c>
      <c r="AM49" s="2">
        <v>40</v>
      </c>
      <c r="AN49" t="str">
        <f>IF(OR(G49="",Participant_Data!E49=""),"",IF(Participant_Data!E49&lt;70,IF(ROUND(G49,1)&lt;18.5,"ขาด/เสี่ยงขาด",IF(ROUND(G49,1)&gt;=25,"เสี่ยงเกิน/เกิน","ปกติ")),IF(ROUND(G49,1)&lt;20,"ขาด/เสี่ยงขาด",IF(ROUND(G49,1)&gt;=25,"เสี่ยงเกิน/เกิน","ปกติ"))))</f>
        <v>เสี่ยงเกิน/เกิน</v>
      </c>
      <c r="AO49" t="str">
        <f>IF(OR(I49="",Participant_Data!G49=""),"",IF(Participant_Data!G49=1,IF(ROUND(I49,1)&lt;15,"ขาด/เสี่ยงขาด",IF(ROUND(I49,1)&gt;25,"เสี่ยงเกิน/เกิน","ปกติ")),IF(ROUND(I49,1)&lt;20,"ขาด/เสี่ยงขาด",IF(ROUND(I49,1)&gt;35,"เสี่ยงเกิน/เกิน","ปกติ"))))</f>
        <v>เสี่ยงเกิน/เกิน</v>
      </c>
      <c r="AP49" t="str">
        <f t="shared" si="1"/>
        <v>เสี่ยงเกิน/เกิน</v>
      </c>
    </row>
    <row r="50" spans="1:42">
      <c r="A50" s="2">
        <f>IF(Participant_Data!A50="","",Participant_Data!A50)</f>
        <v>49</v>
      </c>
      <c r="B50" s="2" t="str">
        <f>IF(Participant_Data!B50="","",Participant_Data!B50)</f>
        <v/>
      </c>
      <c r="C50" s="3" t="str">
        <f>IF(Participant_Data!C50="","",Participant_Data!C50)</f>
        <v/>
      </c>
      <c r="D50" s="5"/>
      <c r="E50" s="5">
        <v>148</v>
      </c>
      <c r="F50" s="5">
        <v>43.25</v>
      </c>
      <c r="G50" s="22">
        <f t="shared" si="0"/>
        <v>19.745252008765522</v>
      </c>
      <c r="H50" s="5">
        <v>11.29</v>
      </c>
      <c r="I50" s="5">
        <v>26.1</v>
      </c>
      <c r="J50" s="5">
        <v>4.5</v>
      </c>
      <c r="K50" s="5">
        <v>30.35</v>
      </c>
      <c r="L50" s="5">
        <v>1.6</v>
      </c>
      <c r="M50" s="5">
        <v>49.4</v>
      </c>
      <c r="N50" s="5">
        <v>908</v>
      </c>
      <c r="O50" s="5">
        <v>2</v>
      </c>
      <c r="P50" s="5">
        <v>3</v>
      </c>
      <c r="Q50" s="5">
        <v>2</v>
      </c>
      <c r="R50" s="5">
        <v>2</v>
      </c>
      <c r="S50" s="5">
        <v>2</v>
      </c>
      <c r="T50" s="5">
        <v>1</v>
      </c>
      <c r="U50" s="2">
        <v>12</v>
      </c>
      <c r="V50" s="2">
        <v>1</v>
      </c>
      <c r="W50" s="5">
        <v>1</v>
      </c>
      <c r="X50" s="5">
        <v>1</v>
      </c>
      <c r="Y50" s="5">
        <v>1</v>
      </c>
      <c r="Z50" s="5">
        <v>2</v>
      </c>
      <c r="AA50" s="5">
        <v>1</v>
      </c>
      <c r="AB50" s="5">
        <v>1</v>
      </c>
      <c r="AC50" s="5">
        <v>1</v>
      </c>
      <c r="AD50" s="5">
        <v>2</v>
      </c>
      <c r="AE50" s="5">
        <v>2</v>
      </c>
      <c r="AF50" s="5">
        <v>0.5</v>
      </c>
      <c r="AG50" s="5">
        <v>1</v>
      </c>
      <c r="AH50" s="5">
        <v>0</v>
      </c>
      <c r="AI50" s="2">
        <v>13.5</v>
      </c>
      <c r="AJ50" s="2">
        <v>25.5</v>
      </c>
      <c r="AK50" s="2">
        <v>1</v>
      </c>
      <c r="AL50" s="2">
        <v>24</v>
      </c>
      <c r="AM50" s="2">
        <v>30</v>
      </c>
      <c r="AN50" t="str">
        <f>IF(OR(G50="",Participant_Data!E50=""),"",IF(Participant_Data!E50&lt;70,IF(ROUND(G50,1)&lt;18.5,"ขาด/เสี่ยงขาด",IF(ROUND(G50,1)&gt;=25,"เสี่ยงเกิน/เกิน","ปกติ")),IF(ROUND(G50,1)&lt;20,"ขาด/เสี่ยงขาด",IF(ROUND(G50,1)&gt;=25,"เสี่ยงเกิน/เกิน","ปกติ"))))</f>
        <v>ปกติ</v>
      </c>
      <c r="AO50" t="str">
        <f>IF(OR(I50="",Participant_Data!G50=""),"",IF(Participant_Data!G50=1,IF(ROUND(I50,1)&lt;15,"ขาด/เสี่ยงขาด",IF(ROUND(I50,1)&gt;25,"เสี่ยงเกิน/เกิน","ปกติ")),IF(ROUND(I50,1)&lt;20,"ขาด/เสี่ยงขาด",IF(ROUND(I50,1)&gt;35,"เสี่ยงเกิน/เกิน","ปกติ"))))</f>
        <v>ปกติ</v>
      </c>
      <c r="AP50" t="str">
        <f t="shared" si="1"/>
        <v>ปกติ</v>
      </c>
    </row>
    <row r="51" spans="1:42">
      <c r="A51" s="2">
        <f>IF(Participant_Data!A51="","",Participant_Data!A51)</f>
        <v>50</v>
      </c>
      <c r="B51" s="2" t="str">
        <f>IF(Participant_Data!B51="","",Participant_Data!B51)</f>
        <v/>
      </c>
      <c r="C51" s="3" t="str">
        <f>IF(Participant_Data!C51="","",Participant_Data!C51)</f>
        <v/>
      </c>
      <c r="D51" s="5"/>
      <c r="E51" s="5">
        <v>155</v>
      </c>
      <c r="F51" s="5">
        <v>58.35</v>
      </c>
      <c r="G51" s="22">
        <f t="shared" si="0"/>
        <v>24.28720083246618</v>
      </c>
      <c r="H51" s="5">
        <v>19.14</v>
      </c>
      <c r="I51" s="5">
        <v>32.799999999999997</v>
      </c>
      <c r="J51" s="5">
        <v>8</v>
      </c>
      <c r="K51" s="5">
        <v>36.950000000000003</v>
      </c>
      <c r="L51" s="5">
        <v>2.2999999999999998</v>
      </c>
      <c r="M51" s="5">
        <v>45.6</v>
      </c>
      <c r="N51" s="5">
        <v>1136</v>
      </c>
      <c r="O51" s="5">
        <v>2</v>
      </c>
      <c r="P51" s="5">
        <v>3</v>
      </c>
      <c r="Q51" s="5">
        <v>2</v>
      </c>
      <c r="R51" s="5">
        <v>2</v>
      </c>
      <c r="S51" s="5">
        <v>2</v>
      </c>
      <c r="T51" s="5">
        <v>3</v>
      </c>
      <c r="U51" s="2">
        <v>14</v>
      </c>
      <c r="V51" s="2">
        <v>1</v>
      </c>
      <c r="W51" s="5">
        <v>1</v>
      </c>
      <c r="X51" s="5">
        <v>1</v>
      </c>
      <c r="Y51" s="5">
        <v>1</v>
      </c>
      <c r="Z51" s="5">
        <v>2</v>
      </c>
      <c r="AA51" s="5">
        <v>0.5</v>
      </c>
      <c r="AB51" s="5">
        <v>1</v>
      </c>
      <c r="AC51" s="5">
        <v>1</v>
      </c>
      <c r="AD51" s="5">
        <v>2</v>
      </c>
      <c r="AE51" s="5">
        <v>2</v>
      </c>
      <c r="AF51" s="5">
        <v>2</v>
      </c>
      <c r="AG51" s="5">
        <v>1</v>
      </c>
      <c r="AH51" s="5">
        <v>1</v>
      </c>
      <c r="AI51" s="2">
        <v>15.5</v>
      </c>
      <c r="AJ51" s="2">
        <v>29.5</v>
      </c>
      <c r="AK51" s="2">
        <v>1</v>
      </c>
      <c r="AL51" s="2">
        <v>29</v>
      </c>
      <c r="AM51" s="2">
        <v>36</v>
      </c>
      <c r="AN51" t="str">
        <f>IF(OR(G51="",Participant_Data!E51=""),"",IF(Participant_Data!E51&lt;70,IF(ROUND(G51,1)&lt;18.5,"ขาด/เสี่ยงขาด",IF(ROUND(G51,1)&gt;=25,"เสี่ยงเกิน/เกิน","ปกติ")),IF(ROUND(G51,1)&lt;20,"ขาด/เสี่ยงขาด",IF(ROUND(G51,1)&gt;=25,"เสี่ยงเกิน/เกิน","ปกติ"))))</f>
        <v>ปกติ</v>
      </c>
      <c r="AO51" t="str">
        <f>IF(OR(I51="",Participant_Data!G51=""),"",IF(Participant_Data!G51=1,IF(ROUND(I51,1)&lt;15,"ขาด/เสี่ยงขาด",IF(ROUND(I51,1)&gt;25,"เสี่ยงเกิน/เกิน","ปกติ")),IF(ROUND(I51,1)&lt;20,"ขาด/เสี่ยงขาด",IF(ROUND(I51,1)&gt;35,"เสี่ยงเกิน/เกิน","ปกติ"))))</f>
        <v>ปกติ</v>
      </c>
      <c r="AP51" t="str">
        <f t="shared" si="1"/>
        <v>ปกติ</v>
      </c>
    </row>
    <row r="52" spans="1:42">
      <c r="A52" s="2">
        <f>IF(Participant_Data!A52="","",Participant_Data!A52)</f>
        <v>51</v>
      </c>
      <c r="B52" s="2" t="str">
        <f>IF(Participant_Data!B52="","",Participant_Data!B52)</f>
        <v/>
      </c>
      <c r="C52" s="3" t="str">
        <f>IF(Participant_Data!C52="","",Participant_Data!C52)</f>
        <v/>
      </c>
      <c r="D52" s="5"/>
      <c r="E52" s="5">
        <v>160</v>
      </c>
      <c r="F52" s="5">
        <v>47.6</v>
      </c>
      <c r="G52" s="22">
        <f t="shared" si="0"/>
        <v>18.593749999999996</v>
      </c>
      <c r="H52" s="5">
        <v>13.71</v>
      </c>
      <c r="I52" s="5">
        <v>28.8</v>
      </c>
      <c r="J52" s="5">
        <v>4.5</v>
      </c>
      <c r="K52" s="5">
        <v>32.1</v>
      </c>
      <c r="L52" s="5">
        <v>1.8</v>
      </c>
      <c r="M52" s="5">
        <v>46.4</v>
      </c>
      <c r="N52" s="5">
        <v>971</v>
      </c>
      <c r="O52" s="5">
        <v>1</v>
      </c>
      <c r="P52" s="5">
        <v>2</v>
      </c>
      <c r="Q52" s="5">
        <v>2</v>
      </c>
      <c r="R52" s="5">
        <v>2</v>
      </c>
      <c r="S52" s="5">
        <v>2</v>
      </c>
      <c r="T52" s="5">
        <v>0</v>
      </c>
      <c r="U52" s="2">
        <v>9</v>
      </c>
      <c r="V52" s="2">
        <v>2</v>
      </c>
      <c r="W52" s="5">
        <v>1</v>
      </c>
      <c r="X52" s="5">
        <v>1</v>
      </c>
      <c r="Y52" s="5">
        <v>1</v>
      </c>
      <c r="Z52" s="5">
        <v>2</v>
      </c>
      <c r="AA52" s="5">
        <v>0</v>
      </c>
      <c r="AB52" s="5">
        <v>1</v>
      </c>
      <c r="AC52" s="5">
        <v>1</v>
      </c>
      <c r="AD52" s="5">
        <v>2</v>
      </c>
      <c r="AE52" s="5">
        <v>2</v>
      </c>
      <c r="AF52" s="5">
        <v>0.5</v>
      </c>
      <c r="AG52" s="5">
        <v>1</v>
      </c>
      <c r="AH52" s="5">
        <v>0</v>
      </c>
      <c r="AI52" s="2">
        <v>12.5</v>
      </c>
      <c r="AJ52" s="2">
        <v>21.5</v>
      </c>
      <c r="AK52" s="2">
        <v>2</v>
      </c>
      <c r="AL52" s="2">
        <v>23</v>
      </c>
      <c r="AM52" s="2">
        <v>30</v>
      </c>
      <c r="AN52" t="str">
        <f>IF(OR(G52="",Participant_Data!E52=""),"",IF(Participant_Data!E52&lt;70,IF(ROUND(G52,1)&lt;18.5,"ขาด/เสี่ยงขาด",IF(ROUND(G52,1)&gt;=25,"เสี่ยงเกิน/เกิน","ปกติ")),IF(ROUND(G52,1)&lt;20,"ขาด/เสี่ยงขาด",IF(ROUND(G52,1)&gt;=25,"เสี่ยงเกิน/เกิน","ปกติ"))))</f>
        <v>ปกติ</v>
      </c>
      <c r="AO52" t="str">
        <f>IF(OR(I52="",Participant_Data!G52=""),"",IF(Participant_Data!G52=1,IF(ROUND(I52,1)&lt;15,"ขาด/เสี่ยงขาด",IF(ROUND(I52,1)&gt;25,"เสี่ยงเกิน/เกิน","ปกติ")),IF(ROUND(I52,1)&lt;20,"ขาด/เสี่ยงขาด",IF(ROUND(I52,1)&gt;35,"เสี่ยงเกิน/เกิน","ปกติ"))))</f>
        <v>ปกติ</v>
      </c>
      <c r="AP52" t="str">
        <f t="shared" si="1"/>
        <v>ปกติ</v>
      </c>
    </row>
    <row r="53" spans="1:42">
      <c r="A53" s="2">
        <f>IF(Participant_Data!A53="","",Participant_Data!A53)</f>
        <v>52</v>
      </c>
      <c r="B53" s="2" t="str">
        <f>IF(Participant_Data!B53="","",Participant_Data!B53)</f>
        <v/>
      </c>
      <c r="C53" s="3" t="str">
        <f>IF(Participant_Data!C53="","",Participant_Data!C53)</f>
        <v/>
      </c>
      <c r="D53" s="5"/>
      <c r="E53" s="5">
        <v>163</v>
      </c>
      <c r="F53" s="5">
        <v>67</v>
      </c>
      <c r="G53" s="22">
        <f t="shared" si="0"/>
        <v>25.217358575783809</v>
      </c>
      <c r="H53" s="5">
        <v>25.06</v>
      </c>
      <c r="I53" s="5">
        <v>37.4</v>
      </c>
      <c r="J53" s="5">
        <v>8</v>
      </c>
      <c r="K53" s="5">
        <v>39.450000000000003</v>
      </c>
      <c r="L53" s="5">
        <v>2.5</v>
      </c>
      <c r="M53" s="5">
        <v>45.4</v>
      </c>
      <c r="N53" s="5">
        <v>1249</v>
      </c>
      <c r="O53" s="5">
        <v>1</v>
      </c>
      <c r="P53" s="5">
        <v>2</v>
      </c>
      <c r="Q53" s="5">
        <v>2</v>
      </c>
      <c r="R53" s="5">
        <v>2</v>
      </c>
      <c r="S53" s="5">
        <v>2</v>
      </c>
      <c r="T53" s="5">
        <v>3</v>
      </c>
      <c r="U53" s="2">
        <v>12</v>
      </c>
      <c r="V53" s="2">
        <v>1</v>
      </c>
      <c r="W53" s="5">
        <v>1</v>
      </c>
      <c r="X53" s="5">
        <v>1</v>
      </c>
      <c r="Y53" s="5">
        <v>1</v>
      </c>
      <c r="Z53" s="5">
        <v>1</v>
      </c>
      <c r="AA53" s="5">
        <v>0</v>
      </c>
      <c r="AB53" s="5">
        <v>1</v>
      </c>
      <c r="AC53" s="5">
        <v>1</v>
      </c>
      <c r="AD53" s="5">
        <v>2</v>
      </c>
      <c r="AE53" s="5">
        <v>2</v>
      </c>
      <c r="AF53" s="5">
        <v>1</v>
      </c>
      <c r="AG53" s="5">
        <v>1</v>
      </c>
      <c r="AH53" s="5">
        <v>1</v>
      </c>
      <c r="AI53" s="2">
        <v>13</v>
      </c>
      <c r="AJ53" s="2">
        <v>25</v>
      </c>
      <c r="AK53" s="2">
        <v>1</v>
      </c>
      <c r="AL53" s="2">
        <v>31</v>
      </c>
      <c r="AM53" s="2">
        <v>34</v>
      </c>
      <c r="AN53" t="str">
        <f>IF(OR(G53="",Participant_Data!E53=""),"",IF(Participant_Data!E53&lt;70,IF(ROUND(G53,1)&lt;18.5,"ขาด/เสี่ยงขาด",IF(ROUND(G53,1)&gt;=25,"เสี่ยงเกิน/เกิน","ปกติ")),IF(ROUND(G53,1)&lt;20,"ขาด/เสี่ยงขาด",IF(ROUND(G53,1)&gt;=25,"เสี่ยงเกิน/เกิน","ปกติ"))))</f>
        <v>เสี่ยงเกิน/เกิน</v>
      </c>
      <c r="AO53" t="str">
        <f>IF(OR(I53="",Participant_Data!G53=""),"",IF(Participant_Data!G53=1,IF(ROUND(I53,1)&lt;15,"ขาด/เสี่ยงขาด",IF(ROUND(I53,1)&gt;25,"เสี่ยงเกิน/เกิน","ปกติ")),IF(ROUND(I53,1)&lt;20,"ขาด/เสี่ยงขาด",IF(ROUND(I53,1)&gt;35,"เสี่ยงเกิน/เกิน","ปกติ"))))</f>
        <v>เสี่ยงเกิน/เกิน</v>
      </c>
      <c r="AP53" t="str">
        <f t="shared" si="1"/>
        <v>เสี่ยงเกิน/เกิน</v>
      </c>
    </row>
    <row r="54" spans="1:42">
      <c r="A54" s="2">
        <f>IF(Participant_Data!A54="","",Participant_Data!A54)</f>
        <v>53</v>
      </c>
      <c r="B54" s="2" t="str">
        <f>IF(Participant_Data!B54="","",Participant_Data!B54)</f>
        <v/>
      </c>
      <c r="C54" s="3" t="str">
        <f>IF(Participant_Data!C54="","",Participant_Data!C54)</f>
        <v/>
      </c>
      <c r="D54" s="5"/>
      <c r="E54" s="5">
        <v>162</v>
      </c>
      <c r="F54" s="5">
        <v>61.55</v>
      </c>
      <c r="G54" s="22">
        <f t="shared" si="0"/>
        <v>23.452979728699887</v>
      </c>
      <c r="H54" s="5">
        <v>14.46</v>
      </c>
      <c r="I54" s="5">
        <v>33.700000000000003</v>
      </c>
      <c r="J54" s="5">
        <v>7.5</v>
      </c>
      <c r="K54" s="5">
        <v>38.4</v>
      </c>
      <c r="L54" s="5">
        <v>2.4</v>
      </c>
      <c r="M54" s="5">
        <v>44.2</v>
      </c>
      <c r="N54" s="5">
        <v>1188</v>
      </c>
      <c r="O54" s="5">
        <v>2</v>
      </c>
      <c r="P54" s="5">
        <v>2</v>
      </c>
      <c r="Q54" s="5">
        <v>2</v>
      </c>
      <c r="R54" s="5">
        <v>2</v>
      </c>
      <c r="S54" s="5">
        <v>1</v>
      </c>
      <c r="T54" s="5">
        <v>3</v>
      </c>
      <c r="U54" s="2">
        <v>12</v>
      </c>
      <c r="V54" s="2">
        <v>1</v>
      </c>
      <c r="W54" s="5">
        <v>1</v>
      </c>
      <c r="X54" s="5">
        <v>1</v>
      </c>
      <c r="Y54" s="5">
        <v>1</v>
      </c>
      <c r="Z54" s="5">
        <v>2</v>
      </c>
      <c r="AA54" s="5">
        <v>0.5</v>
      </c>
      <c r="AB54" s="5">
        <v>1</v>
      </c>
      <c r="AC54" s="5">
        <v>1</v>
      </c>
      <c r="AD54" s="5">
        <v>2</v>
      </c>
      <c r="AE54" s="5">
        <v>2</v>
      </c>
      <c r="AF54" s="5">
        <v>2</v>
      </c>
      <c r="AG54" s="5">
        <v>1</v>
      </c>
      <c r="AH54" s="5">
        <v>1</v>
      </c>
      <c r="AI54" s="2">
        <v>15.5</v>
      </c>
      <c r="AJ54" s="2">
        <v>27.5</v>
      </c>
      <c r="AK54" s="2">
        <v>1</v>
      </c>
      <c r="AL54" s="2">
        <v>27</v>
      </c>
      <c r="AM54" s="2">
        <v>31</v>
      </c>
      <c r="AN54" t="str">
        <f>IF(OR(G54="",Participant_Data!E54=""),"",IF(Participant_Data!E54&lt;70,IF(ROUND(G54,1)&lt;18.5,"ขาด/เสี่ยงขาด",IF(ROUND(G54,1)&gt;=25,"เสี่ยงเกิน/เกิน","ปกติ")),IF(ROUND(G54,1)&lt;20,"ขาด/เสี่ยงขาด",IF(ROUND(G54,1)&gt;=25,"เสี่ยงเกิน/เกิน","ปกติ"))))</f>
        <v>ปกติ</v>
      </c>
      <c r="AO54" t="str">
        <f>IF(OR(I54="",Participant_Data!G54=""),"",IF(Participant_Data!G54=1,IF(ROUND(I54,1)&lt;15,"ขาด/เสี่ยงขาด",IF(ROUND(I54,1)&gt;25,"เสี่ยงเกิน/เกิน","ปกติ")),IF(ROUND(I54,1)&lt;20,"ขาด/เสี่ยงขาด",IF(ROUND(I54,1)&gt;35,"เสี่ยงเกิน/เกิน","ปกติ"))))</f>
        <v>ปกติ</v>
      </c>
      <c r="AP54" t="str">
        <f t="shared" si="1"/>
        <v>ปกติ</v>
      </c>
    </row>
    <row r="55" spans="1:42">
      <c r="A55" s="2">
        <f>IF(Participant_Data!A55="","",Participant_Data!A55)</f>
        <v>54</v>
      </c>
      <c r="B55" s="2" t="str">
        <f>IF(Participant_Data!B55="","",Participant_Data!B55)</f>
        <v/>
      </c>
      <c r="C55" s="3" t="str">
        <f>IF(Participant_Data!C55="","",Participant_Data!C55)</f>
        <v/>
      </c>
      <c r="D55" s="5"/>
      <c r="E55" s="5">
        <v>155</v>
      </c>
      <c r="F55" s="5">
        <v>69.900000000000006</v>
      </c>
      <c r="G55" s="22">
        <f t="shared" si="0"/>
        <v>29.094693028095733</v>
      </c>
      <c r="H55" s="5">
        <v>20.34</v>
      </c>
      <c r="I55" s="5">
        <v>41.4</v>
      </c>
      <c r="J55" s="5">
        <v>10</v>
      </c>
      <c r="K55" s="5">
        <v>38.549999999999997</v>
      </c>
      <c r="L55" s="5">
        <v>2.4</v>
      </c>
      <c r="M55" s="5">
        <v>45.9</v>
      </c>
      <c r="N55" s="5">
        <v>1238</v>
      </c>
      <c r="O55" s="5">
        <v>1</v>
      </c>
      <c r="P55" s="5">
        <v>1</v>
      </c>
      <c r="Q55" s="5">
        <v>2</v>
      </c>
      <c r="R55" s="5">
        <v>2</v>
      </c>
      <c r="S55" s="5">
        <v>1</v>
      </c>
      <c r="T55" s="5">
        <v>3</v>
      </c>
      <c r="U55" s="2">
        <v>10</v>
      </c>
      <c r="V55" s="2">
        <v>2</v>
      </c>
      <c r="W55" s="5">
        <v>1</v>
      </c>
      <c r="X55" s="5">
        <v>0</v>
      </c>
      <c r="Y55" s="5">
        <v>1</v>
      </c>
      <c r="Z55" s="5">
        <v>1</v>
      </c>
      <c r="AA55" s="5">
        <v>0.5</v>
      </c>
      <c r="AB55" s="5">
        <v>1</v>
      </c>
      <c r="AC55" s="5">
        <v>1</v>
      </c>
      <c r="AD55" s="5">
        <v>2</v>
      </c>
      <c r="AE55" s="5">
        <v>1</v>
      </c>
      <c r="AF55" s="5">
        <v>1</v>
      </c>
      <c r="AG55" s="5">
        <v>1</v>
      </c>
      <c r="AH55" s="5">
        <v>1</v>
      </c>
      <c r="AI55" s="2">
        <v>11.5</v>
      </c>
      <c r="AJ55" s="2">
        <v>21.5</v>
      </c>
      <c r="AK55" s="2">
        <v>2</v>
      </c>
      <c r="AL55" s="2">
        <v>31</v>
      </c>
      <c r="AM55" s="2">
        <v>40</v>
      </c>
      <c r="AN55" t="str">
        <f>IF(OR(G55="",Participant_Data!E55=""),"",IF(Participant_Data!E55&lt;70,IF(ROUND(G55,1)&lt;18.5,"ขาด/เสี่ยงขาด",IF(ROUND(G55,1)&gt;=25,"เสี่ยงเกิน/เกิน","ปกติ")),IF(ROUND(G55,1)&lt;20,"ขาด/เสี่ยงขาด",IF(ROUND(G55,1)&gt;=25,"เสี่ยงเกิน/เกิน","ปกติ"))))</f>
        <v>เสี่ยงเกิน/เกิน</v>
      </c>
      <c r="AO55" t="str">
        <f>IF(OR(I55="",Participant_Data!G55=""),"",IF(Participant_Data!G55=1,IF(ROUND(I55,1)&lt;15,"ขาด/เสี่ยงขาด",IF(ROUND(I55,1)&gt;25,"เสี่ยงเกิน/เกิน","ปกติ")),IF(ROUND(I55,1)&lt;20,"ขาด/เสี่ยงขาด",IF(ROUND(I55,1)&gt;35,"เสี่ยงเกิน/เกิน","ปกติ"))))</f>
        <v>เสี่ยงเกิน/เกิน</v>
      </c>
      <c r="AP55" t="str">
        <f t="shared" si="1"/>
        <v>เสี่ยงเกิน/เกิน</v>
      </c>
    </row>
    <row r="56" spans="1:42">
      <c r="A56" s="2">
        <f>IF(Participant_Data!A56="","",Participant_Data!A56)</f>
        <v>55</v>
      </c>
      <c r="B56" s="2" t="str">
        <f>IF(Participant_Data!B56="","",Participant_Data!B56)</f>
        <v/>
      </c>
      <c r="C56" s="3" t="str">
        <f>IF(Participant_Data!C56="","",Participant_Data!C56)</f>
        <v/>
      </c>
      <c r="D56" s="5"/>
      <c r="E56" s="5">
        <v>160</v>
      </c>
      <c r="F56" s="5">
        <v>90.6</v>
      </c>
      <c r="G56" s="22">
        <f t="shared" si="0"/>
        <v>35.390624999999993</v>
      </c>
      <c r="H56" s="5">
        <v>42.22</v>
      </c>
      <c r="I56" s="5">
        <v>46.6</v>
      </c>
      <c r="J56" s="5">
        <v>13.5</v>
      </c>
      <c r="K56" s="5">
        <v>45.3</v>
      </c>
      <c r="L56" s="5">
        <v>3.1</v>
      </c>
      <c r="M56" s="5">
        <v>38.200000000000003</v>
      </c>
      <c r="N56" s="5">
        <v>1521</v>
      </c>
      <c r="O56" s="5">
        <v>2</v>
      </c>
      <c r="P56" s="5">
        <v>3</v>
      </c>
      <c r="Q56" s="5">
        <v>2</v>
      </c>
      <c r="R56" s="5">
        <v>2</v>
      </c>
      <c r="S56" s="5">
        <v>2</v>
      </c>
      <c r="T56" s="5">
        <v>3</v>
      </c>
      <c r="U56" s="2">
        <v>14</v>
      </c>
      <c r="V56" s="2">
        <v>1</v>
      </c>
      <c r="W56" s="5">
        <v>1</v>
      </c>
      <c r="X56" s="5">
        <v>1</v>
      </c>
      <c r="Y56" s="5">
        <v>1</v>
      </c>
      <c r="Z56" s="5">
        <v>2</v>
      </c>
      <c r="AA56" s="5">
        <v>0</v>
      </c>
      <c r="AB56" s="5">
        <v>1</v>
      </c>
      <c r="AC56" s="5">
        <v>1</v>
      </c>
      <c r="AD56" s="5">
        <v>2</v>
      </c>
      <c r="AE56" s="5">
        <v>2</v>
      </c>
      <c r="AF56" s="5">
        <v>1</v>
      </c>
      <c r="AG56" s="5">
        <v>1</v>
      </c>
      <c r="AH56" s="5">
        <v>1</v>
      </c>
      <c r="AI56" s="2">
        <v>14</v>
      </c>
      <c r="AJ56" s="2">
        <v>28</v>
      </c>
      <c r="AK56" s="2">
        <v>1</v>
      </c>
      <c r="AL56" s="2">
        <v>37</v>
      </c>
      <c r="AM56" s="2">
        <v>41</v>
      </c>
      <c r="AN56" t="str">
        <f>IF(OR(G56="",Participant_Data!E56=""),"",IF(Participant_Data!E56&lt;70,IF(ROUND(G56,1)&lt;18.5,"ขาด/เสี่ยงขาด",IF(ROUND(G56,1)&gt;=25,"เสี่ยงเกิน/เกิน","ปกติ")),IF(ROUND(G56,1)&lt;20,"ขาด/เสี่ยงขาด",IF(ROUND(G56,1)&gt;=25,"เสี่ยงเกิน/เกิน","ปกติ"))))</f>
        <v>เสี่ยงเกิน/เกิน</v>
      </c>
      <c r="AO56" t="str">
        <f>IF(OR(I56="",Participant_Data!G56=""),"",IF(Participant_Data!G56=1,IF(ROUND(I56,1)&lt;15,"ขาด/เสี่ยงขาด",IF(ROUND(I56,1)&gt;25,"เสี่ยงเกิน/เกิน","ปกติ")),IF(ROUND(I56,1)&lt;20,"ขาด/เสี่ยงขาด",IF(ROUND(I56,1)&gt;35,"เสี่ยงเกิน/เกิน","ปกติ"))))</f>
        <v>เสี่ยงเกิน/เกิน</v>
      </c>
      <c r="AP56" t="str">
        <f t="shared" si="1"/>
        <v>เสี่ยงเกิน/เกิน</v>
      </c>
    </row>
    <row r="57" spans="1:42">
      <c r="A57" s="2">
        <f>IF(Participant_Data!A57="","",Participant_Data!A57)</f>
        <v>56</v>
      </c>
      <c r="B57" s="2" t="str">
        <f>IF(Participant_Data!B57="","",Participant_Data!B57)</f>
        <v/>
      </c>
      <c r="C57" s="3" t="str">
        <f>IF(Participant_Data!C57="","",Participant_Data!C57)</f>
        <v/>
      </c>
      <c r="D57" s="5"/>
      <c r="E57" s="5">
        <v>152</v>
      </c>
      <c r="F57" s="5">
        <v>69.599999999999994</v>
      </c>
      <c r="G57" s="22">
        <f t="shared" si="0"/>
        <v>30.124653739612185</v>
      </c>
      <c r="H57" s="5">
        <v>26.66</v>
      </c>
      <c r="I57" s="5">
        <v>38.200000000000003</v>
      </c>
      <c r="J57" s="5">
        <v>10.5</v>
      </c>
      <c r="K57" s="5">
        <v>40.299999999999997</v>
      </c>
      <c r="L57" s="5">
        <v>2.6</v>
      </c>
      <c r="M57" s="5">
        <v>40.700000000000003</v>
      </c>
      <c r="N57" s="5">
        <v>1280</v>
      </c>
      <c r="O57" s="5">
        <v>2</v>
      </c>
      <c r="P57" s="5">
        <v>3</v>
      </c>
      <c r="Q57" s="5">
        <v>2</v>
      </c>
      <c r="R57" s="5">
        <v>2</v>
      </c>
      <c r="S57" s="5">
        <v>1</v>
      </c>
      <c r="T57" s="5">
        <v>3</v>
      </c>
      <c r="U57" s="2">
        <v>13</v>
      </c>
      <c r="V57" s="2">
        <v>1</v>
      </c>
      <c r="W57" s="5">
        <v>1</v>
      </c>
      <c r="X57" s="5">
        <v>1</v>
      </c>
      <c r="Y57" s="5">
        <v>1</v>
      </c>
      <c r="Z57" s="5">
        <v>0</v>
      </c>
      <c r="AA57" s="5">
        <v>0.5</v>
      </c>
      <c r="AB57" s="5">
        <v>1</v>
      </c>
      <c r="AC57" s="5">
        <v>1</v>
      </c>
      <c r="AD57" s="5">
        <v>2</v>
      </c>
      <c r="AE57" s="5">
        <v>2</v>
      </c>
      <c r="AF57" s="5">
        <v>1</v>
      </c>
      <c r="AG57" s="5">
        <v>1</v>
      </c>
      <c r="AH57" s="5">
        <v>1</v>
      </c>
      <c r="AI57" s="2">
        <v>12.5</v>
      </c>
      <c r="AJ57" s="2">
        <v>25.5</v>
      </c>
      <c r="AK57" s="2">
        <v>1</v>
      </c>
      <c r="AL57" s="2">
        <v>29</v>
      </c>
      <c r="AM57" s="2">
        <v>37.5</v>
      </c>
      <c r="AN57" t="str">
        <f>IF(OR(G57="",Participant_Data!E57=""),"",IF(Participant_Data!E57&lt;70,IF(ROUND(G57,1)&lt;18.5,"ขาด/เสี่ยงขาด",IF(ROUND(G57,1)&gt;=25,"เสี่ยงเกิน/เกิน","ปกติ")),IF(ROUND(G57,1)&lt;20,"ขาด/เสี่ยงขาด",IF(ROUND(G57,1)&gt;=25,"เสี่ยงเกิน/เกิน","ปกติ"))))</f>
        <v>เสี่ยงเกิน/เกิน</v>
      </c>
      <c r="AO57" t="str">
        <f>IF(OR(I57="",Participant_Data!G57=""),"",IF(Participant_Data!G57=1,IF(ROUND(I57,1)&lt;15,"ขาด/เสี่ยงขาด",IF(ROUND(I57,1)&gt;25,"เสี่ยงเกิน/เกิน","ปกติ")),IF(ROUND(I57,1)&lt;20,"ขาด/เสี่ยงขาด",IF(ROUND(I57,1)&gt;35,"เสี่ยงเกิน/เกิน","ปกติ"))))</f>
        <v>เสี่ยงเกิน/เกิน</v>
      </c>
      <c r="AP57" t="str">
        <f t="shared" si="1"/>
        <v>เสี่ยงเกิน/เกิน</v>
      </c>
    </row>
    <row r="58" spans="1:42">
      <c r="A58" s="2">
        <f>IF(Participant_Data!A58="","",Participant_Data!A58)</f>
        <v>57</v>
      </c>
      <c r="B58" s="2" t="str">
        <f>IF(Participant_Data!B58="","",Participant_Data!B58)</f>
        <v/>
      </c>
      <c r="C58" s="3" t="str">
        <f>IF(Participant_Data!C58="","",Participant_Data!C58)</f>
        <v/>
      </c>
      <c r="D58" s="5"/>
      <c r="E58" s="5">
        <v>154</v>
      </c>
      <c r="F58" s="5">
        <v>56.9</v>
      </c>
      <c r="G58" s="22">
        <f t="shared" si="0"/>
        <v>23.992241524709058</v>
      </c>
      <c r="H58" s="5">
        <v>19.690000000000001</v>
      </c>
      <c r="I58" s="5">
        <v>34.6</v>
      </c>
      <c r="J58" s="5">
        <v>7.5</v>
      </c>
      <c r="K58" s="5">
        <v>35.15</v>
      </c>
      <c r="L58" s="5">
        <v>2.1</v>
      </c>
      <c r="M58" s="5">
        <v>48.3</v>
      </c>
      <c r="N58" s="5">
        <v>1087</v>
      </c>
      <c r="O58" s="5">
        <v>2</v>
      </c>
      <c r="P58" s="5">
        <v>3</v>
      </c>
      <c r="Q58" s="5">
        <v>2</v>
      </c>
      <c r="R58" s="5">
        <v>2</v>
      </c>
      <c r="S58" s="5">
        <v>2</v>
      </c>
      <c r="T58" s="5">
        <v>3</v>
      </c>
      <c r="U58" s="2">
        <v>14</v>
      </c>
      <c r="V58" s="2">
        <v>1</v>
      </c>
      <c r="W58" s="5">
        <v>1</v>
      </c>
      <c r="X58" s="5">
        <v>1</v>
      </c>
      <c r="Y58" s="5">
        <v>1</v>
      </c>
      <c r="Z58" s="5">
        <v>2</v>
      </c>
      <c r="AA58" s="5">
        <v>0.5</v>
      </c>
      <c r="AB58" s="5">
        <v>1</v>
      </c>
      <c r="AC58" s="5">
        <v>0.5</v>
      </c>
      <c r="AD58" s="5">
        <v>2</v>
      </c>
      <c r="AE58" s="5">
        <v>2</v>
      </c>
      <c r="AF58" s="5">
        <v>2</v>
      </c>
      <c r="AG58" s="5">
        <v>1</v>
      </c>
      <c r="AH58" s="5">
        <v>1</v>
      </c>
      <c r="AI58" s="2">
        <v>15</v>
      </c>
      <c r="AJ58" s="2">
        <v>29</v>
      </c>
      <c r="AK58" s="2">
        <v>1</v>
      </c>
      <c r="AL58" s="2">
        <v>30</v>
      </c>
      <c r="AM58" s="2">
        <v>31</v>
      </c>
      <c r="AN58" t="str">
        <f>IF(OR(G58="",Participant_Data!E58=""),"",IF(Participant_Data!E58&lt;70,IF(ROUND(G58,1)&lt;18.5,"ขาด/เสี่ยงขาด",IF(ROUND(G58,1)&gt;=25,"เสี่ยงเกิน/เกิน","ปกติ")),IF(ROUND(G58,1)&lt;20,"ขาด/เสี่ยงขาด",IF(ROUND(G58,1)&gt;=25,"เสี่ยงเกิน/เกิน","ปกติ"))))</f>
        <v>ปกติ</v>
      </c>
      <c r="AO58" t="str">
        <f>IF(OR(I58="",Participant_Data!G58=""),"",IF(Participant_Data!G58=1,IF(ROUND(I58,1)&lt;15,"ขาด/เสี่ยงขาด",IF(ROUND(I58,1)&gt;25,"เสี่ยงเกิน/เกิน","ปกติ")),IF(ROUND(I58,1)&lt;20,"ขาด/เสี่ยงขาด",IF(ROUND(I58,1)&gt;35,"เสี่ยงเกิน/เกิน","ปกติ"))))</f>
        <v>ปกติ</v>
      </c>
      <c r="AP58" t="str">
        <f t="shared" si="1"/>
        <v>ปกติ</v>
      </c>
    </row>
    <row r="59" spans="1:42">
      <c r="A59" s="2">
        <f>IF(Participant_Data!A59="","",Participant_Data!A59)</f>
        <v>58</v>
      </c>
      <c r="B59" s="2" t="str">
        <f>IF(Participant_Data!B59="","",Participant_Data!B59)</f>
        <v/>
      </c>
      <c r="C59" s="3" t="str">
        <f>IF(Participant_Data!C59="","",Participant_Data!C59)</f>
        <v/>
      </c>
      <c r="D59" s="5"/>
      <c r="E59" s="5">
        <v>160</v>
      </c>
      <c r="F59" s="5">
        <v>67.5</v>
      </c>
      <c r="G59" s="22">
        <f t="shared" si="0"/>
        <v>26.367187499999996</v>
      </c>
      <c r="H59" s="5">
        <v>17.82</v>
      </c>
      <c r="I59" s="5">
        <v>24</v>
      </c>
      <c r="J59" s="5">
        <v>15</v>
      </c>
      <c r="K59" s="5">
        <v>48.6</v>
      </c>
      <c r="L59" s="5">
        <v>2.7</v>
      </c>
      <c r="M59" s="5">
        <v>54.2</v>
      </c>
      <c r="N59" s="5">
        <v>1395</v>
      </c>
      <c r="O59" s="5">
        <v>2</v>
      </c>
      <c r="P59" s="5">
        <v>1</v>
      </c>
      <c r="Q59" s="5">
        <v>2</v>
      </c>
      <c r="R59" s="5">
        <v>2</v>
      </c>
      <c r="S59" s="5">
        <v>2</v>
      </c>
      <c r="T59" s="5">
        <v>3</v>
      </c>
      <c r="U59" s="2">
        <v>12</v>
      </c>
      <c r="V59" s="2">
        <v>1</v>
      </c>
      <c r="W59" s="5">
        <v>1</v>
      </c>
      <c r="X59" s="5">
        <v>1</v>
      </c>
      <c r="Y59" s="5">
        <v>1</v>
      </c>
      <c r="Z59" s="5">
        <v>1</v>
      </c>
      <c r="AA59" s="5">
        <v>0.5</v>
      </c>
      <c r="AB59" s="5">
        <v>1</v>
      </c>
      <c r="AC59" s="5">
        <v>1</v>
      </c>
      <c r="AD59" s="5">
        <v>2</v>
      </c>
      <c r="AE59" s="5">
        <v>2</v>
      </c>
      <c r="AF59" s="5">
        <v>1</v>
      </c>
      <c r="AG59" s="5">
        <v>1</v>
      </c>
      <c r="AH59" s="5">
        <v>1</v>
      </c>
      <c r="AI59" s="2">
        <v>13.5</v>
      </c>
      <c r="AJ59" s="2">
        <v>25.5</v>
      </c>
      <c r="AK59" s="2">
        <v>1</v>
      </c>
      <c r="AL59" s="2">
        <v>31</v>
      </c>
      <c r="AM59" s="2">
        <v>35</v>
      </c>
      <c r="AN59" t="str">
        <f>IF(OR(G59="",Participant_Data!E59=""),"",IF(Participant_Data!E59&lt;70,IF(ROUND(G59,1)&lt;18.5,"ขาด/เสี่ยงขาด",IF(ROUND(G59,1)&gt;=25,"เสี่ยงเกิน/เกิน","ปกติ")),IF(ROUND(G59,1)&lt;20,"ขาด/เสี่ยงขาด",IF(ROUND(G59,1)&gt;=25,"เสี่ยงเกิน/เกิน","ปกติ"))))</f>
        <v>เสี่ยงเกิน/เกิน</v>
      </c>
      <c r="AO59" t="str">
        <f>IF(OR(I59="",Participant_Data!G59=""),"",IF(Participant_Data!G59=1,IF(ROUND(I59,1)&lt;15,"ขาด/เสี่ยงขาด",IF(ROUND(I59,1)&gt;25,"เสี่ยงเกิน/เกิน","ปกติ")),IF(ROUND(I59,1)&lt;20,"ขาด/เสี่ยงขาด",IF(ROUND(I59,1)&gt;35,"เสี่ยงเกิน/เกิน","ปกติ"))))</f>
        <v>ปกติ</v>
      </c>
      <c r="AP59" t="str">
        <f t="shared" si="1"/>
        <v>เสี่ยงเกิน/เกิน</v>
      </c>
    </row>
    <row r="60" spans="1:42">
      <c r="A60" s="2">
        <f>IF(Participant_Data!A60="","",Participant_Data!A60)</f>
        <v>59</v>
      </c>
      <c r="B60" s="2" t="str">
        <f>IF(Participant_Data!B60="","",Participant_Data!B60)</f>
        <v/>
      </c>
      <c r="C60" s="3" t="str">
        <f>IF(Participant_Data!C60="","",Participant_Data!C60)</f>
        <v/>
      </c>
      <c r="D60" s="5"/>
      <c r="E60" s="5">
        <v>155</v>
      </c>
      <c r="F60" s="5">
        <v>42.6</v>
      </c>
      <c r="G60" s="22">
        <f t="shared" si="0"/>
        <v>17.731529656607698</v>
      </c>
      <c r="H60" s="5">
        <v>4.3499999999999996</v>
      </c>
      <c r="I60" s="5">
        <v>10.199999999999999</v>
      </c>
      <c r="J60" s="5">
        <v>1</v>
      </c>
      <c r="K60" s="5">
        <v>36.25</v>
      </c>
      <c r="L60" s="5">
        <v>2</v>
      </c>
      <c r="M60" s="5">
        <v>61.1</v>
      </c>
      <c r="N60" s="5">
        <v>1006</v>
      </c>
      <c r="O60" s="5">
        <v>2</v>
      </c>
      <c r="P60" s="5">
        <v>3</v>
      </c>
      <c r="Q60" s="5">
        <v>2</v>
      </c>
      <c r="R60" s="5">
        <v>2</v>
      </c>
      <c r="S60" s="5">
        <v>2</v>
      </c>
      <c r="T60" s="5">
        <v>0</v>
      </c>
      <c r="U60" s="2">
        <v>11</v>
      </c>
      <c r="V60" s="2">
        <v>2</v>
      </c>
      <c r="W60" s="5">
        <v>1</v>
      </c>
      <c r="X60" s="5">
        <v>1</v>
      </c>
      <c r="Y60" s="5">
        <v>1</v>
      </c>
      <c r="Z60" s="5">
        <v>1</v>
      </c>
      <c r="AA60" s="5">
        <v>0.5</v>
      </c>
      <c r="AB60" s="5">
        <v>1</v>
      </c>
      <c r="AC60" s="5">
        <v>0.5</v>
      </c>
      <c r="AD60" s="5">
        <v>2</v>
      </c>
      <c r="AE60" s="5">
        <v>2</v>
      </c>
      <c r="AF60" s="5">
        <v>2</v>
      </c>
      <c r="AG60" s="5">
        <v>0.5</v>
      </c>
      <c r="AH60" s="5">
        <v>0</v>
      </c>
      <c r="AI60" s="2">
        <v>12.5</v>
      </c>
      <c r="AJ60" s="2">
        <v>23.5</v>
      </c>
      <c r="AK60" s="2">
        <v>2</v>
      </c>
      <c r="AL60" s="2">
        <v>22</v>
      </c>
      <c r="AM60" s="2">
        <v>28</v>
      </c>
      <c r="AN60" t="str">
        <f>IF(OR(G60="",Participant_Data!E60=""),"",IF(Participant_Data!E60&lt;70,IF(ROUND(G60,1)&lt;18.5,"ขาด/เสี่ยงขาด",IF(ROUND(G60,1)&gt;=25,"เสี่ยงเกิน/เกิน","ปกติ")),IF(ROUND(G60,1)&lt;20,"ขาด/เสี่ยงขาด",IF(ROUND(G60,1)&gt;=25,"เสี่ยงเกิน/เกิน","ปกติ"))))</f>
        <v>ขาด/เสี่ยงขาด</v>
      </c>
      <c r="AO60" t="str">
        <f>IF(OR(I60="",Participant_Data!G60=""),"",IF(Participant_Data!G60=1,IF(ROUND(I60,1)&lt;15,"ขาด/เสี่ยงขาด",IF(ROUND(I60,1)&gt;25,"เสี่ยงเกิน/เกิน","ปกติ")),IF(ROUND(I60,1)&lt;20,"ขาด/เสี่ยงขาด",IF(ROUND(I60,1)&gt;35,"เสี่ยงเกิน/เกิน","ปกติ"))))</f>
        <v>ขาด/เสี่ยงขาด</v>
      </c>
      <c r="AP60" t="str">
        <f t="shared" si="1"/>
        <v>ขาด/เสี่ยงขาด</v>
      </c>
    </row>
    <row r="61" spans="1:42">
      <c r="A61" s="2">
        <f>IF(Participant_Data!A61="","",Participant_Data!A61)</f>
        <v>60</v>
      </c>
      <c r="B61" s="2" t="str">
        <f>IF(Participant_Data!B61="","",Participant_Data!B61)</f>
        <v/>
      </c>
      <c r="C61" s="3" t="str">
        <f>IF(Participant_Data!C61="","",Participant_Data!C61)</f>
        <v/>
      </c>
      <c r="D61" s="5"/>
      <c r="E61" s="5">
        <v>148</v>
      </c>
      <c r="F61" s="5">
        <v>93.5</v>
      </c>
      <c r="G61" s="22">
        <f t="shared" si="0"/>
        <v>42.68626734842951</v>
      </c>
      <c r="H61" s="5">
        <v>44.88</v>
      </c>
      <c r="I61" s="5">
        <v>48.5</v>
      </c>
      <c r="J61" s="5">
        <v>16.5</v>
      </c>
      <c r="K61" s="5">
        <v>45.1</v>
      </c>
      <c r="L61" s="5">
        <v>3</v>
      </c>
      <c r="M61" s="5">
        <v>41.1</v>
      </c>
      <c r="N61" s="5">
        <v>1530</v>
      </c>
      <c r="O61" s="5">
        <v>2</v>
      </c>
      <c r="P61" s="5">
        <v>3</v>
      </c>
      <c r="Q61" s="5">
        <v>2</v>
      </c>
      <c r="R61" s="5">
        <v>2</v>
      </c>
      <c r="S61" s="5">
        <v>2</v>
      </c>
      <c r="T61" s="5">
        <v>3</v>
      </c>
      <c r="U61" s="2">
        <v>14</v>
      </c>
      <c r="V61" s="2">
        <v>1</v>
      </c>
      <c r="W61" s="5">
        <v>1</v>
      </c>
      <c r="X61" s="5">
        <v>1</v>
      </c>
      <c r="Y61" s="5">
        <v>1</v>
      </c>
      <c r="Z61" s="5">
        <v>2</v>
      </c>
      <c r="AA61" s="5">
        <v>0.5</v>
      </c>
      <c r="AB61" s="5">
        <v>1</v>
      </c>
      <c r="AC61" s="5">
        <v>1</v>
      </c>
      <c r="AD61" s="5">
        <v>2</v>
      </c>
      <c r="AE61" s="5">
        <v>1</v>
      </c>
      <c r="AF61" s="5">
        <v>1</v>
      </c>
      <c r="AG61" s="5">
        <v>1</v>
      </c>
      <c r="AH61" s="5">
        <v>1</v>
      </c>
      <c r="AI61" s="2">
        <v>13.5</v>
      </c>
      <c r="AJ61" s="2">
        <v>27.5</v>
      </c>
      <c r="AK61" s="2">
        <v>1</v>
      </c>
      <c r="AL61" s="2">
        <v>36</v>
      </c>
      <c r="AM61" s="2">
        <v>46</v>
      </c>
      <c r="AN61" t="str">
        <f>IF(OR(G61="",Participant_Data!E61=""),"",IF(Participant_Data!E61&lt;70,IF(ROUND(G61,1)&lt;18.5,"ขาด/เสี่ยงขาด",IF(ROUND(G61,1)&gt;=25,"เสี่ยงเกิน/เกิน","ปกติ")),IF(ROUND(G61,1)&lt;20,"ขาด/เสี่ยงขาด",IF(ROUND(G61,1)&gt;=25,"เสี่ยงเกิน/เกิน","ปกติ"))))</f>
        <v>เสี่ยงเกิน/เกิน</v>
      </c>
      <c r="AO61" t="str">
        <f>IF(OR(I61="",Participant_Data!G61=""),"",IF(Participant_Data!G61=1,IF(ROUND(I61,1)&lt;15,"ขาด/เสี่ยงขาด",IF(ROUND(I61,1)&gt;25,"เสี่ยงเกิน/เกิน","ปกติ")),IF(ROUND(I61,1)&lt;20,"ขาด/เสี่ยงขาด",IF(ROUND(I61,1)&gt;35,"เสี่ยงเกิน/เกิน","ปกติ"))))</f>
        <v>เสี่ยงเกิน/เกิน</v>
      </c>
      <c r="AP61" t="str">
        <f t="shared" si="1"/>
        <v>เสี่ยงเกิน/เกิน</v>
      </c>
    </row>
    <row r="62" spans="1:42">
      <c r="A62" s="2">
        <f>IF(Participant_Data!A62="","",Participant_Data!A62)</f>
        <v>61</v>
      </c>
      <c r="B62" s="2" t="str">
        <f>IF(Participant_Data!B62="","",Participant_Data!B62)</f>
        <v/>
      </c>
      <c r="C62" s="3" t="str">
        <f>IF(Participant_Data!C62="","",Participant_Data!C62)</f>
        <v/>
      </c>
      <c r="D62" s="5"/>
      <c r="E62" s="5">
        <v>148</v>
      </c>
      <c r="F62" s="5">
        <v>55.15</v>
      </c>
      <c r="G62" s="22">
        <f t="shared" si="0"/>
        <v>25.178049671292914</v>
      </c>
      <c r="H62" s="5">
        <v>19.52</v>
      </c>
      <c r="I62" s="5">
        <v>35.4</v>
      </c>
      <c r="J62" s="5">
        <v>8</v>
      </c>
      <c r="K62" s="5">
        <v>33.65</v>
      </c>
      <c r="L62" s="5">
        <v>2</v>
      </c>
      <c r="M62" s="5">
        <v>35.200000000000003</v>
      </c>
      <c r="N62" s="5">
        <v>1042</v>
      </c>
      <c r="O62" s="5">
        <v>2</v>
      </c>
      <c r="P62" s="5">
        <v>3</v>
      </c>
      <c r="Q62" s="5">
        <v>2</v>
      </c>
      <c r="R62" s="5">
        <v>2</v>
      </c>
      <c r="S62" s="5">
        <v>1</v>
      </c>
      <c r="T62" s="5">
        <v>3</v>
      </c>
      <c r="U62" s="2">
        <v>13</v>
      </c>
      <c r="V62" s="2">
        <v>1</v>
      </c>
      <c r="W62" s="5">
        <v>1</v>
      </c>
      <c r="X62" s="5">
        <v>1</v>
      </c>
      <c r="Y62" s="5">
        <v>1</v>
      </c>
      <c r="Z62" s="5">
        <v>1</v>
      </c>
      <c r="AA62" s="5">
        <v>0.5</v>
      </c>
      <c r="AB62" s="5">
        <v>1</v>
      </c>
      <c r="AC62" s="5">
        <v>1</v>
      </c>
      <c r="AD62" s="5">
        <v>2</v>
      </c>
      <c r="AE62" s="5">
        <v>2</v>
      </c>
      <c r="AF62" s="5">
        <v>1</v>
      </c>
      <c r="AG62" s="5">
        <v>1</v>
      </c>
      <c r="AH62" s="5">
        <v>1</v>
      </c>
      <c r="AI62" s="2">
        <v>13.5</v>
      </c>
      <c r="AJ62" s="2">
        <v>26.5</v>
      </c>
      <c r="AK62" s="2">
        <v>1</v>
      </c>
      <c r="AL62" s="2">
        <v>29.5</v>
      </c>
      <c r="AM62" s="2">
        <v>35.5</v>
      </c>
      <c r="AN62" t="str">
        <f>IF(OR(G62="",Participant_Data!E62=""),"",IF(Participant_Data!E62&lt;70,IF(ROUND(G62,1)&lt;18.5,"ขาด/เสี่ยงขาด",IF(ROUND(G62,1)&gt;=25,"เสี่ยงเกิน/เกิน","ปกติ")),IF(ROUND(G62,1)&lt;20,"ขาด/เสี่ยงขาด",IF(ROUND(G62,1)&gt;=25,"เสี่ยงเกิน/เกิน","ปกติ"))))</f>
        <v>เสี่ยงเกิน/เกิน</v>
      </c>
      <c r="AO62" t="str">
        <f>IF(OR(I62="",Participant_Data!G62=""),"",IF(Participant_Data!G62=1,IF(ROUND(I62,1)&lt;15,"ขาด/เสี่ยงขาด",IF(ROUND(I62,1)&gt;25,"เสี่ยงเกิน/เกิน","ปกติ")),IF(ROUND(I62,1)&lt;20,"ขาด/เสี่ยงขาด",IF(ROUND(I62,1)&gt;35,"เสี่ยงเกิน/เกิน","ปกติ"))))</f>
        <v>เสี่ยงเกิน/เกิน</v>
      </c>
      <c r="AP62" t="str">
        <f t="shared" si="1"/>
        <v>เสี่ยงเกิน/เกิน</v>
      </c>
    </row>
    <row r="63" spans="1:42">
      <c r="A63" s="2">
        <f>IF(Participant_Data!A63="","",Participant_Data!A63)</f>
        <v>62</v>
      </c>
      <c r="B63" s="2" t="str">
        <f>IF(Participant_Data!B63="","",Participant_Data!B63)</f>
        <v/>
      </c>
      <c r="C63" s="3" t="str">
        <f>IF(Participant_Data!C63="","",Participant_Data!C63)</f>
        <v/>
      </c>
      <c r="D63" s="5"/>
      <c r="E63" s="5">
        <v>156</v>
      </c>
      <c r="F63" s="5">
        <v>59.5</v>
      </c>
      <c r="G63" s="22">
        <f t="shared" si="0"/>
        <v>24.44937541091387</v>
      </c>
      <c r="H63" s="5">
        <v>23.15</v>
      </c>
      <c r="I63" s="5">
        <v>38.9</v>
      </c>
      <c r="J63" s="5">
        <v>8</v>
      </c>
      <c r="K63" s="5">
        <v>34.35</v>
      </c>
      <c r="L63" s="5">
        <v>2</v>
      </c>
      <c r="M63" s="5">
        <v>41.1</v>
      </c>
      <c r="N63" s="5">
        <v>1082</v>
      </c>
      <c r="O63" s="5">
        <v>2</v>
      </c>
      <c r="P63" s="5">
        <v>2</v>
      </c>
      <c r="Q63" s="5">
        <v>2</v>
      </c>
      <c r="R63" s="5">
        <v>2</v>
      </c>
      <c r="S63" s="5">
        <v>2</v>
      </c>
      <c r="T63" s="5">
        <v>3</v>
      </c>
      <c r="U63" s="2">
        <v>13</v>
      </c>
      <c r="V63" s="2">
        <v>1</v>
      </c>
      <c r="W63" s="5">
        <v>1</v>
      </c>
      <c r="X63" s="5">
        <v>1</v>
      </c>
      <c r="Y63" s="5">
        <v>1</v>
      </c>
      <c r="Z63" s="5">
        <v>1</v>
      </c>
      <c r="AA63" s="5">
        <v>0.5</v>
      </c>
      <c r="AB63" s="5">
        <v>1</v>
      </c>
      <c r="AC63" s="5">
        <v>1</v>
      </c>
      <c r="AD63" s="5">
        <v>2</v>
      </c>
      <c r="AE63" s="5">
        <v>2</v>
      </c>
      <c r="AF63" s="5">
        <v>2</v>
      </c>
      <c r="AG63" s="5">
        <v>1</v>
      </c>
      <c r="AH63" s="5">
        <v>1</v>
      </c>
      <c r="AI63" s="2">
        <v>14.5</v>
      </c>
      <c r="AJ63" s="2">
        <v>27.5</v>
      </c>
      <c r="AK63" s="2">
        <v>1</v>
      </c>
      <c r="AL63" s="2">
        <v>30</v>
      </c>
      <c r="AM63" s="2">
        <v>33</v>
      </c>
      <c r="AN63" t="str">
        <f>IF(OR(G63="",Participant_Data!E63=""),"",IF(Participant_Data!E63&lt;70,IF(ROUND(G63,1)&lt;18.5,"ขาด/เสี่ยงขาด",IF(ROUND(G63,1)&gt;=25,"เสี่ยงเกิน/เกิน","ปกติ")),IF(ROUND(G63,1)&lt;20,"ขาด/เสี่ยงขาด",IF(ROUND(G63,1)&gt;=25,"เสี่ยงเกิน/เกิน","ปกติ"))))</f>
        <v>ปกติ</v>
      </c>
      <c r="AO63" t="str">
        <f>IF(OR(I63="",Participant_Data!G63=""),"",IF(Participant_Data!G63=1,IF(ROUND(I63,1)&lt;15,"ขาด/เสี่ยงขาด",IF(ROUND(I63,1)&gt;25,"เสี่ยงเกิน/เกิน","ปกติ")),IF(ROUND(I63,1)&lt;20,"ขาด/เสี่ยงขาด",IF(ROUND(I63,1)&gt;35,"เสี่ยงเกิน/เกิน","ปกติ"))))</f>
        <v>เสี่ยงเกิน/เกิน</v>
      </c>
      <c r="AP63" t="str">
        <f t="shared" si="1"/>
        <v>เสี่ยงเกิน/เกิน</v>
      </c>
    </row>
    <row r="64" spans="1:42">
      <c r="A64" s="2">
        <f>IF(Participant_Data!A64="","",Participant_Data!A64)</f>
        <v>63</v>
      </c>
      <c r="B64" s="2" t="str">
        <f>IF(Participant_Data!B64="","",Participant_Data!B64)</f>
        <v/>
      </c>
      <c r="C64" s="3" t="str">
        <f>IF(Participant_Data!C64="","",Participant_Data!C64)</f>
        <v/>
      </c>
      <c r="D64" s="5"/>
      <c r="E64" s="5">
        <v>160</v>
      </c>
      <c r="F64" s="5">
        <v>50.75</v>
      </c>
      <c r="G64" s="22">
        <f t="shared" si="0"/>
        <v>19.824218749999996</v>
      </c>
      <c r="H64" s="5">
        <v>11.67</v>
      </c>
      <c r="I64" s="5">
        <v>23</v>
      </c>
      <c r="J64" s="5">
        <v>4.5</v>
      </c>
      <c r="K64" s="5">
        <v>36.85</v>
      </c>
      <c r="L64" s="5">
        <v>2.2999999999999998</v>
      </c>
      <c r="M64" s="5">
        <v>54.4</v>
      </c>
      <c r="N64" s="5">
        <v>1096</v>
      </c>
      <c r="O64" s="5">
        <v>2</v>
      </c>
      <c r="P64" s="5">
        <v>3</v>
      </c>
      <c r="Q64" s="5">
        <v>2</v>
      </c>
      <c r="R64" s="5">
        <v>2</v>
      </c>
      <c r="S64" s="5">
        <v>2</v>
      </c>
      <c r="T64" s="5">
        <v>1</v>
      </c>
      <c r="U64" s="2">
        <v>12</v>
      </c>
      <c r="V64" s="2">
        <v>1</v>
      </c>
      <c r="W64" s="5">
        <v>1</v>
      </c>
      <c r="X64" s="5">
        <v>1</v>
      </c>
      <c r="Y64" s="5">
        <v>1</v>
      </c>
      <c r="Z64" s="5">
        <v>2</v>
      </c>
      <c r="AA64" s="5">
        <v>0.5</v>
      </c>
      <c r="AB64" s="5">
        <v>0</v>
      </c>
      <c r="AC64" s="5">
        <v>1</v>
      </c>
      <c r="AD64" s="5">
        <v>2</v>
      </c>
      <c r="AE64" s="5">
        <v>2</v>
      </c>
      <c r="AF64" s="5">
        <v>2</v>
      </c>
      <c r="AG64" s="5">
        <v>1</v>
      </c>
      <c r="AH64" s="5">
        <v>1</v>
      </c>
      <c r="AI64" s="2">
        <v>14.5</v>
      </c>
      <c r="AJ64" s="2">
        <v>26.5</v>
      </c>
      <c r="AK64" s="2">
        <v>1</v>
      </c>
      <c r="AL64" s="2">
        <v>25.5</v>
      </c>
      <c r="AM64" s="2">
        <v>32</v>
      </c>
      <c r="AN64" t="str">
        <f>IF(OR(G64="",Participant_Data!E64=""),"",IF(Participant_Data!E64&lt;70,IF(ROUND(G64,1)&lt;18.5,"ขาด/เสี่ยงขาด",IF(ROUND(G64,1)&gt;=25,"เสี่ยงเกิน/เกิน","ปกติ")),IF(ROUND(G64,1)&lt;20,"ขาด/เสี่ยงขาด",IF(ROUND(G64,1)&gt;=25,"เสี่ยงเกิน/เกิน","ปกติ"))))</f>
        <v>ปกติ</v>
      </c>
      <c r="AO64" t="str">
        <f>IF(OR(I64="",Participant_Data!G64=""),"",IF(Participant_Data!G64=1,IF(ROUND(I64,1)&lt;15,"ขาด/เสี่ยงขาด",IF(ROUND(I64,1)&gt;25,"เสี่ยงเกิน/เกิน","ปกติ")),IF(ROUND(I64,1)&lt;20,"ขาด/เสี่ยงขาด",IF(ROUND(I64,1)&gt;35,"เสี่ยงเกิน/เกิน","ปกติ"))))</f>
        <v>ปกติ</v>
      </c>
      <c r="AP64" t="str">
        <f t="shared" si="1"/>
        <v>ปกติ</v>
      </c>
    </row>
    <row r="65" spans="1:42">
      <c r="A65" s="2">
        <f>IF(Participant_Data!A65="","",Participant_Data!A65)</f>
        <v>64</v>
      </c>
      <c r="B65" s="2" t="str">
        <f>IF(Participant_Data!B65="","",Participant_Data!B65)</f>
        <v/>
      </c>
      <c r="C65" s="3" t="str">
        <f>IF(Participant_Data!C65="","",Participant_Data!C65)</f>
        <v/>
      </c>
      <c r="D65" s="5"/>
      <c r="E65" s="5">
        <v>149</v>
      </c>
      <c r="F65" s="5">
        <v>52.8</v>
      </c>
      <c r="G65" s="22">
        <f t="shared" si="0"/>
        <v>23.782712490428359</v>
      </c>
      <c r="H65" s="5">
        <v>17.48</v>
      </c>
      <c r="I65" s="5">
        <v>33.1</v>
      </c>
      <c r="J65" s="5">
        <v>7.5</v>
      </c>
      <c r="K65" s="5">
        <v>33.4</v>
      </c>
      <c r="L65" s="5">
        <v>1.9</v>
      </c>
      <c r="M65" s="5">
        <v>50.4</v>
      </c>
      <c r="N65" s="5">
        <v>1025</v>
      </c>
      <c r="O65" s="5">
        <v>2</v>
      </c>
      <c r="P65" s="5">
        <v>3</v>
      </c>
      <c r="Q65" s="5">
        <v>2</v>
      </c>
      <c r="R65" s="5">
        <v>2</v>
      </c>
      <c r="S65" s="5">
        <v>2</v>
      </c>
      <c r="T65" s="5">
        <v>3</v>
      </c>
      <c r="U65" s="2">
        <v>14</v>
      </c>
      <c r="V65" s="2">
        <v>1</v>
      </c>
      <c r="W65" s="5">
        <v>1</v>
      </c>
      <c r="X65" s="5">
        <v>1</v>
      </c>
      <c r="Y65" s="5">
        <v>1</v>
      </c>
      <c r="Z65" s="5">
        <v>1</v>
      </c>
      <c r="AA65" s="5">
        <v>1</v>
      </c>
      <c r="AB65" s="5">
        <v>1</v>
      </c>
      <c r="AC65" s="5">
        <v>1</v>
      </c>
      <c r="AD65" s="5">
        <v>2</v>
      </c>
      <c r="AE65" s="5">
        <v>2</v>
      </c>
      <c r="AF65" s="5">
        <v>0.5</v>
      </c>
      <c r="AG65" s="5">
        <v>1</v>
      </c>
      <c r="AH65" s="5">
        <v>1</v>
      </c>
      <c r="AI65" s="2">
        <v>13.5</v>
      </c>
      <c r="AJ65" s="2">
        <v>27.5</v>
      </c>
      <c r="AK65" s="2">
        <v>1</v>
      </c>
      <c r="AL65" s="2">
        <v>27</v>
      </c>
      <c r="AM65" s="2">
        <v>32.5</v>
      </c>
      <c r="AN65" t="str">
        <f>IF(OR(G65="",Participant_Data!E65=""),"",IF(Participant_Data!E65&lt;70,IF(ROUND(G65,1)&lt;18.5,"ขาด/เสี่ยงขาด",IF(ROUND(G65,1)&gt;=25,"เสี่ยงเกิน/เกิน","ปกติ")),IF(ROUND(G65,1)&lt;20,"ขาด/เสี่ยงขาด",IF(ROUND(G65,1)&gt;=25,"เสี่ยงเกิน/เกิน","ปกติ"))))</f>
        <v>ปกติ</v>
      </c>
      <c r="AO65" t="str">
        <f>IF(OR(I65="",Participant_Data!G65=""),"",IF(Participant_Data!G65=1,IF(ROUND(I65,1)&lt;15,"ขาด/เสี่ยงขาด",IF(ROUND(I65,1)&gt;25,"เสี่ยงเกิน/เกิน","ปกติ")),IF(ROUND(I65,1)&lt;20,"ขาด/เสี่ยงขาด",IF(ROUND(I65,1)&gt;35,"เสี่ยงเกิน/เกิน","ปกติ"))))</f>
        <v>ปกติ</v>
      </c>
      <c r="AP65" t="str">
        <f t="shared" si="1"/>
        <v>ปกติ</v>
      </c>
    </row>
    <row r="66" spans="1:42">
      <c r="A66" s="2">
        <f>IF(Participant_Data!A66="","",Participant_Data!A66)</f>
        <v>65</v>
      </c>
      <c r="B66" s="2" t="str">
        <f>IF(Participant_Data!B66="","",Participant_Data!B66)</f>
        <v/>
      </c>
      <c r="C66" s="3" t="str">
        <f>IF(Participant_Data!C66="","",Participant_Data!C66)</f>
        <v/>
      </c>
      <c r="D66" s="5"/>
      <c r="E66" s="5">
        <v>153</v>
      </c>
      <c r="F66" s="5">
        <v>69.150000000000006</v>
      </c>
      <c r="G66" s="22">
        <f t="shared" ref="G66:G129" si="2">IF(OR(E66="",F66=""),"",F66/((E66/100)^2))</f>
        <v>29.539920543380752</v>
      </c>
      <c r="H66" s="5">
        <v>26.97</v>
      </c>
      <c r="I66" s="5">
        <v>39</v>
      </c>
      <c r="J66" s="5">
        <v>10.5</v>
      </c>
      <c r="K66" s="5">
        <v>39.65</v>
      </c>
      <c r="L66" s="5">
        <v>2.5</v>
      </c>
      <c r="M66" s="5">
        <v>37.200000000000003</v>
      </c>
      <c r="N66" s="5">
        <v>1258</v>
      </c>
      <c r="O66" s="5">
        <v>2</v>
      </c>
      <c r="P66" s="5">
        <v>3</v>
      </c>
      <c r="Q66" s="5">
        <v>2</v>
      </c>
      <c r="R66" s="5">
        <v>2</v>
      </c>
      <c r="S66" s="5">
        <v>2</v>
      </c>
      <c r="T66" s="5">
        <v>3</v>
      </c>
      <c r="U66" s="2">
        <v>14</v>
      </c>
      <c r="V66" s="2">
        <v>1</v>
      </c>
      <c r="W66" s="5">
        <v>1</v>
      </c>
      <c r="X66" s="5">
        <v>1</v>
      </c>
      <c r="Y66" s="5">
        <v>1</v>
      </c>
      <c r="Z66" s="5">
        <v>2</v>
      </c>
      <c r="AA66" s="5">
        <v>0.5</v>
      </c>
      <c r="AB66" s="5">
        <v>1</v>
      </c>
      <c r="AC66" s="5">
        <v>1</v>
      </c>
      <c r="AD66" s="5">
        <v>2</v>
      </c>
      <c r="AE66" s="5">
        <v>1</v>
      </c>
      <c r="AF66" s="5">
        <v>1</v>
      </c>
      <c r="AG66" s="5">
        <v>1</v>
      </c>
      <c r="AH66" s="5">
        <v>1</v>
      </c>
      <c r="AI66" s="2">
        <v>13.5</v>
      </c>
      <c r="AJ66" s="2">
        <v>27.5</v>
      </c>
      <c r="AK66" s="2">
        <v>1</v>
      </c>
      <c r="AL66" s="2">
        <v>31</v>
      </c>
      <c r="AM66" s="2">
        <v>35.5</v>
      </c>
      <c r="AN66" t="str">
        <f>IF(OR(G66="",Participant_Data!E66=""),"",IF(Participant_Data!E66&lt;70,IF(ROUND(G66,1)&lt;18.5,"ขาด/เสี่ยงขาด",IF(ROUND(G66,1)&gt;=25,"เสี่ยงเกิน/เกิน","ปกติ")),IF(ROUND(G66,1)&lt;20,"ขาด/เสี่ยงขาด",IF(ROUND(G66,1)&gt;=25,"เสี่ยงเกิน/เกิน","ปกติ"))))</f>
        <v>เสี่ยงเกิน/เกิน</v>
      </c>
      <c r="AO66" t="str">
        <f>IF(OR(I66="",Participant_Data!G66=""),"",IF(Participant_Data!G66=1,IF(ROUND(I66,1)&lt;15,"ขาด/เสี่ยงขาด",IF(ROUND(I66,1)&gt;25,"เสี่ยงเกิน/เกิน","ปกติ")),IF(ROUND(I66,1)&lt;20,"ขาด/เสี่ยงขาด",IF(ROUND(I66,1)&gt;35,"เสี่ยงเกิน/เกิน","ปกติ"))))</f>
        <v>เสี่ยงเกิน/เกิน</v>
      </c>
      <c r="AP66" t="str">
        <f t="shared" ref="AP66:AP129" si="3">IF(OR(AN66="",AO66=""),"",IF(OR(AN66="ขาด/เสี่ยงขาด",AO66="ขาด/เสี่ยงขาด"),"ขาด/เสี่ยงขาด",IF(OR(AN66="เสี่ยงเกิน/เกิน",AO66="เสี่ยงเกิน/เกิน"),"เสี่ยงเกิน/เกิน","ปกติ")))</f>
        <v>เสี่ยงเกิน/เกิน</v>
      </c>
    </row>
    <row r="67" spans="1:42">
      <c r="A67" s="2">
        <f>IF(Participant_Data!A67="","",Participant_Data!A67)</f>
        <v>66</v>
      </c>
      <c r="B67" s="2" t="str">
        <f>IF(Participant_Data!B67="","",Participant_Data!B67)</f>
        <v/>
      </c>
      <c r="C67" s="3" t="str">
        <f>IF(Participant_Data!C67="","",Participant_Data!C67)</f>
        <v/>
      </c>
      <c r="D67" s="5"/>
      <c r="E67" s="5">
        <v>167</v>
      </c>
      <c r="F67" s="5">
        <v>68.05</v>
      </c>
      <c r="G67" s="22">
        <f t="shared" si="2"/>
        <v>24.400301194019146</v>
      </c>
      <c r="H67" s="5">
        <v>20.010000000000002</v>
      </c>
      <c r="I67" s="5">
        <v>29.4</v>
      </c>
      <c r="J67" s="5">
        <v>8</v>
      </c>
      <c r="K67" s="5">
        <v>45</v>
      </c>
      <c r="L67" s="5">
        <v>3</v>
      </c>
      <c r="M67" s="5">
        <v>43.8</v>
      </c>
      <c r="N67" s="5">
        <v>1390</v>
      </c>
      <c r="O67" s="5">
        <v>2</v>
      </c>
      <c r="P67" s="5">
        <v>2</v>
      </c>
      <c r="Q67" s="5">
        <v>2</v>
      </c>
      <c r="R67" s="5">
        <v>2</v>
      </c>
      <c r="S67" s="5">
        <v>2</v>
      </c>
      <c r="T67" s="5">
        <v>3</v>
      </c>
      <c r="U67" s="2">
        <v>13</v>
      </c>
      <c r="V67" s="2">
        <v>1</v>
      </c>
      <c r="W67" s="5">
        <v>1</v>
      </c>
      <c r="X67" s="5">
        <v>1</v>
      </c>
      <c r="Y67" s="5">
        <v>1</v>
      </c>
      <c r="Z67" s="5">
        <v>2</v>
      </c>
      <c r="AA67" s="5">
        <v>0</v>
      </c>
      <c r="AB67" s="5">
        <v>1</v>
      </c>
      <c r="AC67" s="5">
        <v>1</v>
      </c>
      <c r="AD67" s="5">
        <v>2</v>
      </c>
      <c r="AE67" s="5">
        <v>2</v>
      </c>
      <c r="AF67" s="5">
        <v>2</v>
      </c>
      <c r="AG67" s="5">
        <v>1</v>
      </c>
      <c r="AH67" s="5">
        <v>1</v>
      </c>
      <c r="AI67" s="2">
        <v>15</v>
      </c>
      <c r="AJ67" s="2">
        <v>28</v>
      </c>
      <c r="AK67" s="2">
        <v>1</v>
      </c>
      <c r="AL67" s="2">
        <v>31.5</v>
      </c>
      <c r="AM67" s="2">
        <v>38</v>
      </c>
      <c r="AN67" t="str">
        <f>IF(OR(G67="",Participant_Data!E67=""),"",IF(Participant_Data!E67&lt;70,IF(ROUND(G67,1)&lt;18.5,"ขาด/เสี่ยงขาด",IF(ROUND(G67,1)&gt;=25,"เสี่ยงเกิน/เกิน","ปกติ")),IF(ROUND(G67,1)&lt;20,"ขาด/เสี่ยงขาด",IF(ROUND(G67,1)&gt;=25,"เสี่ยงเกิน/เกิน","ปกติ"))))</f>
        <v>ปกติ</v>
      </c>
      <c r="AO67" t="str">
        <f>IF(OR(I67="",Participant_Data!G67=""),"",IF(Participant_Data!G67=1,IF(ROUND(I67,1)&lt;15,"ขาด/เสี่ยงขาด",IF(ROUND(I67,1)&gt;25,"เสี่ยงเกิน/เกิน","ปกติ")),IF(ROUND(I67,1)&lt;20,"ขาด/เสี่ยงขาด",IF(ROUND(I67,1)&gt;35,"เสี่ยงเกิน/เกิน","ปกติ"))))</f>
        <v>ปกติ</v>
      </c>
      <c r="AP67" t="str">
        <f t="shared" si="3"/>
        <v>ปกติ</v>
      </c>
    </row>
    <row r="68" spans="1:42">
      <c r="A68" s="2">
        <f>IF(Participant_Data!A68="","",Participant_Data!A68)</f>
        <v>67</v>
      </c>
      <c r="B68" s="2" t="str">
        <f>IF(Participant_Data!B68="","",Participant_Data!B68)</f>
        <v/>
      </c>
      <c r="C68" s="3" t="str">
        <f>IF(Participant_Data!C68="","",Participant_Data!C68)</f>
        <v/>
      </c>
      <c r="D68" s="5"/>
      <c r="E68" s="5">
        <v>156</v>
      </c>
      <c r="F68" s="5">
        <v>41.2</v>
      </c>
      <c r="G68" s="22">
        <f t="shared" si="2"/>
        <v>16.929651545036162</v>
      </c>
      <c r="H68" s="5">
        <v>10.3</v>
      </c>
      <c r="I68" s="5">
        <v>25</v>
      </c>
      <c r="J68" s="5">
        <v>3</v>
      </c>
      <c r="K68" s="5">
        <v>29.35</v>
      </c>
      <c r="L68" s="5">
        <v>1.6</v>
      </c>
      <c r="M68" s="5">
        <v>42.5</v>
      </c>
      <c r="N68" s="5">
        <v>877</v>
      </c>
      <c r="O68" s="5">
        <v>2</v>
      </c>
      <c r="P68" s="5">
        <v>3</v>
      </c>
      <c r="Q68" s="5">
        <v>2</v>
      </c>
      <c r="R68" s="5">
        <v>2</v>
      </c>
      <c r="S68" s="5">
        <v>1</v>
      </c>
      <c r="T68" s="5">
        <v>0</v>
      </c>
      <c r="U68" s="2">
        <v>10</v>
      </c>
      <c r="V68" s="2">
        <v>2</v>
      </c>
      <c r="W68" s="5">
        <v>1</v>
      </c>
      <c r="X68" s="5">
        <v>1</v>
      </c>
      <c r="Y68" s="5">
        <v>1</v>
      </c>
      <c r="Z68" s="5">
        <v>2</v>
      </c>
      <c r="AA68" s="5">
        <v>0</v>
      </c>
      <c r="AB68" s="5">
        <v>1</v>
      </c>
      <c r="AC68" s="5">
        <v>1</v>
      </c>
      <c r="AD68" s="5">
        <v>2</v>
      </c>
      <c r="AE68" s="5">
        <v>2</v>
      </c>
      <c r="AF68" s="5">
        <v>1</v>
      </c>
      <c r="AG68" s="5">
        <v>1</v>
      </c>
      <c r="AH68" s="5">
        <v>1</v>
      </c>
      <c r="AI68" s="2">
        <v>14</v>
      </c>
      <c r="AJ68" s="2">
        <v>24</v>
      </c>
      <c r="AK68" s="2">
        <v>1</v>
      </c>
      <c r="AL68" s="2">
        <v>22</v>
      </c>
      <c r="AM68" s="2">
        <v>32</v>
      </c>
      <c r="AN68" t="str">
        <f>IF(OR(G68="",Participant_Data!E68=""),"",IF(Participant_Data!E68&lt;70,IF(ROUND(G68,1)&lt;18.5,"ขาด/เสี่ยงขาด",IF(ROUND(G68,1)&gt;=25,"เสี่ยงเกิน/เกิน","ปกติ")),IF(ROUND(G68,1)&lt;20,"ขาด/เสี่ยงขาด",IF(ROUND(G68,1)&gt;=25,"เสี่ยงเกิน/เกิน","ปกติ"))))</f>
        <v>ขาด/เสี่ยงขาด</v>
      </c>
      <c r="AO68" t="str">
        <f>IF(OR(I68="",Participant_Data!G68=""),"",IF(Participant_Data!G68=1,IF(ROUND(I68,1)&lt;15,"ขาด/เสี่ยงขาด",IF(ROUND(I68,1)&gt;25,"เสี่ยงเกิน/เกิน","ปกติ")),IF(ROUND(I68,1)&lt;20,"ขาด/เสี่ยงขาด",IF(ROUND(I68,1)&gt;35,"เสี่ยงเกิน/เกิน","ปกติ"))))</f>
        <v>ปกติ</v>
      </c>
      <c r="AP68" t="str">
        <f t="shared" si="3"/>
        <v>ขาด/เสี่ยงขาด</v>
      </c>
    </row>
    <row r="69" spans="1:42">
      <c r="A69" s="2">
        <f>IF(Participant_Data!A69="","",Participant_Data!A69)</f>
        <v>68</v>
      </c>
      <c r="B69" s="2" t="str">
        <f>IF(Participant_Data!B69="","",Participant_Data!B69)</f>
        <v/>
      </c>
      <c r="C69" s="3" t="str">
        <f>IF(Participant_Data!C69="","",Participant_Data!C69)</f>
        <v/>
      </c>
      <c r="D69" s="5"/>
      <c r="E69" s="5">
        <v>169</v>
      </c>
      <c r="F69" s="5">
        <v>64.099999999999994</v>
      </c>
      <c r="G69" s="22">
        <f t="shared" si="2"/>
        <v>22.443191764994225</v>
      </c>
      <c r="H69" s="5">
        <v>11.86</v>
      </c>
      <c r="I69" s="5">
        <v>18.5</v>
      </c>
      <c r="J69" s="5">
        <v>12</v>
      </c>
      <c r="K69" s="5">
        <v>49.55</v>
      </c>
      <c r="L69" s="5">
        <v>2.7</v>
      </c>
      <c r="M69" s="5">
        <v>55.7</v>
      </c>
      <c r="N69" s="5">
        <v>1411</v>
      </c>
      <c r="O69" s="5">
        <v>2</v>
      </c>
      <c r="P69" s="5">
        <v>3</v>
      </c>
      <c r="Q69" s="5">
        <v>2</v>
      </c>
      <c r="R69" s="5">
        <v>2</v>
      </c>
      <c r="S69" s="5">
        <v>1</v>
      </c>
      <c r="T69" s="5">
        <v>2</v>
      </c>
      <c r="U69" s="2">
        <v>12</v>
      </c>
      <c r="V69" s="2">
        <v>1</v>
      </c>
      <c r="W69" s="5">
        <v>1</v>
      </c>
      <c r="X69" s="5">
        <v>1</v>
      </c>
      <c r="Y69" s="5">
        <v>1</v>
      </c>
      <c r="Z69" s="5">
        <v>1</v>
      </c>
      <c r="AA69" s="5">
        <v>0.5</v>
      </c>
      <c r="AB69" s="5">
        <v>1</v>
      </c>
      <c r="AC69" s="5">
        <v>1</v>
      </c>
      <c r="AD69" s="5">
        <v>2</v>
      </c>
      <c r="AE69" s="5">
        <v>0</v>
      </c>
      <c r="AF69" s="5">
        <v>2</v>
      </c>
      <c r="AG69" s="5">
        <v>1</v>
      </c>
      <c r="AH69" s="5">
        <v>1</v>
      </c>
      <c r="AI69" s="2">
        <v>12.5</v>
      </c>
      <c r="AJ69" s="2">
        <v>24.5</v>
      </c>
      <c r="AK69" s="2">
        <v>1</v>
      </c>
      <c r="AL69" s="2">
        <v>28</v>
      </c>
      <c r="AM69" s="2">
        <v>34.5</v>
      </c>
      <c r="AN69" t="str">
        <f>IF(OR(G69="",Participant_Data!E69=""),"",IF(Participant_Data!E69&lt;70,IF(ROUND(G69,1)&lt;18.5,"ขาด/เสี่ยงขาด",IF(ROUND(G69,1)&gt;=25,"เสี่ยงเกิน/เกิน","ปกติ")),IF(ROUND(G69,1)&lt;20,"ขาด/เสี่ยงขาด",IF(ROUND(G69,1)&gt;=25,"เสี่ยงเกิน/เกิน","ปกติ"))))</f>
        <v>ปกติ</v>
      </c>
      <c r="AO69" t="str">
        <f>IF(OR(I69="",Participant_Data!G69=""),"",IF(Participant_Data!G69=1,IF(ROUND(I69,1)&lt;15,"ขาด/เสี่ยงขาด",IF(ROUND(I69,1)&gt;25,"เสี่ยงเกิน/เกิน","ปกติ")),IF(ROUND(I69,1)&lt;20,"ขาด/เสี่ยงขาด",IF(ROUND(I69,1)&gt;35,"เสี่ยงเกิน/เกิน","ปกติ"))))</f>
        <v>ปกติ</v>
      </c>
      <c r="AP69" t="str">
        <f t="shared" si="3"/>
        <v>ปกติ</v>
      </c>
    </row>
    <row r="70" spans="1:42">
      <c r="A70" s="2">
        <f>IF(Participant_Data!A70="","",Participant_Data!A70)</f>
        <v>69</v>
      </c>
      <c r="B70" s="2" t="str">
        <f>IF(Participant_Data!B70="","",Participant_Data!B70)</f>
        <v/>
      </c>
      <c r="C70" s="3" t="str">
        <f>IF(Participant_Data!C70="","",Participant_Data!C70)</f>
        <v/>
      </c>
      <c r="D70" s="5"/>
      <c r="E70" s="5">
        <v>150</v>
      </c>
      <c r="F70" s="5">
        <v>59.35</v>
      </c>
      <c r="G70" s="22">
        <f t="shared" si="2"/>
        <v>26.37777777777778</v>
      </c>
      <c r="H70" s="5">
        <v>23.15</v>
      </c>
      <c r="I70" s="5">
        <v>39</v>
      </c>
      <c r="J70" s="5">
        <v>9</v>
      </c>
      <c r="K70" s="5">
        <v>34.200000000000003</v>
      </c>
      <c r="L70" s="5">
        <v>2</v>
      </c>
      <c r="M70" s="5">
        <v>45.8</v>
      </c>
      <c r="N70" s="5">
        <v>1076</v>
      </c>
      <c r="O70" s="5">
        <v>2</v>
      </c>
      <c r="P70" s="5">
        <v>2</v>
      </c>
      <c r="Q70" s="5">
        <v>2</v>
      </c>
      <c r="R70" s="5">
        <v>2</v>
      </c>
      <c r="S70" s="5">
        <v>2</v>
      </c>
      <c r="T70" s="5">
        <v>3</v>
      </c>
      <c r="U70" s="2">
        <v>13</v>
      </c>
      <c r="V70" s="2">
        <v>1</v>
      </c>
      <c r="W70" s="5">
        <v>1</v>
      </c>
      <c r="X70" s="5">
        <v>1</v>
      </c>
      <c r="Y70" s="5">
        <v>1</v>
      </c>
      <c r="Z70" s="5">
        <v>2</v>
      </c>
      <c r="AA70" s="5">
        <v>0.5</v>
      </c>
      <c r="AB70" s="5">
        <v>1</v>
      </c>
      <c r="AC70" s="5">
        <v>0</v>
      </c>
      <c r="AD70" s="5">
        <v>2</v>
      </c>
      <c r="AE70" s="5">
        <v>2</v>
      </c>
      <c r="AF70" s="5">
        <v>1</v>
      </c>
      <c r="AG70" s="5">
        <v>1</v>
      </c>
      <c r="AH70" s="5">
        <v>0</v>
      </c>
      <c r="AI70" s="2">
        <v>12.5</v>
      </c>
      <c r="AJ70" s="2">
        <v>25.5</v>
      </c>
      <c r="AK70" s="2">
        <v>1</v>
      </c>
      <c r="AL70" s="2">
        <v>28</v>
      </c>
      <c r="AM70" s="2">
        <v>30.5</v>
      </c>
      <c r="AN70" t="str">
        <f>IF(OR(G70="",Participant_Data!E70=""),"",IF(Participant_Data!E70&lt;70,IF(ROUND(G70,1)&lt;18.5,"ขาด/เสี่ยงขาด",IF(ROUND(G70,1)&gt;=25,"เสี่ยงเกิน/เกิน","ปกติ")),IF(ROUND(G70,1)&lt;20,"ขาด/เสี่ยงขาด",IF(ROUND(G70,1)&gt;=25,"เสี่ยงเกิน/เกิน","ปกติ"))))</f>
        <v>เสี่ยงเกิน/เกิน</v>
      </c>
      <c r="AO70" t="str">
        <f>IF(OR(I70="",Participant_Data!G70=""),"",IF(Participant_Data!G70=1,IF(ROUND(I70,1)&lt;15,"ขาด/เสี่ยงขาด",IF(ROUND(I70,1)&gt;25,"เสี่ยงเกิน/เกิน","ปกติ")),IF(ROUND(I70,1)&lt;20,"ขาด/เสี่ยงขาด",IF(ROUND(I70,1)&gt;35,"เสี่ยงเกิน/เกิน","ปกติ"))))</f>
        <v>เสี่ยงเกิน/เกิน</v>
      </c>
      <c r="AP70" t="str">
        <f t="shared" si="3"/>
        <v>เสี่ยงเกิน/เกิน</v>
      </c>
    </row>
    <row r="71" spans="1:42">
      <c r="A71" s="2">
        <f>IF(Participant_Data!A71="","",Participant_Data!A71)</f>
        <v>70</v>
      </c>
      <c r="B71" s="2" t="str">
        <f>IF(Participant_Data!B71="","",Participant_Data!B71)</f>
        <v/>
      </c>
      <c r="C71" s="3" t="str">
        <f>IF(Participant_Data!C71="","",Participant_Data!C71)</f>
        <v/>
      </c>
      <c r="D71" s="5"/>
      <c r="E71" s="5">
        <v>156</v>
      </c>
      <c r="F71" s="5">
        <v>62.7</v>
      </c>
      <c r="G71" s="22">
        <f t="shared" si="2"/>
        <v>25.764299802761339</v>
      </c>
      <c r="H71" s="5">
        <v>23.89</v>
      </c>
      <c r="I71" s="5">
        <v>38.1</v>
      </c>
      <c r="J71" s="5">
        <v>8.5</v>
      </c>
      <c r="K71" s="5">
        <v>36.549999999999997</v>
      </c>
      <c r="L71" s="5">
        <v>2.2000000000000002</v>
      </c>
      <c r="M71" s="5">
        <v>45</v>
      </c>
      <c r="N71" s="5">
        <v>1150</v>
      </c>
      <c r="O71" s="5">
        <v>2</v>
      </c>
      <c r="P71" s="5">
        <v>3</v>
      </c>
      <c r="Q71" s="5">
        <v>2</v>
      </c>
      <c r="R71" s="5">
        <v>2</v>
      </c>
      <c r="S71" s="5">
        <v>2</v>
      </c>
      <c r="T71" s="5">
        <v>3</v>
      </c>
      <c r="U71" s="2">
        <v>14</v>
      </c>
      <c r="V71" s="2">
        <v>1</v>
      </c>
      <c r="W71" s="5">
        <v>1</v>
      </c>
      <c r="X71" s="5">
        <v>1</v>
      </c>
      <c r="Y71" s="5">
        <v>1</v>
      </c>
      <c r="Z71" s="5">
        <v>2</v>
      </c>
      <c r="AA71" s="5">
        <v>0.5</v>
      </c>
      <c r="AB71" s="5">
        <v>1</v>
      </c>
      <c r="AC71" s="5">
        <v>1</v>
      </c>
      <c r="AD71" s="5">
        <v>2</v>
      </c>
      <c r="AE71" s="5">
        <v>2</v>
      </c>
      <c r="AF71" s="5">
        <v>2</v>
      </c>
      <c r="AG71" s="5">
        <v>1</v>
      </c>
      <c r="AH71" s="5">
        <v>1</v>
      </c>
      <c r="AI71" s="2">
        <v>15.5</v>
      </c>
      <c r="AJ71" s="2">
        <v>29.5</v>
      </c>
      <c r="AK71" s="2">
        <v>1</v>
      </c>
      <c r="AL71" s="2">
        <v>31</v>
      </c>
      <c r="AM71" s="2">
        <v>35</v>
      </c>
      <c r="AN71" t="str">
        <f>IF(OR(G71="",Participant_Data!E71=""),"",IF(Participant_Data!E71&lt;70,IF(ROUND(G71,1)&lt;18.5,"ขาด/เสี่ยงขาด",IF(ROUND(G71,1)&gt;=25,"เสี่ยงเกิน/เกิน","ปกติ")),IF(ROUND(G71,1)&lt;20,"ขาด/เสี่ยงขาด",IF(ROUND(G71,1)&gt;=25,"เสี่ยงเกิน/เกิน","ปกติ"))))</f>
        <v>เสี่ยงเกิน/เกิน</v>
      </c>
      <c r="AO71" t="str">
        <f>IF(OR(I71="",Participant_Data!G71=""),"",IF(Participant_Data!G71=1,IF(ROUND(I71,1)&lt;15,"ขาด/เสี่ยงขาด",IF(ROUND(I71,1)&gt;25,"เสี่ยงเกิน/เกิน","ปกติ")),IF(ROUND(I71,1)&lt;20,"ขาด/เสี่ยงขาด",IF(ROUND(I71,1)&gt;35,"เสี่ยงเกิน/เกิน","ปกติ"))))</f>
        <v>เสี่ยงเกิน/เกิน</v>
      </c>
      <c r="AP71" t="str">
        <f t="shared" si="3"/>
        <v>เสี่ยงเกิน/เกิน</v>
      </c>
    </row>
    <row r="72" spans="1:42">
      <c r="A72" s="2">
        <f>IF(Participant_Data!A72="","",Participant_Data!A72)</f>
        <v>71</v>
      </c>
      <c r="B72" s="2" t="str">
        <f>IF(Participant_Data!B72="","",Participant_Data!B72)</f>
        <v/>
      </c>
      <c r="C72" s="3" t="str">
        <f>IF(Participant_Data!C72="","",Participant_Data!C72)</f>
        <v/>
      </c>
      <c r="D72" s="5"/>
      <c r="E72" s="5">
        <v>160</v>
      </c>
      <c r="F72" s="5">
        <v>65.3</v>
      </c>
      <c r="G72" s="22">
        <f t="shared" si="2"/>
        <v>25.507812499999993</v>
      </c>
      <c r="H72" s="5">
        <v>16.649999999999999</v>
      </c>
      <c r="I72" s="5">
        <v>32.6</v>
      </c>
      <c r="J72" s="5">
        <v>8.5</v>
      </c>
      <c r="K72" s="5">
        <v>41.3</v>
      </c>
      <c r="L72" s="5">
        <v>2.7</v>
      </c>
      <c r="M72" s="5">
        <v>33</v>
      </c>
      <c r="N72" s="5">
        <v>1280</v>
      </c>
      <c r="O72" s="5">
        <v>2</v>
      </c>
      <c r="P72" s="5">
        <v>3</v>
      </c>
      <c r="Q72" s="5">
        <v>2</v>
      </c>
      <c r="R72" s="5">
        <v>2</v>
      </c>
      <c r="S72" s="5">
        <v>1</v>
      </c>
      <c r="T72" s="5">
        <v>3</v>
      </c>
      <c r="U72" s="2">
        <v>13</v>
      </c>
      <c r="V72" s="2">
        <v>1</v>
      </c>
      <c r="W72" s="5">
        <v>1</v>
      </c>
      <c r="X72" s="5">
        <v>1</v>
      </c>
      <c r="Y72" s="5">
        <v>1</v>
      </c>
      <c r="Z72" s="5">
        <v>2</v>
      </c>
      <c r="AA72" s="5">
        <v>0.5</v>
      </c>
      <c r="AB72" s="5">
        <v>1</v>
      </c>
      <c r="AC72" s="5">
        <v>1</v>
      </c>
      <c r="AD72" s="5">
        <v>2</v>
      </c>
      <c r="AE72" s="5">
        <v>2</v>
      </c>
      <c r="AF72" s="5">
        <v>0.5</v>
      </c>
      <c r="AG72" s="5">
        <v>1</v>
      </c>
      <c r="AH72" s="5">
        <v>1</v>
      </c>
      <c r="AI72" s="2">
        <v>14</v>
      </c>
      <c r="AJ72" s="2">
        <v>27</v>
      </c>
      <c r="AK72" s="2">
        <v>1</v>
      </c>
      <c r="AL72" s="2">
        <v>32</v>
      </c>
      <c r="AM72" s="2">
        <v>31</v>
      </c>
      <c r="AN72" t="str">
        <f>IF(OR(G72="",Participant_Data!E72=""),"",IF(Participant_Data!E72&lt;70,IF(ROUND(G72,1)&lt;18.5,"ขาด/เสี่ยงขาด",IF(ROUND(G72,1)&gt;=25,"เสี่ยงเกิน/เกิน","ปกติ")),IF(ROUND(G72,1)&lt;20,"ขาด/เสี่ยงขาด",IF(ROUND(G72,1)&gt;=25,"เสี่ยงเกิน/เกิน","ปกติ"))))</f>
        <v>เสี่ยงเกิน/เกิน</v>
      </c>
      <c r="AO72" t="str">
        <f>IF(OR(I72="",Participant_Data!G72=""),"",IF(Participant_Data!G72=1,IF(ROUND(I72,1)&lt;15,"ขาด/เสี่ยงขาด",IF(ROUND(I72,1)&gt;25,"เสี่ยงเกิน/เกิน","ปกติ")),IF(ROUND(I72,1)&lt;20,"ขาด/เสี่ยงขาด",IF(ROUND(I72,1)&gt;35,"เสี่ยงเกิน/เกิน","ปกติ"))))</f>
        <v>ปกติ</v>
      </c>
      <c r="AP72" t="str">
        <f t="shared" si="3"/>
        <v>เสี่ยงเกิน/เกิน</v>
      </c>
    </row>
    <row r="73" spans="1:42">
      <c r="A73" s="2">
        <f>IF(Participant_Data!A73="","",Participant_Data!A73)</f>
        <v>72</v>
      </c>
      <c r="B73" s="2" t="str">
        <f>IF(Participant_Data!B73="","",Participant_Data!B73)</f>
        <v/>
      </c>
      <c r="C73" s="3" t="str">
        <f>IF(Participant_Data!C73="","",Participant_Data!C73)</f>
        <v/>
      </c>
      <c r="D73" s="5"/>
      <c r="E73" s="5">
        <v>151</v>
      </c>
      <c r="F73" s="5">
        <v>51.5</v>
      </c>
      <c r="G73" s="22">
        <f t="shared" si="2"/>
        <v>22.586728652252095</v>
      </c>
      <c r="H73" s="5">
        <v>16.84</v>
      </c>
      <c r="I73" s="5">
        <v>32.700000000000003</v>
      </c>
      <c r="J73" s="5">
        <v>7</v>
      </c>
      <c r="K73" s="5">
        <v>32.799999999999997</v>
      </c>
      <c r="L73" s="5">
        <v>1.9</v>
      </c>
      <c r="M73" s="5">
        <v>46.6</v>
      </c>
      <c r="N73" s="5">
        <v>1002</v>
      </c>
      <c r="O73" s="5">
        <v>2</v>
      </c>
      <c r="P73" s="5">
        <v>3</v>
      </c>
      <c r="Q73" s="5">
        <v>2</v>
      </c>
      <c r="R73" s="5">
        <v>2</v>
      </c>
      <c r="S73" s="5">
        <v>2</v>
      </c>
      <c r="T73" s="5">
        <v>2</v>
      </c>
      <c r="U73" s="2">
        <v>13</v>
      </c>
      <c r="V73" s="2">
        <v>1</v>
      </c>
      <c r="W73" s="5">
        <v>1</v>
      </c>
      <c r="X73" s="5">
        <v>1</v>
      </c>
      <c r="Y73" s="5">
        <v>1</v>
      </c>
      <c r="Z73" s="5">
        <v>2</v>
      </c>
      <c r="AA73" s="5">
        <v>0.5</v>
      </c>
      <c r="AB73" s="5">
        <v>1</v>
      </c>
      <c r="AC73" s="5">
        <v>1</v>
      </c>
      <c r="AD73" s="5">
        <v>2</v>
      </c>
      <c r="AE73" s="5">
        <v>2</v>
      </c>
      <c r="AF73" s="5">
        <v>2</v>
      </c>
      <c r="AG73" s="5">
        <v>1</v>
      </c>
      <c r="AH73" s="5">
        <v>1</v>
      </c>
      <c r="AI73" s="2">
        <v>15.5</v>
      </c>
      <c r="AJ73" s="2">
        <v>28.5</v>
      </c>
      <c r="AK73" s="2">
        <v>1</v>
      </c>
      <c r="AL73" s="2">
        <v>27</v>
      </c>
      <c r="AM73" s="2">
        <v>34</v>
      </c>
      <c r="AN73" t="str">
        <f>IF(OR(G73="",Participant_Data!E73=""),"",IF(Participant_Data!E73&lt;70,IF(ROUND(G73,1)&lt;18.5,"ขาด/เสี่ยงขาด",IF(ROUND(G73,1)&gt;=25,"เสี่ยงเกิน/เกิน","ปกติ")),IF(ROUND(G73,1)&lt;20,"ขาด/เสี่ยงขาด",IF(ROUND(G73,1)&gt;=25,"เสี่ยงเกิน/เกิน","ปกติ"))))</f>
        <v>ปกติ</v>
      </c>
      <c r="AO73" t="str">
        <f>IF(OR(I73="",Participant_Data!G73=""),"",IF(Participant_Data!G73=1,IF(ROUND(I73,1)&lt;15,"ขาด/เสี่ยงขาด",IF(ROUND(I73,1)&gt;25,"เสี่ยงเกิน/เกิน","ปกติ")),IF(ROUND(I73,1)&lt;20,"ขาด/เสี่ยงขาด",IF(ROUND(I73,1)&gt;35,"เสี่ยงเกิน/เกิน","ปกติ"))))</f>
        <v>ปกติ</v>
      </c>
      <c r="AP73" t="str">
        <f t="shared" si="3"/>
        <v>ปกติ</v>
      </c>
    </row>
    <row r="74" spans="1:42">
      <c r="A74" s="2">
        <f>IF(Participant_Data!A74="","",Participant_Data!A74)</f>
        <v>73</v>
      </c>
      <c r="B74" s="2" t="str">
        <f>IF(Participant_Data!B74="","",Participant_Data!B74)</f>
        <v/>
      </c>
      <c r="C74" s="3" t="str">
        <f>IF(Participant_Data!C74="","",Participant_Data!C74)</f>
        <v/>
      </c>
      <c r="D74" s="5"/>
      <c r="E74" s="5">
        <v>165</v>
      </c>
      <c r="F74" s="5">
        <v>60.85</v>
      </c>
      <c r="G74" s="22">
        <f t="shared" si="2"/>
        <v>22.350780532598716</v>
      </c>
      <c r="H74" s="5">
        <v>21.72</v>
      </c>
      <c r="I74" s="5">
        <v>35.700000000000003</v>
      </c>
      <c r="J74" s="5">
        <v>7</v>
      </c>
      <c r="K74" s="5">
        <v>36.85</v>
      </c>
      <c r="L74" s="5">
        <v>2.2999999999999998</v>
      </c>
      <c r="M74" s="5">
        <v>41.1</v>
      </c>
      <c r="N74" s="5">
        <v>1149</v>
      </c>
      <c r="O74" s="5">
        <v>2</v>
      </c>
      <c r="P74" s="5">
        <v>3</v>
      </c>
      <c r="Q74" s="5">
        <v>2</v>
      </c>
      <c r="R74" s="5">
        <v>2</v>
      </c>
      <c r="S74" s="5">
        <v>2</v>
      </c>
      <c r="T74" s="5">
        <v>2</v>
      </c>
      <c r="U74" s="2">
        <v>13</v>
      </c>
      <c r="V74" s="2">
        <v>1</v>
      </c>
      <c r="W74" s="5">
        <v>1</v>
      </c>
      <c r="X74" s="5">
        <v>1</v>
      </c>
      <c r="Y74" s="5">
        <v>1</v>
      </c>
      <c r="Z74" s="5">
        <v>1</v>
      </c>
      <c r="AA74" s="5">
        <v>0.5</v>
      </c>
      <c r="AB74" s="5">
        <v>1</v>
      </c>
      <c r="AC74" s="5">
        <v>1</v>
      </c>
      <c r="AD74" s="5">
        <v>2</v>
      </c>
      <c r="AE74" s="5">
        <v>1</v>
      </c>
      <c r="AF74" s="5">
        <v>2</v>
      </c>
      <c r="AG74" s="5">
        <v>1</v>
      </c>
      <c r="AH74" s="5">
        <v>1</v>
      </c>
      <c r="AI74" s="2">
        <v>13.5</v>
      </c>
      <c r="AJ74" s="2">
        <v>26.5</v>
      </c>
      <c r="AK74" s="2">
        <v>1</v>
      </c>
      <c r="AL74" s="2">
        <v>27</v>
      </c>
      <c r="AM74" s="2">
        <v>33</v>
      </c>
      <c r="AN74" t="str">
        <f>IF(OR(G74="",Participant_Data!E74=""),"",IF(Participant_Data!E74&lt;70,IF(ROUND(G74,1)&lt;18.5,"ขาด/เสี่ยงขาด",IF(ROUND(G74,1)&gt;=25,"เสี่ยงเกิน/เกิน","ปกติ")),IF(ROUND(G74,1)&lt;20,"ขาด/เสี่ยงขาด",IF(ROUND(G74,1)&gt;=25,"เสี่ยงเกิน/เกิน","ปกติ"))))</f>
        <v>ปกติ</v>
      </c>
      <c r="AO74" t="str">
        <f>IF(OR(I74="",Participant_Data!G74=""),"",IF(Participant_Data!G74=1,IF(ROUND(I74,1)&lt;15,"ขาด/เสี่ยงขาด",IF(ROUND(I74,1)&gt;25,"เสี่ยงเกิน/เกิน","ปกติ")),IF(ROUND(I74,1)&lt;20,"ขาด/เสี่ยงขาด",IF(ROUND(I74,1)&gt;35,"เสี่ยงเกิน/เกิน","ปกติ"))))</f>
        <v>เสี่ยงเกิน/เกิน</v>
      </c>
      <c r="AP74" t="str">
        <f t="shared" si="3"/>
        <v>เสี่ยงเกิน/เกิน</v>
      </c>
    </row>
    <row r="75" spans="1:42">
      <c r="A75" s="2">
        <f>IF(Participant_Data!A75="","",Participant_Data!A75)</f>
        <v>74</v>
      </c>
      <c r="B75" s="2" t="str">
        <f>IF(Participant_Data!B75="","",Participant_Data!B75)</f>
        <v/>
      </c>
      <c r="C75" s="3" t="str">
        <f>IF(Participant_Data!C75="","",Participant_Data!C75)</f>
        <v/>
      </c>
      <c r="D75" s="5"/>
      <c r="E75" s="5">
        <v>148</v>
      </c>
      <c r="F75" s="5">
        <v>70.8</v>
      </c>
      <c r="G75" s="22">
        <f t="shared" si="2"/>
        <v>32.322863403944488</v>
      </c>
      <c r="H75" s="5">
        <v>31.86</v>
      </c>
      <c r="I75" s="5">
        <v>45</v>
      </c>
      <c r="J75" s="5">
        <v>12</v>
      </c>
      <c r="K75" s="5">
        <v>36.700000000000003</v>
      </c>
      <c r="L75" s="5">
        <v>2.2000000000000002</v>
      </c>
      <c r="M75" s="5">
        <v>43.4</v>
      </c>
      <c r="N75" s="5">
        <v>1194</v>
      </c>
      <c r="O75" s="5">
        <v>2</v>
      </c>
      <c r="P75" s="5">
        <v>2</v>
      </c>
      <c r="Q75" s="5">
        <v>2</v>
      </c>
      <c r="R75" s="5">
        <v>2</v>
      </c>
      <c r="S75" s="5">
        <v>2</v>
      </c>
      <c r="T75" s="5">
        <v>3</v>
      </c>
      <c r="U75" s="2">
        <v>13</v>
      </c>
      <c r="V75" s="2">
        <v>1</v>
      </c>
      <c r="W75" s="5">
        <v>1</v>
      </c>
      <c r="X75" s="5">
        <v>1</v>
      </c>
      <c r="Y75" s="5">
        <v>1</v>
      </c>
      <c r="Z75" s="5">
        <v>2</v>
      </c>
      <c r="AA75" s="5">
        <v>0.5</v>
      </c>
      <c r="AB75" s="5">
        <v>1</v>
      </c>
      <c r="AC75" s="5">
        <v>1</v>
      </c>
      <c r="AD75" s="5">
        <v>2</v>
      </c>
      <c r="AE75" s="5">
        <v>1</v>
      </c>
      <c r="AF75" s="5">
        <v>2</v>
      </c>
      <c r="AG75" s="5">
        <v>1</v>
      </c>
      <c r="AH75" s="5">
        <v>1</v>
      </c>
      <c r="AI75" s="2">
        <v>14.5</v>
      </c>
      <c r="AJ75" s="2">
        <v>27.5</v>
      </c>
      <c r="AK75" s="2">
        <v>1</v>
      </c>
      <c r="AL75" s="2">
        <v>31</v>
      </c>
      <c r="AM75" s="2">
        <v>39</v>
      </c>
      <c r="AN75" t="str">
        <f>IF(OR(G75="",Participant_Data!E75=""),"",IF(Participant_Data!E75&lt;70,IF(ROUND(G75,1)&lt;18.5,"ขาด/เสี่ยงขาด",IF(ROUND(G75,1)&gt;=25,"เสี่ยงเกิน/เกิน","ปกติ")),IF(ROUND(G75,1)&lt;20,"ขาด/เสี่ยงขาด",IF(ROUND(G75,1)&gt;=25,"เสี่ยงเกิน/เกิน","ปกติ"))))</f>
        <v>เสี่ยงเกิน/เกิน</v>
      </c>
      <c r="AO75" t="str">
        <f>IF(OR(I75="",Participant_Data!G75=""),"",IF(Participant_Data!G75=1,IF(ROUND(I75,1)&lt;15,"ขาด/เสี่ยงขาด",IF(ROUND(I75,1)&gt;25,"เสี่ยงเกิน/เกิน","ปกติ")),IF(ROUND(I75,1)&lt;20,"ขาด/เสี่ยงขาด",IF(ROUND(I75,1)&gt;35,"เสี่ยงเกิน/เกิน","ปกติ"))))</f>
        <v>เสี่ยงเกิน/เกิน</v>
      </c>
      <c r="AP75" t="str">
        <f t="shared" si="3"/>
        <v>เสี่ยงเกิน/เกิน</v>
      </c>
    </row>
    <row r="76" spans="1:42">
      <c r="A76" s="2">
        <f>IF(Participant_Data!A76="","",Participant_Data!A76)</f>
        <v>75</v>
      </c>
      <c r="B76" s="2" t="str">
        <f>IF(Participant_Data!B76="","",Participant_Data!B76)</f>
        <v/>
      </c>
      <c r="C76" s="3" t="str">
        <f>IF(Participant_Data!C76="","",Participant_Data!C76)</f>
        <v/>
      </c>
      <c r="D76" s="5"/>
      <c r="E76" s="5">
        <v>153</v>
      </c>
      <c r="F76" s="5">
        <v>49.5</v>
      </c>
      <c r="G76" s="22">
        <f t="shared" si="2"/>
        <v>21.145713187235678</v>
      </c>
      <c r="H76" s="5">
        <v>10.79</v>
      </c>
      <c r="I76" s="5">
        <v>21.8</v>
      </c>
      <c r="J76" s="5">
        <v>5</v>
      </c>
      <c r="K76" s="5">
        <v>36.5</v>
      </c>
      <c r="L76" s="5">
        <v>2.2000000000000002</v>
      </c>
      <c r="M76" s="5">
        <v>42.7</v>
      </c>
      <c r="N76" s="5">
        <v>1081</v>
      </c>
      <c r="O76" s="5">
        <v>2</v>
      </c>
      <c r="P76" s="5">
        <v>3</v>
      </c>
      <c r="Q76" s="5">
        <v>2</v>
      </c>
      <c r="R76" s="5">
        <v>2</v>
      </c>
      <c r="S76" s="5">
        <v>2</v>
      </c>
      <c r="T76" s="5">
        <v>2</v>
      </c>
      <c r="U76" s="2">
        <v>13</v>
      </c>
      <c r="V76" s="2">
        <v>1</v>
      </c>
      <c r="W76" s="5">
        <v>1</v>
      </c>
      <c r="X76" s="5">
        <v>0</v>
      </c>
      <c r="Y76" s="5">
        <v>1</v>
      </c>
      <c r="Z76" s="5">
        <v>2</v>
      </c>
      <c r="AA76" s="5">
        <v>0.5</v>
      </c>
      <c r="AB76" s="5">
        <v>1</v>
      </c>
      <c r="AC76" s="5">
        <v>1</v>
      </c>
      <c r="AD76" s="5">
        <v>2</v>
      </c>
      <c r="AE76" s="5">
        <v>1</v>
      </c>
      <c r="AF76" s="5">
        <v>0</v>
      </c>
      <c r="AG76" s="5">
        <v>1</v>
      </c>
      <c r="AH76" s="5">
        <v>1</v>
      </c>
      <c r="AI76" s="2">
        <v>11.5</v>
      </c>
      <c r="AJ76" s="2">
        <v>24.5</v>
      </c>
      <c r="AK76" s="2">
        <v>1</v>
      </c>
      <c r="AL76" s="2">
        <v>26.5</v>
      </c>
      <c r="AM76" s="2">
        <v>33</v>
      </c>
      <c r="AN76" t="str">
        <f>IF(OR(G76="",Participant_Data!E76=""),"",IF(Participant_Data!E76&lt;70,IF(ROUND(G76,1)&lt;18.5,"ขาด/เสี่ยงขาด",IF(ROUND(G76,1)&gt;=25,"เสี่ยงเกิน/เกิน","ปกติ")),IF(ROUND(G76,1)&lt;20,"ขาด/เสี่ยงขาด",IF(ROUND(G76,1)&gt;=25,"เสี่ยงเกิน/เกิน","ปกติ"))))</f>
        <v>ปกติ</v>
      </c>
      <c r="AO76" t="str">
        <f>IF(OR(I76="",Participant_Data!G76=""),"",IF(Participant_Data!G76=1,IF(ROUND(I76,1)&lt;15,"ขาด/เสี่ยงขาด",IF(ROUND(I76,1)&gt;25,"เสี่ยงเกิน/เกิน","ปกติ")),IF(ROUND(I76,1)&lt;20,"ขาด/เสี่ยงขาด",IF(ROUND(I76,1)&gt;35,"เสี่ยงเกิน/เกิน","ปกติ"))))</f>
        <v>ปกติ</v>
      </c>
      <c r="AP76" t="str">
        <f t="shared" si="3"/>
        <v>ปกติ</v>
      </c>
    </row>
    <row r="77" spans="1:42">
      <c r="A77" s="2">
        <f>IF(Participant_Data!A77="","",Participant_Data!A77)</f>
        <v>76</v>
      </c>
      <c r="B77" s="2" t="str">
        <f>IF(Participant_Data!B77="","",Participant_Data!B77)</f>
        <v/>
      </c>
      <c r="C77" s="3" t="str">
        <f>IF(Participant_Data!C77="","",Participant_Data!C77)</f>
        <v/>
      </c>
      <c r="D77" s="5"/>
      <c r="E77" s="5">
        <v>160</v>
      </c>
      <c r="F77" s="5">
        <v>60.35</v>
      </c>
      <c r="G77" s="22">
        <f t="shared" si="2"/>
        <v>23.574218749999996</v>
      </c>
      <c r="H77" s="5">
        <v>19.86</v>
      </c>
      <c r="I77" s="5">
        <v>32.9</v>
      </c>
      <c r="J77" s="5">
        <v>7.5</v>
      </c>
      <c r="K77" s="5">
        <v>38.15</v>
      </c>
      <c r="L77" s="5">
        <v>2.4</v>
      </c>
      <c r="M77" s="5">
        <v>47.5</v>
      </c>
      <c r="N77" s="5">
        <v>1177</v>
      </c>
      <c r="O77" s="5">
        <v>2</v>
      </c>
      <c r="P77" s="5">
        <v>2</v>
      </c>
      <c r="Q77" s="5">
        <v>2</v>
      </c>
      <c r="R77" s="5">
        <v>2</v>
      </c>
      <c r="S77" s="5">
        <v>2</v>
      </c>
      <c r="T77" s="5">
        <v>3</v>
      </c>
      <c r="U77" s="2">
        <v>13</v>
      </c>
      <c r="V77" s="2">
        <v>1</v>
      </c>
      <c r="W77" s="5">
        <v>1</v>
      </c>
      <c r="X77" s="5">
        <v>1</v>
      </c>
      <c r="Y77" s="5">
        <v>1</v>
      </c>
      <c r="Z77" s="5">
        <v>1</v>
      </c>
      <c r="AA77" s="5">
        <v>0.5</v>
      </c>
      <c r="AB77" s="5">
        <v>1</v>
      </c>
      <c r="AC77" s="5">
        <v>1</v>
      </c>
      <c r="AD77" s="5">
        <v>2</v>
      </c>
      <c r="AE77" s="5">
        <v>2</v>
      </c>
      <c r="AF77" s="5">
        <v>2</v>
      </c>
      <c r="AG77" s="5">
        <v>1</v>
      </c>
      <c r="AH77" s="5">
        <v>1</v>
      </c>
      <c r="AI77" s="2">
        <v>14.5</v>
      </c>
      <c r="AJ77" s="2">
        <v>27.5</v>
      </c>
      <c r="AK77" s="2">
        <v>1</v>
      </c>
      <c r="AL77" s="2">
        <v>25</v>
      </c>
      <c r="AM77" s="2">
        <v>35</v>
      </c>
      <c r="AN77" t="str">
        <f>IF(OR(G77="",Participant_Data!E77=""),"",IF(Participant_Data!E77&lt;70,IF(ROUND(G77,1)&lt;18.5,"ขาด/เสี่ยงขาด",IF(ROUND(G77,1)&gt;=25,"เสี่ยงเกิน/เกิน","ปกติ")),IF(ROUND(G77,1)&lt;20,"ขาด/เสี่ยงขาด",IF(ROUND(G77,1)&gt;=25,"เสี่ยงเกิน/เกิน","ปกติ"))))</f>
        <v>ปกติ</v>
      </c>
      <c r="AO77" t="str">
        <f>IF(OR(I77="",Participant_Data!G77=""),"",IF(Participant_Data!G77=1,IF(ROUND(I77,1)&lt;15,"ขาด/เสี่ยงขาด",IF(ROUND(I77,1)&gt;25,"เสี่ยงเกิน/เกิน","ปกติ")),IF(ROUND(I77,1)&lt;20,"ขาด/เสี่ยงขาด",IF(ROUND(I77,1)&gt;35,"เสี่ยงเกิน/เกิน","ปกติ"))))</f>
        <v>ปกติ</v>
      </c>
      <c r="AP77" t="str">
        <f t="shared" si="3"/>
        <v>ปกติ</v>
      </c>
    </row>
    <row r="78" spans="1:42">
      <c r="A78" s="2">
        <f>IF(Participant_Data!A78="","",Participant_Data!A78)</f>
        <v>77</v>
      </c>
      <c r="B78" s="2" t="str">
        <f>IF(Participant_Data!B78="","",Participant_Data!B78)</f>
        <v/>
      </c>
      <c r="C78" s="3" t="str">
        <f>IF(Participant_Data!C78="","",Participant_Data!C78)</f>
        <v/>
      </c>
      <c r="D78" s="5"/>
      <c r="E78" s="5">
        <v>160</v>
      </c>
      <c r="F78" s="5">
        <v>72.25</v>
      </c>
      <c r="G78" s="22">
        <f t="shared" si="2"/>
        <v>28.222656249999993</v>
      </c>
      <c r="H78" s="5">
        <v>29.12</v>
      </c>
      <c r="I78" s="5">
        <v>40.299999999999997</v>
      </c>
      <c r="J78" s="5">
        <v>10</v>
      </c>
      <c r="K78" s="5">
        <v>40.5</v>
      </c>
      <c r="L78" s="5">
        <v>2.6</v>
      </c>
      <c r="M78" s="5">
        <v>42.8</v>
      </c>
      <c r="N78" s="5">
        <v>1300</v>
      </c>
      <c r="O78" s="5">
        <v>2</v>
      </c>
      <c r="P78" s="5">
        <v>3</v>
      </c>
      <c r="Q78" s="5">
        <v>2</v>
      </c>
      <c r="R78" s="5">
        <v>2</v>
      </c>
      <c r="S78" s="5">
        <v>2</v>
      </c>
      <c r="T78" s="5">
        <v>3</v>
      </c>
      <c r="U78" s="2">
        <v>14</v>
      </c>
      <c r="V78" s="2">
        <v>1</v>
      </c>
      <c r="W78" s="5">
        <v>1</v>
      </c>
      <c r="X78" s="5">
        <v>1</v>
      </c>
      <c r="Y78" s="5">
        <v>1</v>
      </c>
      <c r="Z78" s="5">
        <v>1</v>
      </c>
      <c r="AA78" s="5">
        <v>0.5</v>
      </c>
      <c r="AB78" s="5">
        <v>1</v>
      </c>
      <c r="AC78" s="5">
        <v>1</v>
      </c>
      <c r="AD78" s="5">
        <v>2</v>
      </c>
      <c r="AE78" s="5">
        <v>2</v>
      </c>
      <c r="AF78" s="5">
        <v>1</v>
      </c>
      <c r="AG78" s="5">
        <v>1</v>
      </c>
      <c r="AH78" s="5">
        <v>1</v>
      </c>
      <c r="AI78" s="2">
        <v>13.5</v>
      </c>
      <c r="AJ78" s="2">
        <v>27.5</v>
      </c>
      <c r="AK78" s="2">
        <v>1</v>
      </c>
      <c r="AL78" s="2">
        <v>30</v>
      </c>
      <c r="AM78" s="2">
        <v>39.5</v>
      </c>
      <c r="AN78" t="str">
        <f>IF(OR(G78="",Participant_Data!E78=""),"",IF(Participant_Data!E78&lt;70,IF(ROUND(G78,1)&lt;18.5,"ขาด/เสี่ยงขาด",IF(ROUND(G78,1)&gt;=25,"เสี่ยงเกิน/เกิน","ปกติ")),IF(ROUND(G78,1)&lt;20,"ขาด/เสี่ยงขาด",IF(ROUND(G78,1)&gt;=25,"เสี่ยงเกิน/เกิน","ปกติ"))))</f>
        <v>เสี่ยงเกิน/เกิน</v>
      </c>
      <c r="AO78" t="str">
        <f>IF(OR(I78="",Participant_Data!G78=""),"",IF(Participant_Data!G78=1,IF(ROUND(I78,1)&lt;15,"ขาด/เสี่ยงขาด",IF(ROUND(I78,1)&gt;25,"เสี่ยงเกิน/เกิน","ปกติ")),IF(ROUND(I78,1)&lt;20,"ขาด/เสี่ยงขาด",IF(ROUND(I78,1)&gt;35,"เสี่ยงเกิน/เกิน","ปกติ"))))</f>
        <v>เสี่ยงเกิน/เกิน</v>
      </c>
      <c r="AP78" t="str">
        <f t="shared" si="3"/>
        <v>เสี่ยงเกิน/เกิน</v>
      </c>
    </row>
    <row r="79" spans="1:42">
      <c r="A79" s="2">
        <f>IF(Participant_Data!A79="","",Participant_Data!A79)</f>
        <v>78</v>
      </c>
      <c r="B79" s="2" t="str">
        <f>IF(Participant_Data!B79="","",Participant_Data!B79)</f>
        <v/>
      </c>
      <c r="C79" s="3" t="str">
        <f>IF(Participant_Data!C79="","",Participant_Data!C79)</f>
        <v/>
      </c>
      <c r="D79" s="5"/>
      <c r="E79" s="5">
        <v>155</v>
      </c>
      <c r="F79" s="5">
        <v>67</v>
      </c>
      <c r="G79" s="22">
        <f t="shared" si="2"/>
        <v>27.887617065556707</v>
      </c>
      <c r="H79" s="5">
        <v>27.34</v>
      </c>
      <c r="I79" s="5">
        <v>40.799999999999997</v>
      </c>
      <c r="J79" s="5">
        <v>9.5</v>
      </c>
      <c r="K79" s="5">
        <v>37.35</v>
      </c>
      <c r="L79" s="5">
        <v>2.2999999999999998</v>
      </c>
      <c r="M79" s="5">
        <v>42.6</v>
      </c>
      <c r="N79" s="5">
        <v>1196</v>
      </c>
      <c r="O79" s="5">
        <v>2</v>
      </c>
      <c r="P79" s="5">
        <v>2</v>
      </c>
      <c r="Q79" s="5">
        <v>2</v>
      </c>
      <c r="R79" s="5">
        <v>2</v>
      </c>
      <c r="S79" s="5">
        <v>2</v>
      </c>
      <c r="T79" s="5">
        <v>3</v>
      </c>
      <c r="U79" s="2">
        <v>13</v>
      </c>
      <c r="V79" s="2">
        <v>1</v>
      </c>
      <c r="W79" s="5">
        <v>1</v>
      </c>
      <c r="X79" s="5">
        <v>1</v>
      </c>
      <c r="Y79" s="5">
        <v>1</v>
      </c>
      <c r="Z79" s="5">
        <v>2</v>
      </c>
      <c r="AA79" s="5">
        <v>0.5</v>
      </c>
      <c r="AB79" s="5">
        <v>1</v>
      </c>
      <c r="AC79" s="5">
        <v>1</v>
      </c>
      <c r="AD79" s="5">
        <v>2</v>
      </c>
      <c r="AE79" s="5">
        <v>1</v>
      </c>
      <c r="AF79" s="5">
        <v>1</v>
      </c>
      <c r="AG79" s="5">
        <v>1</v>
      </c>
      <c r="AH79" s="5">
        <v>1</v>
      </c>
      <c r="AI79" s="2">
        <v>13.5</v>
      </c>
      <c r="AJ79" s="2">
        <v>26.5</v>
      </c>
      <c r="AK79" s="2">
        <v>1</v>
      </c>
      <c r="AL79" s="2">
        <v>33</v>
      </c>
      <c r="AM79" s="2">
        <v>37.5</v>
      </c>
      <c r="AN79" t="str">
        <f>IF(OR(G79="",Participant_Data!E79=""),"",IF(Participant_Data!E79&lt;70,IF(ROUND(G79,1)&lt;18.5,"ขาด/เสี่ยงขาด",IF(ROUND(G79,1)&gt;=25,"เสี่ยงเกิน/เกิน","ปกติ")),IF(ROUND(G79,1)&lt;20,"ขาด/เสี่ยงขาด",IF(ROUND(G79,1)&gt;=25,"เสี่ยงเกิน/เกิน","ปกติ"))))</f>
        <v>เสี่ยงเกิน/เกิน</v>
      </c>
      <c r="AO79" t="str">
        <f>IF(OR(I79="",Participant_Data!G79=""),"",IF(Participant_Data!G79=1,IF(ROUND(I79,1)&lt;15,"ขาด/เสี่ยงขาด",IF(ROUND(I79,1)&gt;25,"เสี่ยงเกิน/เกิน","ปกติ")),IF(ROUND(I79,1)&lt;20,"ขาด/เสี่ยงขาด",IF(ROUND(I79,1)&gt;35,"เสี่ยงเกิน/เกิน","ปกติ"))))</f>
        <v>เสี่ยงเกิน/เกิน</v>
      </c>
      <c r="AP79" t="str">
        <f t="shared" si="3"/>
        <v>เสี่ยงเกิน/เกิน</v>
      </c>
    </row>
    <row r="80" spans="1:42">
      <c r="A80" s="2">
        <f>IF(Participant_Data!A80="","",Participant_Data!A80)</f>
        <v>79</v>
      </c>
      <c r="B80" s="2" t="str">
        <f>IF(Participant_Data!B80="","",Participant_Data!B80)</f>
        <v/>
      </c>
      <c r="C80" s="3" t="str">
        <f>IF(Participant_Data!C80="","",Participant_Data!C80)</f>
        <v/>
      </c>
      <c r="D80" s="5"/>
      <c r="E80" s="5">
        <v>155</v>
      </c>
      <c r="F80" s="5">
        <v>66.55</v>
      </c>
      <c r="G80" s="22">
        <f t="shared" si="2"/>
        <v>27.700312174817892</v>
      </c>
      <c r="H80" s="5">
        <v>26.69</v>
      </c>
      <c r="I80" s="5">
        <v>40.1</v>
      </c>
      <c r="J80" s="5">
        <v>9.5</v>
      </c>
      <c r="K80" s="5">
        <v>37.549999999999997</v>
      </c>
      <c r="L80" s="5">
        <v>2.2999999999999998</v>
      </c>
      <c r="M80" s="5">
        <v>39.700000000000003</v>
      </c>
      <c r="N80" s="5">
        <v>1196</v>
      </c>
      <c r="O80" s="5">
        <v>2</v>
      </c>
      <c r="P80" s="5">
        <v>3</v>
      </c>
      <c r="Q80" s="5">
        <v>2</v>
      </c>
      <c r="R80" s="5">
        <v>2</v>
      </c>
      <c r="S80" s="5">
        <v>2</v>
      </c>
      <c r="T80" s="5">
        <v>3</v>
      </c>
      <c r="U80" s="2">
        <v>14</v>
      </c>
      <c r="V80" s="2">
        <v>1</v>
      </c>
      <c r="W80" s="5">
        <v>1</v>
      </c>
      <c r="X80" s="5">
        <v>1</v>
      </c>
      <c r="Y80" s="5">
        <v>1</v>
      </c>
      <c r="Z80" s="5">
        <v>2</v>
      </c>
      <c r="AA80" s="5">
        <v>1</v>
      </c>
      <c r="AB80" s="5">
        <v>1</v>
      </c>
      <c r="AC80" s="5">
        <v>1</v>
      </c>
      <c r="AD80" s="5">
        <v>2</v>
      </c>
      <c r="AE80" s="5">
        <v>2</v>
      </c>
      <c r="AF80" s="5">
        <v>2</v>
      </c>
      <c r="AG80" s="5">
        <v>1</v>
      </c>
      <c r="AH80" s="5">
        <v>1</v>
      </c>
      <c r="AI80" s="2">
        <v>16</v>
      </c>
      <c r="AJ80" s="2">
        <v>30</v>
      </c>
      <c r="AK80" s="2">
        <v>1</v>
      </c>
      <c r="AL80" s="2">
        <v>30</v>
      </c>
      <c r="AM80" s="2">
        <v>34.5</v>
      </c>
      <c r="AN80" t="str">
        <f>IF(OR(G80="",Participant_Data!E80=""),"",IF(Participant_Data!E80&lt;70,IF(ROUND(G80,1)&lt;18.5,"ขาด/เสี่ยงขาด",IF(ROUND(G80,1)&gt;=25,"เสี่ยงเกิน/เกิน","ปกติ")),IF(ROUND(G80,1)&lt;20,"ขาด/เสี่ยงขาด",IF(ROUND(G80,1)&gt;=25,"เสี่ยงเกิน/เกิน","ปกติ"))))</f>
        <v>เสี่ยงเกิน/เกิน</v>
      </c>
      <c r="AO80" t="str">
        <f>IF(OR(I80="",Participant_Data!G80=""),"",IF(Participant_Data!G80=1,IF(ROUND(I80,1)&lt;15,"ขาด/เสี่ยงขาด",IF(ROUND(I80,1)&gt;25,"เสี่ยงเกิน/เกิน","ปกติ")),IF(ROUND(I80,1)&lt;20,"ขาด/เสี่ยงขาด",IF(ROUND(I80,1)&gt;35,"เสี่ยงเกิน/เกิน","ปกติ"))))</f>
        <v>เสี่ยงเกิน/เกิน</v>
      </c>
      <c r="AP80" t="str">
        <f t="shared" si="3"/>
        <v>เสี่ยงเกิน/เกิน</v>
      </c>
    </row>
    <row r="81" spans="1:42">
      <c r="A81" s="2">
        <f>IF(Participant_Data!A81="","",Participant_Data!A81)</f>
        <v>80</v>
      </c>
      <c r="B81" s="2" t="str">
        <f>IF(Participant_Data!B81="","",Participant_Data!B81)</f>
        <v/>
      </c>
      <c r="C81" s="3" t="str">
        <f>IF(Participant_Data!C81="","",Participant_Data!C81)</f>
        <v/>
      </c>
      <c r="D81" s="5"/>
      <c r="E81" s="5">
        <v>178</v>
      </c>
      <c r="F81" s="5">
        <v>110</v>
      </c>
      <c r="G81" s="22">
        <f t="shared" si="2"/>
        <v>34.71783865673526</v>
      </c>
      <c r="H81" s="5">
        <v>33</v>
      </c>
      <c r="I81" s="5">
        <v>30</v>
      </c>
      <c r="J81" s="5">
        <v>21</v>
      </c>
      <c r="K81" s="5">
        <v>73.05</v>
      </c>
      <c r="L81" s="5">
        <v>4</v>
      </c>
      <c r="M81" s="5">
        <v>51.4</v>
      </c>
      <c r="N81" s="5">
        <v>2235</v>
      </c>
      <c r="O81" s="5">
        <v>2</v>
      </c>
      <c r="P81" s="5">
        <v>3</v>
      </c>
      <c r="Q81" s="5">
        <v>2</v>
      </c>
      <c r="R81" s="5">
        <v>2</v>
      </c>
      <c r="S81" s="5">
        <v>2</v>
      </c>
      <c r="T81" s="5">
        <v>3</v>
      </c>
      <c r="U81" s="2">
        <v>14</v>
      </c>
      <c r="V81" s="2">
        <v>1</v>
      </c>
      <c r="W81" s="5">
        <v>1</v>
      </c>
      <c r="X81" s="5">
        <v>0</v>
      </c>
      <c r="Y81" s="5">
        <v>1</v>
      </c>
      <c r="Z81" s="5">
        <v>1</v>
      </c>
      <c r="AA81" s="5">
        <v>0</v>
      </c>
      <c r="AB81" s="5">
        <v>1</v>
      </c>
      <c r="AC81" s="5">
        <v>1</v>
      </c>
      <c r="AD81" s="5">
        <v>2</v>
      </c>
      <c r="AE81" s="5">
        <v>2</v>
      </c>
      <c r="AF81" s="5">
        <v>1</v>
      </c>
      <c r="AG81" s="5">
        <v>1</v>
      </c>
      <c r="AH81" s="5">
        <v>1</v>
      </c>
      <c r="AI81" s="2">
        <v>12</v>
      </c>
      <c r="AJ81" s="2">
        <v>26</v>
      </c>
      <c r="AK81" s="2">
        <v>1</v>
      </c>
      <c r="AL81" s="2">
        <v>38.5</v>
      </c>
      <c r="AM81" s="2">
        <v>46</v>
      </c>
      <c r="AN81" t="str">
        <f>IF(OR(G81="",Participant_Data!E81=""),"",IF(Participant_Data!E81&lt;70,IF(ROUND(G81,1)&lt;18.5,"ขาด/เสี่ยงขาด",IF(ROUND(G81,1)&gt;=25,"เสี่ยงเกิน/เกิน","ปกติ")),IF(ROUND(G81,1)&lt;20,"ขาด/เสี่ยงขาด",IF(ROUND(G81,1)&gt;=25,"เสี่ยงเกิน/เกิน","ปกติ"))))</f>
        <v>เสี่ยงเกิน/เกิน</v>
      </c>
      <c r="AO81" t="str">
        <f>IF(OR(I81="",Participant_Data!G81=""),"",IF(Participant_Data!G81=1,IF(ROUND(I81,1)&lt;15,"ขาด/เสี่ยงขาด",IF(ROUND(I81,1)&gt;25,"เสี่ยงเกิน/เกิน","ปกติ")),IF(ROUND(I81,1)&lt;20,"ขาด/เสี่ยงขาด",IF(ROUND(I81,1)&gt;35,"เสี่ยงเกิน/เกิน","ปกติ"))))</f>
        <v>เสี่ยงเกิน/เกิน</v>
      </c>
      <c r="AP81" t="str">
        <f t="shared" si="3"/>
        <v>เสี่ยงเกิน/เกิน</v>
      </c>
    </row>
    <row r="82" spans="1:42">
      <c r="A82" s="2">
        <f>IF(Participant_Data!A82="","",Participant_Data!A82)</f>
        <v>81</v>
      </c>
      <c r="B82" s="2" t="str">
        <f>IF(Participant_Data!B82="","",Participant_Data!B82)</f>
        <v/>
      </c>
      <c r="C82" s="3" t="str">
        <f>IF(Participant_Data!C82="","",Participant_Data!C82)</f>
        <v/>
      </c>
      <c r="D82" s="5"/>
      <c r="E82" s="5">
        <v>158</v>
      </c>
      <c r="F82" s="5">
        <v>59.65</v>
      </c>
      <c r="G82" s="22">
        <f t="shared" si="2"/>
        <v>23.894407947444314</v>
      </c>
      <c r="H82" s="5">
        <v>18.43</v>
      </c>
      <c r="I82" s="5">
        <v>30.9</v>
      </c>
      <c r="J82" s="5">
        <v>7.5</v>
      </c>
      <c r="K82" s="5">
        <v>38.799999999999997</v>
      </c>
      <c r="L82" s="5">
        <v>2.4</v>
      </c>
      <c r="M82" s="5">
        <v>46.9</v>
      </c>
      <c r="N82" s="5">
        <v>1191</v>
      </c>
      <c r="O82" s="5">
        <v>2</v>
      </c>
      <c r="P82" s="5">
        <v>3</v>
      </c>
      <c r="Q82" s="5">
        <v>2</v>
      </c>
      <c r="R82" s="5">
        <v>2</v>
      </c>
      <c r="S82" s="5">
        <v>2</v>
      </c>
      <c r="T82" s="5">
        <v>3</v>
      </c>
      <c r="U82" s="2">
        <v>14</v>
      </c>
      <c r="V82" s="2">
        <v>1</v>
      </c>
      <c r="W82" s="5">
        <v>1</v>
      </c>
      <c r="X82" s="5">
        <v>1</v>
      </c>
      <c r="Y82" s="5">
        <v>1</v>
      </c>
      <c r="Z82" s="5">
        <v>1</v>
      </c>
      <c r="AA82" s="5">
        <v>0</v>
      </c>
      <c r="AB82" s="5">
        <v>1</v>
      </c>
      <c r="AC82" s="5">
        <v>1</v>
      </c>
      <c r="AD82" s="5">
        <v>2</v>
      </c>
      <c r="AE82" s="5">
        <v>1</v>
      </c>
      <c r="AF82" s="5">
        <v>1</v>
      </c>
      <c r="AG82" s="5">
        <v>1</v>
      </c>
      <c r="AH82" s="5">
        <v>1</v>
      </c>
      <c r="AI82" s="2">
        <v>12</v>
      </c>
      <c r="AJ82" s="2">
        <v>26</v>
      </c>
      <c r="AK82" s="2">
        <v>1</v>
      </c>
      <c r="AL82" s="2">
        <v>27</v>
      </c>
      <c r="AM82" s="2">
        <v>36</v>
      </c>
      <c r="AN82" t="str">
        <f>IF(OR(G82="",Participant_Data!E82=""),"",IF(Participant_Data!E82&lt;70,IF(ROUND(G82,1)&lt;18.5,"ขาด/เสี่ยงขาด",IF(ROUND(G82,1)&gt;=25,"เสี่ยงเกิน/เกิน","ปกติ")),IF(ROUND(G82,1)&lt;20,"ขาด/เสี่ยงขาด",IF(ROUND(G82,1)&gt;=25,"เสี่ยงเกิน/เกิน","ปกติ"))))</f>
        <v>ปกติ</v>
      </c>
      <c r="AO82" t="str">
        <f>IF(OR(I82="",Participant_Data!G82=""),"",IF(Participant_Data!G82=1,IF(ROUND(I82,1)&lt;15,"ขาด/เสี่ยงขาด",IF(ROUND(I82,1)&gt;25,"เสี่ยงเกิน/เกิน","ปกติ")),IF(ROUND(I82,1)&lt;20,"ขาด/เสี่ยงขาด",IF(ROUND(I82,1)&gt;35,"เสี่ยงเกิน/เกิน","ปกติ"))))</f>
        <v>ปกติ</v>
      </c>
      <c r="AP82" t="str">
        <f t="shared" si="3"/>
        <v>ปกติ</v>
      </c>
    </row>
    <row r="83" spans="1:42">
      <c r="A83" s="2">
        <f>IF(Participant_Data!A83="","",Participant_Data!A83)</f>
        <v>82</v>
      </c>
      <c r="B83" s="2" t="str">
        <f>IF(Participant_Data!B83="","",Participant_Data!B83)</f>
        <v/>
      </c>
      <c r="C83" s="3" t="str">
        <f>IF(Participant_Data!C83="","",Participant_Data!C83)</f>
        <v/>
      </c>
      <c r="D83" s="5"/>
      <c r="E83" s="5">
        <v>153</v>
      </c>
      <c r="F83" s="5">
        <v>47.45</v>
      </c>
      <c r="G83" s="22">
        <f t="shared" si="2"/>
        <v>20.269981630996625</v>
      </c>
      <c r="H83" s="5">
        <v>13.33</v>
      </c>
      <c r="I83" s="5">
        <v>28.1</v>
      </c>
      <c r="J83" s="5">
        <v>5</v>
      </c>
      <c r="K83" s="5">
        <v>32.299999999999997</v>
      </c>
      <c r="L83" s="5">
        <v>1.8</v>
      </c>
      <c r="M83" s="5">
        <v>49.1</v>
      </c>
      <c r="N83" s="5">
        <v>972</v>
      </c>
      <c r="O83" s="5">
        <v>2</v>
      </c>
      <c r="P83" s="5">
        <v>3</v>
      </c>
      <c r="Q83" s="5">
        <v>2</v>
      </c>
      <c r="R83" s="5">
        <v>2</v>
      </c>
      <c r="S83" s="5">
        <v>2</v>
      </c>
      <c r="T83" s="5">
        <v>1</v>
      </c>
      <c r="U83" s="2">
        <v>12</v>
      </c>
      <c r="V83" s="2">
        <v>1</v>
      </c>
      <c r="W83" s="5">
        <v>1</v>
      </c>
      <c r="X83" s="5">
        <v>1</v>
      </c>
      <c r="Y83" s="5">
        <v>1</v>
      </c>
      <c r="Z83" s="5">
        <v>1</v>
      </c>
      <c r="AA83" s="5">
        <v>1</v>
      </c>
      <c r="AB83" s="5">
        <v>1</v>
      </c>
      <c r="AC83" s="5">
        <v>1</v>
      </c>
      <c r="AD83" s="5">
        <v>2</v>
      </c>
      <c r="AE83" s="5">
        <v>2</v>
      </c>
      <c r="AF83" s="5">
        <v>0.5</v>
      </c>
      <c r="AG83" s="5">
        <v>1</v>
      </c>
      <c r="AH83" s="5">
        <v>0</v>
      </c>
      <c r="AI83" s="2">
        <v>12.5</v>
      </c>
      <c r="AJ83" s="2">
        <v>24.5</v>
      </c>
      <c r="AK83" s="2">
        <v>1</v>
      </c>
      <c r="AL83" s="2">
        <v>25</v>
      </c>
      <c r="AM83" s="2">
        <v>30.5</v>
      </c>
      <c r="AN83" t="str">
        <f>IF(OR(G83="",Participant_Data!E83=""),"",IF(Participant_Data!E83&lt;70,IF(ROUND(G83,1)&lt;18.5,"ขาด/เสี่ยงขาด",IF(ROUND(G83,1)&gt;=25,"เสี่ยงเกิน/เกิน","ปกติ")),IF(ROUND(G83,1)&lt;20,"ขาด/เสี่ยงขาด",IF(ROUND(G83,1)&gt;=25,"เสี่ยงเกิน/เกิน","ปกติ"))))</f>
        <v>ปกติ</v>
      </c>
      <c r="AO83" t="str">
        <f>IF(OR(I83="",Participant_Data!G83=""),"",IF(Participant_Data!G83=1,IF(ROUND(I83,1)&lt;15,"ขาด/เสี่ยงขาด",IF(ROUND(I83,1)&gt;25,"เสี่ยงเกิน/เกิน","ปกติ")),IF(ROUND(I83,1)&lt;20,"ขาด/เสี่ยงขาด",IF(ROUND(I83,1)&gt;35,"เสี่ยงเกิน/เกิน","ปกติ"))))</f>
        <v>ปกติ</v>
      </c>
      <c r="AP83" t="str">
        <f t="shared" si="3"/>
        <v>ปกติ</v>
      </c>
    </row>
    <row r="84" spans="1:42">
      <c r="A84" s="2">
        <f>IF(Participant_Data!A84="","",Participant_Data!A84)</f>
        <v>83</v>
      </c>
      <c r="B84" s="2" t="str">
        <f>IF(Participant_Data!B84="","",Participant_Data!B84)</f>
        <v/>
      </c>
      <c r="C84" s="3" t="str">
        <f>IF(Participant_Data!C84="","",Participant_Data!C84)</f>
        <v/>
      </c>
      <c r="D84" s="5"/>
      <c r="E84" s="5">
        <v>158</v>
      </c>
      <c r="F84" s="5">
        <v>73.150000000000006</v>
      </c>
      <c r="G84" s="22">
        <f t="shared" si="2"/>
        <v>29.302195161031882</v>
      </c>
      <c r="H84" s="5">
        <v>19.38</v>
      </c>
      <c r="I84" s="5">
        <v>26.5</v>
      </c>
      <c r="J84" s="5">
        <v>18</v>
      </c>
      <c r="K84" s="5">
        <v>50.95</v>
      </c>
      <c r="L84" s="5">
        <v>2.8</v>
      </c>
      <c r="M84" s="5">
        <v>54.2</v>
      </c>
      <c r="N84" s="5">
        <v>1469</v>
      </c>
      <c r="O84" s="5">
        <v>2</v>
      </c>
      <c r="P84" s="5">
        <v>3</v>
      </c>
      <c r="Q84" s="5">
        <v>2</v>
      </c>
      <c r="R84" s="5">
        <v>2</v>
      </c>
      <c r="S84" s="5">
        <v>1</v>
      </c>
      <c r="T84" s="5">
        <v>3</v>
      </c>
      <c r="U84" s="2">
        <v>13</v>
      </c>
      <c r="V84" s="2">
        <v>1</v>
      </c>
      <c r="W84" s="5">
        <v>1</v>
      </c>
      <c r="X84" s="5">
        <v>1</v>
      </c>
      <c r="Y84" s="5">
        <v>1</v>
      </c>
      <c r="Z84" s="5">
        <v>1</v>
      </c>
      <c r="AA84" s="5">
        <v>0.5</v>
      </c>
      <c r="AB84" s="5">
        <v>0</v>
      </c>
      <c r="AC84" s="5">
        <v>1</v>
      </c>
      <c r="AD84" s="5">
        <v>2</v>
      </c>
      <c r="AE84" s="5">
        <v>2</v>
      </c>
      <c r="AF84" s="5">
        <v>2</v>
      </c>
      <c r="AG84" s="5">
        <v>1</v>
      </c>
      <c r="AH84" s="5">
        <v>1</v>
      </c>
      <c r="AI84" s="2">
        <v>13.5</v>
      </c>
      <c r="AJ84" s="2">
        <v>26.5</v>
      </c>
      <c r="AK84" s="2">
        <v>1</v>
      </c>
      <c r="AL84" s="2">
        <v>32.5</v>
      </c>
      <c r="AM84" s="2">
        <v>38.5</v>
      </c>
      <c r="AN84" t="str">
        <f>IF(OR(G84="",Participant_Data!E84=""),"",IF(Participant_Data!E84&lt;70,IF(ROUND(G84,1)&lt;18.5,"ขาด/เสี่ยงขาด",IF(ROUND(G84,1)&gt;=25,"เสี่ยงเกิน/เกิน","ปกติ")),IF(ROUND(G84,1)&lt;20,"ขาด/เสี่ยงขาด",IF(ROUND(G84,1)&gt;=25,"เสี่ยงเกิน/เกิน","ปกติ"))))</f>
        <v>เสี่ยงเกิน/เกิน</v>
      </c>
      <c r="AO84" t="str">
        <f>IF(OR(I84="",Participant_Data!G84=""),"",IF(Participant_Data!G84=1,IF(ROUND(I84,1)&lt;15,"ขาด/เสี่ยงขาด",IF(ROUND(I84,1)&gt;25,"เสี่ยงเกิน/เกิน","ปกติ")),IF(ROUND(I84,1)&lt;20,"ขาด/เสี่ยงขาด",IF(ROUND(I84,1)&gt;35,"เสี่ยงเกิน/เกิน","ปกติ"))))</f>
        <v>เสี่ยงเกิน/เกิน</v>
      </c>
      <c r="AP84" t="str">
        <f t="shared" si="3"/>
        <v>เสี่ยงเกิน/เกิน</v>
      </c>
    </row>
    <row r="85" spans="1:42">
      <c r="A85" s="2">
        <f>IF(Participant_Data!A85="","",Participant_Data!A85)</f>
        <v>84</v>
      </c>
      <c r="B85" s="2" t="str">
        <f>IF(Participant_Data!B85="","",Participant_Data!B85)</f>
        <v/>
      </c>
      <c r="C85" s="3" t="str">
        <f>IF(Participant_Data!C85="","",Participant_Data!C85)</f>
        <v/>
      </c>
      <c r="D85" s="5"/>
      <c r="E85" s="5">
        <v>153</v>
      </c>
      <c r="F85" s="5">
        <v>50.95</v>
      </c>
      <c r="G85" s="22">
        <f t="shared" si="2"/>
        <v>21.765133068477937</v>
      </c>
      <c r="H85" s="5">
        <v>15.44</v>
      </c>
      <c r="I85" s="5">
        <v>30.3</v>
      </c>
      <c r="J85" s="5">
        <v>6</v>
      </c>
      <c r="K85" s="5">
        <v>33.549999999999997</v>
      </c>
      <c r="L85" s="5">
        <v>2</v>
      </c>
      <c r="M85" s="5">
        <v>49.9</v>
      </c>
      <c r="N85" s="5">
        <v>1019</v>
      </c>
      <c r="O85" s="5">
        <v>0</v>
      </c>
      <c r="P85" s="5">
        <v>3</v>
      </c>
      <c r="Q85" s="5">
        <v>2</v>
      </c>
      <c r="R85" s="5">
        <v>2</v>
      </c>
      <c r="S85" s="5">
        <v>2</v>
      </c>
      <c r="T85" s="5">
        <v>2</v>
      </c>
      <c r="U85" s="2">
        <v>11</v>
      </c>
      <c r="V85" s="2">
        <v>2</v>
      </c>
      <c r="W85" s="5">
        <v>1</v>
      </c>
      <c r="X85" s="5">
        <v>1</v>
      </c>
      <c r="Y85" s="5">
        <v>1</v>
      </c>
      <c r="Z85" s="5">
        <v>1</v>
      </c>
      <c r="AA85" s="5">
        <v>0.5</v>
      </c>
      <c r="AB85" s="5">
        <v>1</v>
      </c>
      <c r="AC85" s="5">
        <v>1</v>
      </c>
      <c r="AD85" s="5">
        <v>2</v>
      </c>
      <c r="AE85" s="5">
        <v>2</v>
      </c>
      <c r="AF85" s="5">
        <v>2</v>
      </c>
      <c r="AG85" s="5">
        <v>1</v>
      </c>
      <c r="AH85" s="5">
        <v>1</v>
      </c>
      <c r="AI85" s="2">
        <v>14.5</v>
      </c>
      <c r="AJ85" s="2">
        <v>25.5</v>
      </c>
      <c r="AK85" s="2">
        <v>1</v>
      </c>
      <c r="AL85" s="2">
        <v>25</v>
      </c>
      <c r="AM85" s="2">
        <v>33.5</v>
      </c>
      <c r="AN85" t="str">
        <f>IF(OR(G85="",Participant_Data!E85=""),"",IF(Participant_Data!E85&lt;70,IF(ROUND(G85,1)&lt;18.5,"ขาด/เสี่ยงขาด",IF(ROUND(G85,1)&gt;=25,"เสี่ยงเกิน/เกิน","ปกติ")),IF(ROUND(G85,1)&lt;20,"ขาด/เสี่ยงขาด",IF(ROUND(G85,1)&gt;=25,"เสี่ยงเกิน/เกิน","ปกติ"))))</f>
        <v>ปกติ</v>
      </c>
      <c r="AO85" t="str">
        <f>IF(OR(I85="",Participant_Data!G85=""),"",IF(Participant_Data!G85=1,IF(ROUND(I85,1)&lt;15,"ขาด/เสี่ยงขาด",IF(ROUND(I85,1)&gt;25,"เสี่ยงเกิน/เกิน","ปกติ")),IF(ROUND(I85,1)&lt;20,"ขาด/เสี่ยงขาด",IF(ROUND(I85,1)&gt;35,"เสี่ยงเกิน/เกิน","ปกติ"))))</f>
        <v>ปกติ</v>
      </c>
      <c r="AP85" t="str">
        <f t="shared" si="3"/>
        <v>ปกติ</v>
      </c>
    </row>
    <row r="86" spans="1:42">
      <c r="A86" s="2">
        <f>IF(Participant_Data!A86="","",Participant_Data!A86)</f>
        <v>85</v>
      </c>
      <c r="B86" s="2" t="str">
        <f>IF(Participant_Data!B86="","",Participant_Data!B86)</f>
        <v/>
      </c>
      <c r="C86" s="3" t="str">
        <f>IF(Participant_Data!C86="","",Participant_Data!C86)</f>
        <v/>
      </c>
      <c r="D86" s="5"/>
      <c r="E86" s="5">
        <v>159</v>
      </c>
      <c r="F86" s="5">
        <v>64.599999999999994</v>
      </c>
      <c r="G86" s="22">
        <f t="shared" si="2"/>
        <v>25.552786677742173</v>
      </c>
      <c r="H86" s="5">
        <v>24.74</v>
      </c>
      <c r="I86" s="5">
        <v>38.299999999999997</v>
      </c>
      <c r="J86" s="5">
        <v>9</v>
      </c>
      <c r="K86" s="5">
        <v>37.5</v>
      </c>
      <c r="L86" s="5">
        <v>2.2999999999999998</v>
      </c>
      <c r="M86" s="5">
        <v>43.3</v>
      </c>
      <c r="N86" s="5">
        <v>1181</v>
      </c>
      <c r="O86" s="5">
        <v>2</v>
      </c>
      <c r="P86" s="5">
        <v>2</v>
      </c>
      <c r="Q86" s="5">
        <v>2</v>
      </c>
      <c r="R86" s="5">
        <v>2</v>
      </c>
      <c r="S86" s="5">
        <v>1</v>
      </c>
      <c r="T86" s="5">
        <v>3</v>
      </c>
      <c r="U86" s="2">
        <v>12</v>
      </c>
      <c r="V86" s="2">
        <v>1</v>
      </c>
      <c r="W86" s="5">
        <v>1</v>
      </c>
      <c r="X86" s="5">
        <v>1</v>
      </c>
      <c r="Y86" s="5">
        <v>1</v>
      </c>
      <c r="Z86" s="5">
        <v>1</v>
      </c>
      <c r="AA86" s="5">
        <v>0</v>
      </c>
      <c r="AB86" s="5">
        <v>1</v>
      </c>
      <c r="AC86" s="5">
        <v>1</v>
      </c>
      <c r="AD86" s="5">
        <v>2</v>
      </c>
      <c r="AE86" s="5">
        <v>2</v>
      </c>
      <c r="AF86" s="5">
        <v>1</v>
      </c>
      <c r="AG86" s="5">
        <v>1</v>
      </c>
      <c r="AH86" s="5">
        <v>1</v>
      </c>
      <c r="AI86" s="2">
        <v>13</v>
      </c>
      <c r="AJ86" s="2">
        <v>25</v>
      </c>
      <c r="AK86" s="2">
        <v>1</v>
      </c>
      <c r="AL86" s="2">
        <v>28</v>
      </c>
      <c r="AM86" s="2">
        <v>35</v>
      </c>
      <c r="AN86" t="str">
        <f>IF(OR(G86="",Participant_Data!E86=""),"",IF(Participant_Data!E86&lt;70,IF(ROUND(G86,1)&lt;18.5,"ขาด/เสี่ยงขาด",IF(ROUND(G86,1)&gt;=25,"เสี่ยงเกิน/เกิน","ปกติ")),IF(ROUND(G86,1)&lt;20,"ขาด/เสี่ยงขาด",IF(ROUND(G86,1)&gt;=25,"เสี่ยงเกิน/เกิน","ปกติ"))))</f>
        <v>เสี่ยงเกิน/เกิน</v>
      </c>
      <c r="AO86" t="str">
        <f>IF(OR(I86="",Participant_Data!G86=""),"",IF(Participant_Data!G86=1,IF(ROUND(I86,1)&lt;15,"ขาด/เสี่ยงขาด",IF(ROUND(I86,1)&gt;25,"เสี่ยงเกิน/เกิน","ปกติ")),IF(ROUND(I86,1)&lt;20,"ขาด/เสี่ยงขาด",IF(ROUND(I86,1)&gt;35,"เสี่ยงเกิน/เกิน","ปกติ"))))</f>
        <v>เสี่ยงเกิน/เกิน</v>
      </c>
      <c r="AP86" t="str">
        <f t="shared" si="3"/>
        <v>เสี่ยงเกิน/เกิน</v>
      </c>
    </row>
    <row r="87" spans="1:42">
      <c r="A87" s="2">
        <f>IF(Participant_Data!A87="","",Participant_Data!A87)</f>
        <v>86</v>
      </c>
      <c r="B87" s="2" t="str">
        <f>IF(Participant_Data!B87="","",Participant_Data!B87)</f>
        <v/>
      </c>
      <c r="C87" s="3" t="str">
        <f>IF(Participant_Data!C87="","",Participant_Data!C87)</f>
        <v/>
      </c>
      <c r="D87" s="5"/>
      <c r="E87" s="5">
        <v>157</v>
      </c>
      <c r="F87" s="5">
        <v>62.6</v>
      </c>
      <c r="G87" s="22">
        <f t="shared" si="2"/>
        <v>25.396567812081624</v>
      </c>
      <c r="H87" s="5">
        <v>23.54</v>
      </c>
      <c r="I87" s="5">
        <v>37.6</v>
      </c>
      <c r="J87" s="5">
        <v>8.5</v>
      </c>
      <c r="K87" s="5">
        <v>36.799999999999997</v>
      </c>
      <c r="L87" s="5">
        <v>2.2999999999999998</v>
      </c>
      <c r="M87" s="5">
        <v>44.9</v>
      </c>
      <c r="N87" s="5">
        <v>1158</v>
      </c>
      <c r="O87" s="5">
        <v>2</v>
      </c>
      <c r="P87" s="5">
        <v>3</v>
      </c>
      <c r="Q87" s="5">
        <v>2</v>
      </c>
      <c r="R87" s="5">
        <v>2</v>
      </c>
      <c r="S87" s="5">
        <v>2</v>
      </c>
      <c r="T87" s="5">
        <v>3</v>
      </c>
      <c r="U87" s="2">
        <v>14</v>
      </c>
      <c r="V87" s="2">
        <v>1</v>
      </c>
      <c r="W87" s="5">
        <v>1</v>
      </c>
      <c r="X87" s="5">
        <v>1</v>
      </c>
      <c r="Y87" s="5">
        <v>1</v>
      </c>
      <c r="Z87" s="5">
        <v>1</v>
      </c>
      <c r="AA87" s="5">
        <v>0.5</v>
      </c>
      <c r="AB87" s="5">
        <v>1</v>
      </c>
      <c r="AC87" s="5">
        <v>1</v>
      </c>
      <c r="AD87" s="5">
        <v>2</v>
      </c>
      <c r="AE87" s="5">
        <v>2</v>
      </c>
      <c r="AF87" s="5">
        <v>2</v>
      </c>
      <c r="AG87" s="5">
        <v>1</v>
      </c>
      <c r="AH87" s="5">
        <v>1</v>
      </c>
      <c r="AI87" s="2">
        <v>14.5</v>
      </c>
      <c r="AJ87" s="2">
        <v>28.5</v>
      </c>
      <c r="AK87" s="2">
        <v>1</v>
      </c>
      <c r="AL87" s="2">
        <v>28</v>
      </c>
      <c r="AM87" s="2">
        <v>32.5</v>
      </c>
      <c r="AN87" t="str">
        <f>IF(OR(G87="",Participant_Data!E87=""),"",IF(Participant_Data!E87&lt;70,IF(ROUND(G87,1)&lt;18.5,"ขาด/เสี่ยงขาด",IF(ROUND(G87,1)&gt;=25,"เสี่ยงเกิน/เกิน","ปกติ")),IF(ROUND(G87,1)&lt;20,"ขาด/เสี่ยงขาด",IF(ROUND(G87,1)&gt;=25,"เสี่ยงเกิน/เกิน","ปกติ"))))</f>
        <v>เสี่ยงเกิน/เกิน</v>
      </c>
      <c r="AO87" t="str">
        <f>IF(OR(I87="",Participant_Data!G87=""),"",IF(Participant_Data!G87=1,IF(ROUND(I87,1)&lt;15,"ขาด/เสี่ยงขาด",IF(ROUND(I87,1)&gt;25,"เสี่ยงเกิน/เกิน","ปกติ")),IF(ROUND(I87,1)&lt;20,"ขาด/เสี่ยงขาด",IF(ROUND(I87,1)&gt;35,"เสี่ยงเกิน/เกิน","ปกติ"))))</f>
        <v>เสี่ยงเกิน/เกิน</v>
      </c>
      <c r="AP87" t="str">
        <f t="shared" si="3"/>
        <v>เสี่ยงเกิน/เกิน</v>
      </c>
    </row>
    <row r="88" spans="1:42">
      <c r="A88" s="2">
        <f>IF(Participant_Data!A88="","",Participant_Data!A88)</f>
        <v>87</v>
      </c>
      <c r="B88" s="2" t="str">
        <f>IF(Participant_Data!B88="","",Participant_Data!B88)</f>
        <v/>
      </c>
      <c r="C88" s="3" t="str">
        <f>IF(Participant_Data!C88="","",Participant_Data!C88)</f>
        <v/>
      </c>
      <c r="D88" s="5"/>
      <c r="E88" s="5">
        <v>165</v>
      </c>
      <c r="F88" s="5">
        <v>68.3</v>
      </c>
      <c r="G88" s="22">
        <f t="shared" si="2"/>
        <v>25.087235996326907</v>
      </c>
      <c r="H88" s="5">
        <v>15.91</v>
      </c>
      <c r="I88" s="5">
        <v>23.3</v>
      </c>
      <c r="J88" s="5">
        <v>15</v>
      </c>
      <c r="K88" s="5">
        <v>49.7</v>
      </c>
      <c r="L88" s="5">
        <v>2.7</v>
      </c>
      <c r="M88" s="5">
        <v>52.2</v>
      </c>
      <c r="N88" s="5">
        <v>1423</v>
      </c>
      <c r="O88" s="5">
        <v>2</v>
      </c>
      <c r="P88" s="5">
        <v>3</v>
      </c>
      <c r="Q88" s="5">
        <v>2</v>
      </c>
      <c r="R88" s="5">
        <v>2</v>
      </c>
      <c r="S88" s="5">
        <v>1</v>
      </c>
      <c r="T88" s="5">
        <v>3</v>
      </c>
      <c r="U88" s="2">
        <v>13</v>
      </c>
      <c r="V88" s="2">
        <v>1</v>
      </c>
      <c r="W88" s="5">
        <v>1</v>
      </c>
      <c r="X88" s="5">
        <v>1</v>
      </c>
      <c r="Y88" s="5">
        <v>1</v>
      </c>
      <c r="Z88" s="5">
        <v>2</v>
      </c>
      <c r="AA88" s="5">
        <v>0</v>
      </c>
      <c r="AB88" s="5">
        <v>1</v>
      </c>
      <c r="AC88" s="5">
        <v>1</v>
      </c>
      <c r="AD88" s="5">
        <v>2</v>
      </c>
      <c r="AE88" s="5">
        <v>2</v>
      </c>
      <c r="AF88" s="5">
        <v>1</v>
      </c>
      <c r="AG88" s="5">
        <v>1</v>
      </c>
      <c r="AH88" s="5">
        <v>1</v>
      </c>
      <c r="AI88" s="2">
        <v>14</v>
      </c>
      <c r="AJ88" s="2">
        <v>27</v>
      </c>
      <c r="AK88" s="2">
        <v>1</v>
      </c>
      <c r="AL88" s="2">
        <v>28.5</v>
      </c>
      <c r="AM88" s="2">
        <v>36.5</v>
      </c>
      <c r="AN88" t="str">
        <f>IF(OR(G88="",Participant_Data!E88=""),"",IF(Participant_Data!E88&lt;70,IF(ROUND(G88,1)&lt;18.5,"ขาด/เสี่ยงขาด",IF(ROUND(G88,1)&gt;=25,"เสี่ยงเกิน/เกิน","ปกติ")),IF(ROUND(G88,1)&lt;20,"ขาด/เสี่ยงขาด",IF(ROUND(G88,1)&gt;=25,"เสี่ยงเกิน/เกิน","ปกติ"))))</f>
        <v>เสี่ยงเกิน/เกิน</v>
      </c>
      <c r="AO88" t="str">
        <f>IF(OR(I88="",Participant_Data!G88=""),"",IF(Participant_Data!G88=1,IF(ROUND(I88,1)&lt;15,"ขาด/เสี่ยงขาด",IF(ROUND(I88,1)&gt;25,"เสี่ยงเกิน/เกิน","ปกติ")),IF(ROUND(I88,1)&lt;20,"ขาด/เสี่ยงขาด",IF(ROUND(I88,1)&gt;35,"เสี่ยงเกิน/เกิน","ปกติ"))))</f>
        <v>ปกติ</v>
      </c>
      <c r="AP88" t="str">
        <f t="shared" si="3"/>
        <v>เสี่ยงเกิน/เกิน</v>
      </c>
    </row>
    <row r="89" spans="1:42">
      <c r="A89" s="2">
        <f>IF(Participant_Data!A89="","",Participant_Data!A89)</f>
        <v>88</v>
      </c>
      <c r="B89" s="2" t="str">
        <f>IF(Participant_Data!B89="","",Participant_Data!B89)</f>
        <v/>
      </c>
      <c r="C89" s="3" t="str">
        <f>IF(Participant_Data!C89="","",Participant_Data!C89)</f>
        <v/>
      </c>
      <c r="D89" s="5"/>
      <c r="E89" s="5">
        <v>155</v>
      </c>
      <c r="F89" s="5">
        <v>55.4</v>
      </c>
      <c r="G89" s="22">
        <f t="shared" si="2"/>
        <v>23.059313215400621</v>
      </c>
      <c r="H89" s="5">
        <v>19.329999999999998</v>
      </c>
      <c r="I89" s="5">
        <v>34.9</v>
      </c>
      <c r="J89" s="5">
        <v>7</v>
      </c>
      <c r="K89" s="5">
        <v>34.1</v>
      </c>
      <c r="L89" s="5">
        <v>2</v>
      </c>
      <c r="M89" s="5">
        <v>43.7</v>
      </c>
      <c r="N89" s="5">
        <v>1056</v>
      </c>
      <c r="O89" s="5">
        <v>2</v>
      </c>
      <c r="P89" s="5">
        <v>3</v>
      </c>
      <c r="Q89" s="5">
        <v>2</v>
      </c>
      <c r="R89" s="5">
        <v>2</v>
      </c>
      <c r="S89" s="5">
        <v>1</v>
      </c>
      <c r="T89" s="5">
        <v>3</v>
      </c>
      <c r="U89" s="2">
        <v>13</v>
      </c>
      <c r="V89" s="2">
        <v>1</v>
      </c>
      <c r="W89" s="5">
        <v>1</v>
      </c>
      <c r="X89" s="5">
        <v>1</v>
      </c>
      <c r="Y89" s="5">
        <v>1</v>
      </c>
      <c r="Z89" s="5">
        <v>2</v>
      </c>
      <c r="AA89" s="5">
        <v>0</v>
      </c>
      <c r="AB89" s="5">
        <v>1</v>
      </c>
      <c r="AC89" s="5">
        <v>0.5</v>
      </c>
      <c r="AD89" s="5">
        <v>2</v>
      </c>
      <c r="AE89" s="5">
        <v>1</v>
      </c>
      <c r="AF89" s="5">
        <v>1</v>
      </c>
      <c r="AG89" s="5">
        <v>1</v>
      </c>
      <c r="AH89" s="5">
        <v>1</v>
      </c>
      <c r="AI89" s="2">
        <v>12.5</v>
      </c>
      <c r="AJ89" s="2">
        <v>25.5</v>
      </c>
      <c r="AK89" s="2">
        <v>1</v>
      </c>
      <c r="AL89" s="2">
        <v>27.5</v>
      </c>
      <c r="AM89" s="2">
        <v>34.5</v>
      </c>
      <c r="AN89" t="str">
        <f>IF(OR(G89="",Participant_Data!E89=""),"",IF(Participant_Data!E89&lt;70,IF(ROUND(G89,1)&lt;18.5,"ขาด/เสี่ยงขาด",IF(ROUND(G89,1)&gt;=25,"เสี่ยงเกิน/เกิน","ปกติ")),IF(ROUND(G89,1)&lt;20,"ขาด/เสี่ยงขาด",IF(ROUND(G89,1)&gt;=25,"เสี่ยงเกิน/เกิน","ปกติ"))))</f>
        <v>ปกติ</v>
      </c>
      <c r="AO89" t="str">
        <f>IF(OR(I89="",Participant_Data!G89=""),"",IF(Participant_Data!G89=1,IF(ROUND(I89,1)&lt;15,"ขาด/เสี่ยงขาด",IF(ROUND(I89,1)&gt;25,"เสี่ยงเกิน/เกิน","ปกติ")),IF(ROUND(I89,1)&lt;20,"ขาด/เสี่ยงขาด",IF(ROUND(I89,1)&gt;35,"เสี่ยงเกิน/เกิน","ปกติ"))))</f>
        <v>ปกติ</v>
      </c>
      <c r="AP89" t="str">
        <f t="shared" si="3"/>
        <v>ปกติ</v>
      </c>
    </row>
    <row r="90" spans="1:42">
      <c r="A90" s="2">
        <f>IF(Participant_Data!A90="","",Participant_Data!A90)</f>
        <v>89</v>
      </c>
      <c r="B90" s="2" t="str">
        <f>IF(Participant_Data!B90="","",Participant_Data!B90)</f>
        <v/>
      </c>
      <c r="C90" s="3" t="str">
        <f>IF(Participant_Data!C90="","",Participant_Data!C90)</f>
        <v/>
      </c>
      <c r="D90" s="5"/>
      <c r="E90" s="5">
        <v>170</v>
      </c>
      <c r="F90" s="5">
        <v>67.8</v>
      </c>
      <c r="G90" s="22">
        <f t="shared" si="2"/>
        <v>23.460207612456749</v>
      </c>
      <c r="H90" s="5">
        <v>15.59</v>
      </c>
      <c r="I90" s="5">
        <v>23</v>
      </c>
      <c r="J90" s="5">
        <v>14.5</v>
      </c>
      <c r="K90" s="5">
        <v>49.5</v>
      </c>
      <c r="L90" s="5">
        <v>2.7</v>
      </c>
      <c r="M90" s="5">
        <v>50.7</v>
      </c>
      <c r="N90" s="5">
        <v>1415</v>
      </c>
      <c r="O90" s="5">
        <v>2</v>
      </c>
      <c r="P90" s="5">
        <v>3</v>
      </c>
      <c r="Q90" s="5">
        <v>2</v>
      </c>
      <c r="R90" s="5">
        <v>2</v>
      </c>
      <c r="S90" s="5">
        <v>1</v>
      </c>
      <c r="T90" s="5">
        <v>3</v>
      </c>
      <c r="U90" s="2">
        <v>13</v>
      </c>
      <c r="V90" s="2">
        <v>1</v>
      </c>
      <c r="W90" s="5">
        <v>1</v>
      </c>
      <c r="X90" s="5">
        <v>1</v>
      </c>
      <c r="Y90" s="5">
        <v>1</v>
      </c>
      <c r="Z90" s="5">
        <v>2</v>
      </c>
      <c r="AA90" s="5">
        <v>0.5</v>
      </c>
      <c r="AB90" s="5">
        <v>1</v>
      </c>
      <c r="AC90" s="5">
        <v>1</v>
      </c>
      <c r="AD90" s="5">
        <v>2</v>
      </c>
      <c r="AE90" s="5">
        <v>1</v>
      </c>
      <c r="AF90" s="5">
        <v>2</v>
      </c>
      <c r="AG90" s="5">
        <v>1</v>
      </c>
      <c r="AH90" s="5">
        <v>1</v>
      </c>
      <c r="AI90" s="2">
        <v>14.5</v>
      </c>
      <c r="AJ90" s="2">
        <v>27.5</v>
      </c>
      <c r="AK90" s="2">
        <v>1</v>
      </c>
      <c r="AL90" s="2">
        <v>27</v>
      </c>
      <c r="AM90" s="2">
        <v>34</v>
      </c>
      <c r="AN90" t="str">
        <f>IF(OR(G90="",Participant_Data!E90=""),"",IF(Participant_Data!E90&lt;70,IF(ROUND(G90,1)&lt;18.5,"ขาด/เสี่ยงขาด",IF(ROUND(G90,1)&gt;=25,"เสี่ยงเกิน/เกิน","ปกติ")),IF(ROUND(G90,1)&lt;20,"ขาด/เสี่ยงขาด",IF(ROUND(G90,1)&gt;=25,"เสี่ยงเกิน/เกิน","ปกติ"))))</f>
        <v>ปกติ</v>
      </c>
      <c r="AO90" t="str">
        <f>IF(OR(I90="",Participant_Data!G90=""),"",IF(Participant_Data!G90=1,IF(ROUND(I90,1)&lt;15,"ขาด/เสี่ยงขาด",IF(ROUND(I90,1)&gt;25,"เสี่ยงเกิน/เกิน","ปกติ")),IF(ROUND(I90,1)&lt;20,"ขาด/เสี่ยงขาด",IF(ROUND(I90,1)&gt;35,"เสี่ยงเกิน/เกิน","ปกติ"))))</f>
        <v>ปกติ</v>
      </c>
      <c r="AP90" t="str">
        <f t="shared" si="3"/>
        <v>ปกติ</v>
      </c>
    </row>
    <row r="91" spans="1:42">
      <c r="A91" s="2">
        <f>IF(Participant_Data!A91="","",Participant_Data!A91)</f>
        <v>90</v>
      </c>
      <c r="B91" s="2" t="str">
        <f>IF(Participant_Data!B91="","",Participant_Data!B91)</f>
        <v/>
      </c>
      <c r="C91" s="3" t="str">
        <f>IF(Participant_Data!C91="","",Participant_Data!C91)</f>
        <v/>
      </c>
      <c r="D91" s="5"/>
      <c r="E91" s="5">
        <v>166</v>
      </c>
      <c r="F91" s="5">
        <v>82.5</v>
      </c>
      <c r="G91" s="22">
        <f t="shared" si="2"/>
        <v>29.939033241399333</v>
      </c>
      <c r="H91" s="5">
        <v>24.67</v>
      </c>
      <c r="I91" s="5">
        <v>29.9</v>
      </c>
      <c r="J91" s="5">
        <v>18</v>
      </c>
      <c r="K91" s="5">
        <v>54.85</v>
      </c>
      <c r="L91" s="5">
        <v>3</v>
      </c>
      <c r="M91" s="5">
        <v>49.3</v>
      </c>
      <c r="N91" s="5">
        <v>1605</v>
      </c>
      <c r="O91" s="5">
        <v>1</v>
      </c>
      <c r="P91" s="5">
        <v>2</v>
      </c>
      <c r="Q91" s="5">
        <v>2</v>
      </c>
      <c r="R91" s="5">
        <v>0</v>
      </c>
      <c r="S91" s="5">
        <v>0</v>
      </c>
      <c r="T91" s="5">
        <v>3</v>
      </c>
      <c r="U91" s="2">
        <v>8</v>
      </c>
      <c r="V91" s="2">
        <v>2</v>
      </c>
      <c r="W91" s="5">
        <v>1</v>
      </c>
      <c r="X91" s="5">
        <v>0</v>
      </c>
      <c r="Y91" s="5">
        <v>1</v>
      </c>
      <c r="Z91" s="5">
        <v>2</v>
      </c>
      <c r="AA91" s="5">
        <v>0</v>
      </c>
      <c r="AB91" s="5">
        <v>1</v>
      </c>
      <c r="AC91" s="5">
        <v>1</v>
      </c>
      <c r="AD91" s="5">
        <v>2</v>
      </c>
      <c r="AE91" s="5">
        <v>1</v>
      </c>
      <c r="AF91" s="5">
        <v>0</v>
      </c>
      <c r="AG91" s="5">
        <v>1</v>
      </c>
      <c r="AH91" s="5">
        <v>1</v>
      </c>
      <c r="AI91" s="2">
        <v>11</v>
      </c>
      <c r="AJ91" s="2">
        <v>19</v>
      </c>
      <c r="AK91" s="2">
        <v>2</v>
      </c>
      <c r="AL91" s="2">
        <v>33</v>
      </c>
      <c r="AM91" s="2">
        <v>36.5</v>
      </c>
      <c r="AN91" t="str">
        <f>IF(OR(G91="",Participant_Data!E91=""),"",IF(Participant_Data!E91&lt;70,IF(ROUND(G91,1)&lt;18.5,"ขาด/เสี่ยงขาด",IF(ROUND(G91,1)&gt;=25,"เสี่ยงเกิน/เกิน","ปกติ")),IF(ROUND(G91,1)&lt;20,"ขาด/เสี่ยงขาด",IF(ROUND(G91,1)&gt;=25,"เสี่ยงเกิน/เกิน","ปกติ"))))</f>
        <v>เสี่ยงเกิน/เกิน</v>
      </c>
      <c r="AO91" t="str">
        <f>IF(OR(I91="",Participant_Data!G91=""),"",IF(Participant_Data!G91=1,IF(ROUND(I91,1)&lt;15,"ขาด/เสี่ยงขาด",IF(ROUND(I91,1)&gt;25,"เสี่ยงเกิน/เกิน","ปกติ")),IF(ROUND(I91,1)&lt;20,"ขาด/เสี่ยงขาด",IF(ROUND(I91,1)&gt;35,"เสี่ยงเกิน/เกิน","ปกติ"))))</f>
        <v>เสี่ยงเกิน/เกิน</v>
      </c>
      <c r="AP91" t="str">
        <f t="shared" si="3"/>
        <v>เสี่ยงเกิน/เกิน</v>
      </c>
    </row>
    <row r="92" spans="1:42">
      <c r="A92" s="2">
        <f>IF(Participant_Data!A92="","",Participant_Data!A92)</f>
        <v>91</v>
      </c>
      <c r="B92" s="2" t="str">
        <f>IF(Participant_Data!B92="","",Participant_Data!B92)</f>
        <v/>
      </c>
      <c r="C92" s="3" t="str">
        <f>IF(Participant_Data!C92="","",Participant_Data!C92)</f>
        <v/>
      </c>
      <c r="D92" s="5"/>
      <c r="E92" s="5">
        <v>160</v>
      </c>
      <c r="F92" s="5">
        <v>79.3</v>
      </c>
      <c r="G92" s="22">
        <f t="shared" si="2"/>
        <v>30.976562499999993</v>
      </c>
      <c r="H92" s="5">
        <v>33.78</v>
      </c>
      <c r="I92" s="5">
        <v>42.6</v>
      </c>
      <c r="J92" s="5">
        <v>11</v>
      </c>
      <c r="K92" s="5">
        <v>42.7</v>
      </c>
      <c r="L92" s="5">
        <v>2.8</v>
      </c>
      <c r="M92" s="5">
        <v>46.5</v>
      </c>
      <c r="N92" s="5">
        <v>1394</v>
      </c>
      <c r="O92" s="5">
        <v>2</v>
      </c>
      <c r="P92" s="5">
        <v>3</v>
      </c>
      <c r="Q92" s="5">
        <v>2</v>
      </c>
      <c r="R92" s="5">
        <v>2</v>
      </c>
      <c r="S92" s="5">
        <v>2</v>
      </c>
      <c r="T92" s="5">
        <v>3</v>
      </c>
      <c r="U92" s="2">
        <v>14</v>
      </c>
      <c r="V92" s="2">
        <v>1</v>
      </c>
      <c r="W92" s="5">
        <v>1</v>
      </c>
      <c r="X92" s="5">
        <v>1</v>
      </c>
      <c r="Y92" s="5">
        <v>1</v>
      </c>
      <c r="Z92" s="5">
        <v>2</v>
      </c>
      <c r="AA92" s="5">
        <v>1</v>
      </c>
      <c r="AB92" s="5">
        <v>1</v>
      </c>
      <c r="AC92" s="5">
        <v>1</v>
      </c>
      <c r="AD92" s="5">
        <v>2</v>
      </c>
      <c r="AE92" s="5">
        <v>2</v>
      </c>
      <c r="AF92" s="5">
        <v>1</v>
      </c>
      <c r="AG92" s="5">
        <v>1</v>
      </c>
      <c r="AH92" s="5">
        <v>1</v>
      </c>
      <c r="AI92" s="2">
        <v>15</v>
      </c>
      <c r="AJ92" s="2">
        <v>29</v>
      </c>
      <c r="AK92" s="2">
        <v>1</v>
      </c>
      <c r="AL92" s="2">
        <v>32.5</v>
      </c>
      <c r="AM92" s="2">
        <v>41</v>
      </c>
      <c r="AN92" t="str">
        <f>IF(OR(G92="",Participant_Data!E92=""),"",IF(Participant_Data!E92&lt;70,IF(ROUND(G92,1)&lt;18.5,"ขาด/เสี่ยงขาด",IF(ROUND(G92,1)&gt;=25,"เสี่ยงเกิน/เกิน","ปกติ")),IF(ROUND(G92,1)&lt;20,"ขาด/เสี่ยงขาด",IF(ROUND(G92,1)&gt;=25,"เสี่ยงเกิน/เกิน","ปกติ"))))</f>
        <v>เสี่ยงเกิน/เกิน</v>
      </c>
      <c r="AO92" t="str">
        <f>IF(OR(I92="",Participant_Data!G92=""),"",IF(Participant_Data!G92=1,IF(ROUND(I92,1)&lt;15,"ขาด/เสี่ยงขาด",IF(ROUND(I92,1)&gt;25,"เสี่ยงเกิน/เกิน","ปกติ")),IF(ROUND(I92,1)&lt;20,"ขาด/เสี่ยงขาด",IF(ROUND(I92,1)&gt;35,"เสี่ยงเกิน/เกิน","ปกติ"))))</f>
        <v>เสี่ยงเกิน/เกิน</v>
      </c>
      <c r="AP92" t="str">
        <f t="shared" si="3"/>
        <v>เสี่ยงเกิน/เกิน</v>
      </c>
    </row>
    <row r="93" spans="1:42">
      <c r="A93" s="2">
        <f>IF(Participant_Data!A93="","",Participant_Data!A93)</f>
        <v>92</v>
      </c>
      <c r="B93" s="2" t="str">
        <f>IF(Participant_Data!B93="","",Participant_Data!B93)</f>
        <v/>
      </c>
      <c r="C93" s="3" t="str">
        <f>IF(Participant_Data!C93="","",Participant_Data!C93)</f>
        <v/>
      </c>
      <c r="D93" s="5"/>
      <c r="E93" s="5">
        <v>175</v>
      </c>
      <c r="F93" s="5">
        <v>93.75</v>
      </c>
      <c r="G93" s="22">
        <f t="shared" si="2"/>
        <v>30.612244897959183</v>
      </c>
      <c r="H93" s="5">
        <v>27.28</v>
      </c>
      <c r="I93" s="5">
        <v>29.1</v>
      </c>
      <c r="J93" s="5">
        <v>18.5</v>
      </c>
      <c r="K93" s="5">
        <v>63.05</v>
      </c>
      <c r="L93" s="5">
        <v>3.4</v>
      </c>
      <c r="M93" s="5">
        <v>48</v>
      </c>
      <c r="N93" s="5">
        <v>1879</v>
      </c>
      <c r="O93" s="5">
        <v>2</v>
      </c>
      <c r="P93" s="5">
        <v>3</v>
      </c>
      <c r="Q93" s="5">
        <v>2</v>
      </c>
      <c r="R93" s="5">
        <v>2</v>
      </c>
      <c r="S93" s="5">
        <v>2</v>
      </c>
      <c r="T93" s="5">
        <v>3</v>
      </c>
      <c r="U93" s="2">
        <v>14</v>
      </c>
      <c r="V93" s="2">
        <v>1</v>
      </c>
      <c r="W93" s="5">
        <v>1</v>
      </c>
      <c r="X93" s="5">
        <v>1</v>
      </c>
      <c r="Y93" s="5">
        <v>1</v>
      </c>
      <c r="Z93" s="5">
        <v>1</v>
      </c>
      <c r="AA93" s="5">
        <v>0</v>
      </c>
      <c r="AB93" s="5">
        <v>1</v>
      </c>
      <c r="AC93" s="5">
        <v>1</v>
      </c>
      <c r="AD93" s="5">
        <v>2</v>
      </c>
      <c r="AE93" s="5">
        <v>2</v>
      </c>
      <c r="AF93" s="5">
        <v>1</v>
      </c>
      <c r="AG93" s="5">
        <v>1</v>
      </c>
      <c r="AH93" s="5">
        <v>1</v>
      </c>
      <c r="AI93" s="2">
        <v>13</v>
      </c>
      <c r="AJ93" s="2">
        <v>27</v>
      </c>
      <c r="AK93" s="2">
        <v>1</v>
      </c>
      <c r="AL93" s="2">
        <v>33</v>
      </c>
      <c r="AM93" s="2">
        <v>43</v>
      </c>
      <c r="AN93" t="str">
        <f>IF(OR(G93="",Participant_Data!E93=""),"",IF(Participant_Data!E93&lt;70,IF(ROUND(G93,1)&lt;18.5,"ขาด/เสี่ยงขาด",IF(ROUND(G93,1)&gt;=25,"เสี่ยงเกิน/เกิน","ปกติ")),IF(ROUND(G93,1)&lt;20,"ขาด/เสี่ยงขาด",IF(ROUND(G93,1)&gt;=25,"เสี่ยงเกิน/เกิน","ปกติ"))))</f>
        <v>เสี่ยงเกิน/เกิน</v>
      </c>
      <c r="AO93" t="str">
        <f>IF(OR(I93="",Participant_Data!G93=""),"",IF(Participant_Data!G93=1,IF(ROUND(I93,1)&lt;15,"ขาด/เสี่ยงขาด",IF(ROUND(I93,1)&gt;25,"เสี่ยงเกิน/เกิน","ปกติ")),IF(ROUND(I93,1)&lt;20,"ขาด/เสี่ยงขาด",IF(ROUND(I93,1)&gt;35,"เสี่ยงเกิน/เกิน","ปกติ"))))</f>
        <v>เสี่ยงเกิน/เกิน</v>
      </c>
      <c r="AP93" t="str">
        <f t="shared" si="3"/>
        <v>เสี่ยงเกิน/เกิน</v>
      </c>
    </row>
    <row r="94" spans="1:42">
      <c r="A94" s="2">
        <f>IF(Participant_Data!A94="","",Participant_Data!A94)</f>
        <v>93</v>
      </c>
      <c r="B94" s="2" t="str">
        <f>IF(Participant_Data!B94="","",Participant_Data!B94)</f>
        <v/>
      </c>
      <c r="C94" s="3" t="str">
        <f>IF(Participant_Data!C94="","",Participant_Data!C94)</f>
        <v/>
      </c>
      <c r="D94" s="5"/>
      <c r="E94" s="5">
        <v>164</v>
      </c>
      <c r="F94" s="5">
        <v>68.8</v>
      </c>
      <c r="G94" s="22">
        <f t="shared" si="2"/>
        <v>25.580011897679956</v>
      </c>
      <c r="H94" s="5">
        <v>12.25</v>
      </c>
      <c r="I94" s="5">
        <v>26.1</v>
      </c>
      <c r="J94" s="5">
        <v>15.5</v>
      </c>
      <c r="K94" s="5">
        <v>48.15</v>
      </c>
      <c r="L94" s="5">
        <v>2.7</v>
      </c>
      <c r="M94" s="5">
        <v>48.2</v>
      </c>
      <c r="N94" s="5">
        <v>1380</v>
      </c>
      <c r="O94" s="5">
        <v>2</v>
      </c>
      <c r="P94" s="5">
        <v>3</v>
      </c>
      <c r="Q94" s="5">
        <v>2</v>
      </c>
      <c r="R94" s="5">
        <v>2</v>
      </c>
      <c r="S94" s="5">
        <v>1</v>
      </c>
      <c r="T94" s="5">
        <v>3</v>
      </c>
      <c r="U94" s="2">
        <v>13</v>
      </c>
      <c r="V94" s="2">
        <v>1</v>
      </c>
      <c r="W94" s="5">
        <v>1</v>
      </c>
      <c r="X94" s="5">
        <v>1</v>
      </c>
      <c r="Y94" s="5">
        <v>1</v>
      </c>
      <c r="Z94" s="5">
        <v>1</v>
      </c>
      <c r="AA94" s="5">
        <v>0.5</v>
      </c>
      <c r="AB94" s="5">
        <v>1</v>
      </c>
      <c r="AC94" s="5">
        <v>1</v>
      </c>
      <c r="AD94" s="5">
        <v>2</v>
      </c>
      <c r="AE94" s="5">
        <v>2</v>
      </c>
      <c r="AF94" s="5">
        <v>2</v>
      </c>
      <c r="AG94" s="5">
        <v>1</v>
      </c>
      <c r="AH94" s="5">
        <v>1</v>
      </c>
      <c r="AI94" s="2">
        <v>14.5</v>
      </c>
      <c r="AJ94" s="2">
        <v>27.5</v>
      </c>
      <c r="AK94" s="2">
        <v>1</v>
      </c>
      <c r="AL94" s="2">
        <v>28</v>
      </c>
      <c r="AM94" s="2">
        <v>35</v>
      </c>
      <c r="AN94" t="str">
        <f>IF(OR(G94="",Participant_Data!E94=""),"",IF(Participant_Data!E94&lt;70,IF(ROUND(G94,1)&lt;18.5,"ขาด/เสี่ยงขาด",IF(ROUND(G94,1)&gt;=25,"เสี่ยงเกิน/เกิน","ปกติ")),IF(ROUND(G94,1)&lt;20,"ขาด/เสี่ยงขาด",IF(ROUND(G94,1)&gt;=25,"เสี่ยงเกิน/เกิน","ปกติ"))))</f>
        <v>เสี่ยงเกิน/เกิน</v>
      </c>
      <c r="AO94" t="str">
        <f>IF(OR(I94="",Participant_Data!G94=""),"",IF(Participant_Data!G94=1,IF(ROUND(I94,1)&lt;15,"ขาด/เสี่ยงขาด",IF(ROUND(I94,1)&gt;25,"เสี่ยงเกิน/เกิน","ปกติ")),IF(ROUND(I94,1)&lt;20,"ขาด/เสี่ยงขาด",IF(ROUND(I94,1)&gt;35,"เสี่ยงเกิน/เกิน","ปกติ"))))</f>
        <v>เสี่ยงเกิน/เกิน</v>
      </c>
      <c r="AP94" t="str">
        <f t="shared" si="3"/>
        <v>เสี่ยงเกิน/เกิน</v>
      </c>
    </row>
    <row r="95" spans="1:42">
      <c r="A95" s="2">
        <f>IF(Participant_Data!A95="","",Participant_Data!A95)</f>
        <v>94</v>
      </c>
      <c r="B95" s="2" t="str">
        <f>IF(Participant_Data!B95="","",Participant_Data!B95)</f>
        <v/>
      </c>
      <c r="C95" s="3" t="str">
        <f>IF(Participant_Data!C95="","",Participant_Data!C95)</f>
        <v/>
      </c>
      <c r="D95" s="5"/>
      <c r="E95" s="5">
        <v>163</v>
      </c>
      <c r="F95" s="5">
        <v>41.6</v>
      </c>
      <c r="G95" s="22">
        <f t="shared" si="2"/>
        <v>15.657345026158307</v>
      </c>
      <c r="H95" s="5">
        <v>2.83</v>
      </c>
      <c r="I95" s="5">
        <v>6.8</v>
      </c>
      <c r="J95" s="5">
        <v>1</v>
      </c>
      <c r="K95" s="5">
        <v>36.549999999999997</v>
      </c>
      <c r="L95" s="5">
        <v>2.2000000000000002</v>
      </c>
      <c r="M95" s="5">
        <v>59.4</v>
      </c>
      <c r="N95" s="5">
        <v>1035</v>
      </c>
      <c r="O95" s="5">
        <v>2</v>
      </c>
      <c r="P95" s="5">
        <v>3</v>
      </c>
      <c r="Q95" s="5">
        <v>2</v>
      </c>
      <c r="R95" s="5">
        <v>2</v>
      </c>
      <c r="S95" s="5">
        <v>1</v>
      </c>
      <c r="T95" s="5">
        <v>0</v>
      </c>
      <c r="U95" s="2">
        <v>10</v>
      </c>
      <c r="V95" s="2">
        <v>2</v>
      </c>
      <c r="W95" s="5">
        <v>1</v>
      </c>
      <c r="X95" s="5">
        <v>1</v>
      </c>
      <c r="Y95" s="5">
        <v>1</v>
      </c>
      <c r="Z95" s="5">
        <v>2</v>
      </c>
      <c r="AA95" s="5">
        <v>0.5</v>
      </c>
      <c r="AB95" s="5">
        <v>1</v>
      </c>
      <c r="AC95" s="5">
        <v>1</v>
      </c>
      <c r="AD95" s="5">
        <v>2</v>
      </c>
      <c r="AE95" s="5">
        <v>0</v>
      </c>
      <c r="AF95" s="5">
        <v>0</v>
      </c>
      <c r="AG95" s="5">
        <v>0</v>
      </c>
      <c r="AH95" s="5">
        <v>1</v>
      </c>
      <c r="AI95" s="2">
        <v>10.5</v>
      </c>
      <c r="AJ95" s="2">
        <v>20.5</v>
      </c>
      <c r="AK95" s="2">
        <v>2</v>
      </c>
      <c r="AL95" s="2">
        <v>20</v>
      </c>
      <c r="AM95" s="2">
        <v>31.5</v>
      </c>
      <c r="AN95" t="str">
        <f>IF(OR(G95="",Participant_Data!E95=""),"",IF(Participant_Data!E95&lt;70,IF(ROUND(G95,1)&lt;18.5,"ขาด/เสี่ยงขาด",IF(ROUND(G95,1)&gt;=25,"เสี่ยงเกิน/เกิน","ปกติ")),IF(ROUND(G95,1)&lt;20,"ขาด/เสี่ยงขาด",IF(ROUND(G95,1)&gt;=25,"เสี่ยงเกิน/เกิน","ปกติ"))))</f>
        <v>ขาด/เสี่ยงขาด</v>
      </c>
      <c r="AO95" t="str">
        <f>IF(OR(I95="",Participant_Data!G95=""),"",IF(Participant_Data!G95=1,IF(ROUND(I95,1)&lt;15,"ขาด/เสี่ยงขาด",IF(ROUND(I95,1)&gt;25,"เสี่ยงเกิน/เกิน","ปกติ")),IF(ROUND(I95,1)&lt;20,"ขาด/เสี่ยงขาด",IF(ROUND(I95,1)&gt;35,"เสี่ยงเกิน/เกิน","ปกติ"))))</f>
        <v>ขาด/เสี่ยงขาด</v>
      </c>
      <c r="AP95" t="str">
        <f t="shared" si="3"/>
        <v>ขาด/เสี่ยงขาด</v>
      </c>
    </row>
    <row r="96" spans="1:42">
      <c r="A96" s="2">
        <f>IF(Participant_Data!A96="","",Participant_Data!A96)</f>
        <v>95</v>
      </c>
      <c r="B96" s="2" t="str">
        <f>IF(Participant_Data!B96="","",Participant_Data!B96)</f>
        <v/>
      </c>
      <c r="C96" s="3" t="str">
        <f>IF(Participant_Data!C96="","",Participant_Data!C96)</f>
        <v/>
      </c>
      <c r="D96" s="5"/>
      <c r="E96" s="5">
        <v>156</v>
      </c>
      <c r="F96" s="5">
        <v>43.1</v>
      </c>
      <c r="G96" s="22">
        <f t="shared" si="2"/>
        <v>17.710387902695594</v>
      </c>
      <c r="H96" s="5">
        <v>9.18</v>
      </c>
      <c r="I96" s="5">
        <v>21.3</v>
      </c>
      <c r="J96" s="5">
        <v>3.5</v>
      </c>
      <c r="K96" s="5">
        <v>32.1</v>
      </c>
      <c r="L96" s="5">
        <v>1.8</v>
      </c>
      <c r="M96" s="5">
        <v>48.7</v>
      </c>
      <c r="N96" s="5">
        <v>941</v>
      </c>
      <c r="O96" s="5">
        <v>2</v>
      </c>
      <c r="P96" s="5">
        <v>3</v>
      </c>
      <c r="Q96" s="5">
        <v>2</v>
      </c>
      <c r="R96" s="5">
        <v>2</v>
      </c>
      <c r="S96" s="5">
        <v>1</v>
      </c>
      <c r="T96" s="5">
        <v>0</v>
      </c>
      <c r="U96" s="2">
        <v>10</v>
      </c>
      <c r="V96" s="2">
        <v>2</v>
      </c>
      <c r="W96" s="5">
        <v>1</v>
      </c>
      <c r="X96" s="5">
        <v>1</v>
      </c>
      <c r="Y96" s="5">
        <v>1</v>
      </c>
      <c r="Z96" s="5">
        <v>2</v>
      </c>
      <c r="AA96" s="5">
        <v>1</v>
      </c>
      <c r="AB96" s="5">
        <v>1</v>
      </c>
      <c r="AC96" s="5">
        <v>1</v>
      </c>
      <c r="AD96" s="5">
        <v>2</v>
      </c>
      <c r="AE96" s="5">
        <v>2</v>
      </c>
      <c r="AF96" s="5">
        <v>1</v>
      </c>
      <c r="AG96" s="5">
        <v>0.5</v>
      </c>
      <c r="AH96" s="5">
        <v>1</v>
      </c>
      <c r="AI96" s="2">
        <v>14.5</v>
      </c>
      <c r="AJ96" s="2">
        <v>24.5</v>
      </c>
      <c r="AK96" s="2">
        <v>1</v>
      </c>
      <c r="AL96" s="2">
        <v>21.5</v>
      </c>
      <c r="AM96" s="2">
        <v>32</v>
      </c>
      <c r="AN96" t="str">
        <f>IF(OR(G96="",Participant_Data!E96=""),"",IF(Participant_Data!E96&lt;70,IF(ROUND(G96,1)&lt;18.5,"ขาด/เสี่ยงขาด",IF(ROUND(G96,1)&gt;=25,"เสี่ยงเกิน/เกิน","ปกติ")),IF(ROUND(G96,1)&lt;20,"ขาด/เสี่ยงขาด",IF(ROUND(G96,1)&gt;=25,"เสี่ยงเกิน/เกิน","ปกติ"))))</f>
        <v>ขาด/เสี่ยงขาด</v>
      </c>
      <c r="AO96" t="str">
        <f>IF(OR(I96="",Participant_Data!G96=""),"",IF(Participant_Data!G96=1,IF(ROUND(I96,1)&lt;15,"ขาด/เสี่ยงขาด",IF(ROUND(I96,1)&gt;25,"เสี่ยงเกิน/เกิน","ปกติ")),IF(ROUND(I96,1)&lt;20,"ขาด/เสี่ยงขาด",IF(ROUND(I96,1)&gt;35,"เสี่ยงเกิน/เกิน","ปกติ"))))</f>
        <v>ปกติ</v>
      </c>
      <c r="AP96" t="str">
        <f t="shared" si="3"/>
        <v>ขาด/เสี่ยงขาด</v>
      </c>
    </row>
    <row r="97" spans="1:42">
      <c r="A97" s="2">
        <f>IF(Participant_Data!A97="","",Participant_Data!A97)</f>
        <v>96</v>
      </c>
      <c r="B97" s="2" t="str">
        <f>IF(Participant_Data!B97="","",Participant_Data!B97)</f>
        <v/>
      </c>
      <c r="C97" s="3" t="str">
        <f>IF(Participant_Data!C97="","",Participant_Data!C97)</f>
        <v/>
      </c>
      <c r="D97" s="5"/>
      <c r="E97" s="5">
        <v>149</v>
      </c>
      <c r="F97" s="5">
        <v>38.950000000000003</v>
      </c>
      <c r="G97" s="22">
        <f t="shared" si="2"/>
        <v>17.544254763298952</v>
      </c>
      <c r="H97" s="5">
        <v>9.81</v>
      </c>
      <c r="I97" s="5">
        <v>25.2</v>
      </c>
      <c r="J97" s="5">
        <v>3.5</v>
      </c>
      <c r="K97" s="5">
        <v>27.75</v>
      </c>
      <c r="L97" s="5">
        <v>1.4</v>
      </c>
      <c r="M97" s="5">
        <v>50.4</v>
      </c>
      <c r="N97" s="5">
        <v>823</v>
      </c>
      <c r="O97" s="5">
        <v>2</v>
      </c>
      <c r="P97" s="5">
        <v>3</v>
      </c>
      <c r="Q97" s="5">
        <v>2</v>
      </c>
      <c r="R97" s="5">
        <v>2</v>
      </c>
      <c r="S97" s="5">
        <v>1</v>
      </c>
      <c r="T97" s="5">
        <v>0</v>
      </c>
      <c r="U97" s="2">
        <v>10</v>
      </c>
      <c r="V97" s="2">
        <v>2</v>
      </c>
      <c r="W97" s="5">
        <v>1</v>
      </c>
      <c r="X97" s="5">
        <v>1</v>
      </c>
      <c r="Y97" s="5">
        <v>1</v>
      </c>
      <c r="Z97" s="5">
        <v>1</v>
      </c>
      <c r="AA97" s="5">
        <v>0.5</v>
      </c>
      <c r="AB97" s="5">
        <v>1</v>
      </c>
      <c r="AC97" s="5">
        <v>0.5</v>
      </c>
      <c r="AD97" s="5">
        <v>2</v>
      </c>
      <c r="AE97" s="5">
        <v>0</v>
      </c>
      <c r="AF97" s="5">
        <v>1</v>
      </c>
      <c r="AG97" s="5">
        <v>0.5</v>
      </c>
      <c r="AH97" s="5">
        <v>0</v>
      </c>
      <c r="AI97" s="2">
        <v>9.5</v>
      </c>
      <c r="AJ97" s="2">
        <v>19.5</v>
      </c>
      <c r="AK97" s="2">
        <v>2</v>
      </c>
      <c r="AL97" s="2">
        <v>22</v>
      </c>
      <c r="AM97" s="2">
        <v>30.5</v>
      </c>
      <c r="AN97" t="str">
        <f>IF(OR(G97="",Participant_Data!E97=""),"",IF(Participant_Data!E97&lt;70,IF(ROUND(G97,1)&lt;18.5,"ขาด/เสี่ยงขาด",IF(ROUND(G97,1)&gt;=25,"เสี่ยงเกิน/เกิน","ปกติ")),IF(ROUND(G97,1)&lt;20,"ขาด/เสี่ยงขาด",IF(ROUND(G97,1)&gt;=25,"เสี่ยงเกิน/เกิน","ปกติ"))))</f>
        <v>ขาด/เสี่ยงขาด</v>
      </c>
      <c r="AO97" t="str">
        <f>IF(OR(I97="",Participant_Data!G97=""),"",IF(Participant_Data!G97=1,IF(ROUND(I97,1)&lt;15,"ขาด/เสี่ยงขาด",IF(ROUND(I97,1)&gt;25,"เสี่ยงเกิน/เกิน","ปกติ")),IF(ROUND(I97,1)&lt;20,"ขาด/เสี่ยงขาด",IF(ROUND(I97,1)&gt;35,"เสี่ยงเกิน/เกิน","ปกติ"))))</f>
        <v>ปกติ</v>
      </c>
      <c r="AP97" t="str">
        <f t="shared" si="3"/>
        <v>ขาด/เสี่ยงขาด</v>
      </c>
    </row>
    <row r="98" spans="1:42">
      <c r="A98" s="2">
        <f>IF(Participant_Data!A98="","",Participant_Data!A98)</f>
        <v>97</v>
      </c>
      <c r="B98" s="2" t="str">
        <f>IF(Participant_Data!B98="","",Participant_Data!B98)</f>
        <v/>
      </c>
      <c r="C98" s="3" t="str">
        <f>IF(Participant_Data!C98="","",Participant_Data!C98)</f>
        <v/>
      </c>
      <c r="D98" s="5"/>
      <c r="E98" s="5">
        <v>155</v>
      </c>
      <c r="F98" s="5">
        <v>53.2</v>
      </c>
      <c r="G98" s="22">
        <f t="shared" si="2"/>
        <v>22.143600416233088</v>
      </c>
      <c r="H98" s="5">
        <v>18.89</v>
      </c>
      <c r="I98" s="5">
        <v>35.5</v>
      </c>
      <c r="J98" s="5">
        <v>7</v>
      </c>
      <c r="K98" s="5">
        <v>32.450000000000003</v>
      </c>
      <c r="L98" s="5">
        <v>1.8</v>
      </c>
      <c r="M98" s="5">
        <v>41.3</v>
      </c>
      <c r="N98" s="5">
        <v>1001</v>
      </c>
      <c r="O98" s="5">
        <v>2</v>
      </c>
      <c r="P98" s="5">
        <v>3</v>
      </c>
      <c r="Q98" s="5">
        <v>2</v>
      </c>
      <c r="R98" s="5">
        <v>2</v>
      </c>
      <c r="S98" s="5">
        <v>2</v>
      </c>
      <c r="T98" s="5">
        <v>2</v>
      </c>
      <c r="U98" s="2">
        <v>13</v>
      </c>
      <c r="V98" s="2">
        <v>1</v>
      </c>
      <c r="W98" s="5">
        <v>1</v>
      </c>
      <c r="X98" s="5">
        <v>1</v>
      </c>
      <c r="Y98" s="5">
        <v>1</v>
      </c>
      <c r="Z98" s="5">
        <v>1</v>
      </c>
      <c r="AA98" s="5">
        <v>0.5</v>
      </c>
      <c r="AB98" s="5">
        <v>1</v>
      </c>
      <c r="AC98" s="5">
        <v>1</v>
      </c>
      <c r="AD98" s="5">
        <v>2</v>
      </c>
      <c r="AE98" s="5">
        <v>2</v>
      </c>
      <c r="AF98" s="5">
        <v>1</v>
      </c>
      <c r="AG98" s="5">
        <v>1</v>
      </c>
      <c r="AH98" s="5">
        <v>1</v>
      </c>
      <c r="AI98" s="2">
        <v>13.5</v>
      </c>
      <c r="AJ98" s="2">
        <v>26.5</v>
      </c>
      <c r="AK98" s="2">
        <v>1</v>
      </c>
      <c r="AL98" s="2">
        <v>27.5</v>
      </c>
      <c r="AM98" s="2">
        <v>34.5</v>
      </c>
      <c r="AN98" t="str">
        <f>IF(OR(G98="",Participant_Data!E98=""),"",IF(Participant_Data!E98&lt;70,IF(ROUND(G98,1)&lt;18.5,"ขาด/เสี่ยงขาด",IF(ROUND(G98,1)&gt;=25,"เสี่ยงเกิน/เกิน","ปกติ")),IF(ROUND(G98,1)&lt;20,"ขาด/เสี่ยงขาด",IF(ROUND(G98,1)&gt;=25,"เสี่ยงเกิน/เกิน","ปกติ"))))</f>
        <v>ปกติ</v>
      </c>
      <c r="AO98" t="str">
        <f>IF(OR(I98="",Participant_Data!G98=""),"",IF(Participant_Data!G98=1,IF(ROUND(I98,1)&lt;15,"ขาด/เสี่ยงขาด",IF(ROUND(I98,1)&gt;25,"เสี่ยงเกิน/เกิน","ปกติ")),IF(ROUND(I98,1)&lt;20,"ขาด/เสี่ยงขาด",IF(ROUND(I98,1)&gt;35,"เสี่ยงเกิน/เกิน","ปกติ"))))</f>
        <v>เสี่ยงเกิน/เกิน</v>
      </c>
      <c r="AP98" t="str">
        <f t="shared" si="3"/>
        <v>เสี่ยงเกิน/เกิน</v>
      </c>
    </row>
    <row r="99" spans="1:42">
      <c r="A99" s="2">
        <f>IF(Participant_Data!A99="","",Participant_Data!A99)</f>
        <v>98</v>
      </c>
      <c r="B99" s="2" t="str">
        <f>IF(Participant_Data!B99="","",Participant_Data!B99)</f>
        <v/>
      </c>
      <c r="C99" s="3" t="str">
        <f>IF(Participant_Data!C99="","",Participant_Data!C99)</f>
        <v/>
      </c>
      <c r="D99" s="5"/>
      <c r="E99" s="5">
        <v>152</v>
      </c>
      <c r="F99" s="5">
        <v>70.599999999999994</v>
      </c>
      <c r="G99" s="22">
        <f t="shared" si="2"/>
        <v>30.557479224376728</v>
      </c>
      <c r="H99" s="5">
        <v>30.49</v>
      </c>
      <c r="I99" s="5">
        <v>43.2</v>
      </c>
      <c r="J99" s="5">
        <v>11.5</v>
      </c>
      <c r="K99" s="5">
        <v>37.75</v>
      </c>
      <c r="L99" s="5">
        <v>2.2999999999999998</v>
      </c>
      <c r="M99" s="5">
        <v>45.9</v>
      </c>
      <c r="N99" s="5">
        <v>1215</v>
      </c>
      <c r="O99" s="5">
        <v>2</v>
      </c>
      <c r="P99" s="5">
        <v>3</v>
      </c>
      <c r="Q99" s="5">
        <v>2</v>
      </c>
      <c r="R99" s="5">
        <v>2</v>
      </c>
      <c r="S99" s="5">
        <v>2</v>
      </c>
      <c r="T99" s="5">
        <v>3</v>
      </c>
      <c r="U99" s="2">
        <v>14</v>
      </c>
      <c r="V99" s="2">
        <v>1</v>
      </c>
      <c r="W99" s="5">
        <v>1</v>
      </c>
      <c r="X99" s="5">
        <v>1</v>
      </c>
      <c r="Y99" s="5">
        <v>1</v>
      </c>
      <c r="Z99" s="5">
        <v>2</v>
      </c>
      <c r="AA99" s="5">
        <v>0.5</v>
      </c>
      <c r="AB99" s="5">
        <v>1</v>
      </c>
      <c r="AC99" s="5">
        <v>1</v>
      </c>
      <c r="AD99" s="5">
        <v>2</v>
      </c>
      <c r="AE99" s="5">
        <v>2</v>
      </c>
      <c r="AF99" s="5">
        <v>2</v>
      </c>
      <c r="AG99" s="5">
        <v>1</v>
      </c>
      <c r="AH99" s="5">
        <v>1</v>
      </c>
      <c r="AI99" s="2">
        <v>15.5</v>
      </c>
      <c r="AJ99" s="2">
        <v>29.5</v>
      </c>
      <c r="AK99" s="2">
        <v>1</v>
      </c>
      <c r="AL99" s="2">
        <v>34</v>
      </c>
      <c r="AM99" s="2">
        <v>40</v>
      </c>
      <c r="AN99" t="str">
        <f>IF(OR(G99="",Participant_Data!E99=""),"",IF(Participant_Data!E99&lt;70,IF(ROUND(G99,1)&lt;18.5,"ขาด/เสี่ยงขาด",IF(ROUND(G99,1)&gt;=25,"เสี่ยงเกิน/เกิน","ปกติ")),IF(ROUND(G99,1)&lt;20,"ขาด/เสี่ยงขาด",IF(ROUND(G99,1)&gt;=25,"เสี่ยงเกิน/เกิน","ปกติ"))))</f>
        <v>เสี่ยงเกิน/เกิน</v>
      </c>
      <c r="AO99" t="str">
        <f>IF(OR(I99="",Participant_Data!G99=""),"",IF(Participant_Data!G99=1,IF(ROUND(I99,1)&lt;15,"ขาด/เสี่ยงขาด",IF(ROUND(I99,1)&gt;25,"เสี่ยงเกิน/เกิน","ปกติ")),IF(ROUND(I99,1)&lt;20,"ขาด/เสี่ยงขาด",IF(ROUND(I99,1)&gt;35,"เสี่ยงเกิน/เกิน","ปกติ"))))</f>
        <v>เสี่ยงเกิน/เกิน</v>
      </c>
      <c r="AP99" t="str">
        <f t="shared" si="3"/>
        <v>เสี่ยงเกิน/เกิน</v>
      </c>
    </row>
    <row r="100" spans="1:42">
      <c r="A100" s="2">
        <f>IF(Participant_Data!A100="","",Participant_Data!A100)</f>
        <v>99</v>
      </c>
      <c r="B100" s="2" t="str">
        <f>IF(Participant_Data!B100="","",Participant_Data!B100)</f>
        <v/>
      </c>
      <c r="C100" s="3" t="str">
        <f>IF(Participant_Data!C100="","",Participant_Data!C100)</f>
        <v/>
      </c>
      <c r="D100" s="5"/>
      <c r="E100" s="5">
        <v>149</v>
      </c>
      <c r="F100" s="5">
        <v>53.1</v>
      </c>
      <c r="G100" s="22">
        <f t="shared" si="2"/>
        <v>23.917841538669432</v>
      </c>
      <c r="H100" s="5">
        <v>18.27</v>
      </c>
      <c r="I100" s="5">
        <v>34.4</v>
      </c>
      <c r="J100" s="5">
        <v>7.5</v>
      </c>
      <c r="K100" s="5">
        <v>32.950000000000003</v>
      </c>
      <c r="L100" s="5">
        <v>1.9</v>
      </c>
      <c r="M100" s="5">
        <v>49.1</v>
      </c>
      <c r="N100" s="5">
        <v>1012</v>
      </c>
      <c r="O100" s="5">
        <v>1</v>
      </c>
      <c r="P100" s="5">
        <v>3</v>
      </c>
      <c r="Q100" s="5">
        <v>2</v>
      </c>
      <c r="R100" s="5">
        <v>2</v>
      </c>
      <c r="S100" s="5">
        <v>2</v>
      </c>
      <c r="T100" s="5">
        <v>3</v>
      </c>
      <c r="U100" s="2">
        <v>13</v>
      </c>
      <c r="V100" s="2">
        <v>1</v>
      </c>
      <c r="W100" s="5">
        <v>1</v>
      </c>
      <c r="X100" s="5">
        <v>1</v>
      </c>
      <c r="Y100" s="5">
        <v>1</v>
      </c>
      <c r="Z100" s="5">
        <v>1</v>
      </c>
      <c r="AA100" s="5">
        <v>0</v>
      </c>
      <c r="AB100" s="5">
        <v>1</v>
      </c>
      <c r="AC100" s="5">
        <v>1</v>
      </c>
      <c r="AD100" s="5">
        <v>2</v>
      </c>
      <c r="AE100" s="5">
        <v>1</v>
      </c>
      <c r="AF100" s="5">
        <v>1</v>
      </c>
      <c r="AG100" s="5">
        <v>1</v>
      </c>
      <c r="AH100" s="5">
        <v>1</v>
      </c>
      <c r="AI100" s="2">
        <v>12</v>
      </c>
      <c r="AJ100" s="2">
        <v>25</v>
      </c>
      <c r="AK100" s="2">
        <v>1</v>
      </c>
      <c r="AL100" s="2">
        <v>29</v>
      </c>
      <c r="AM100" s="2">
        <v>34</v>
      </c>
      <c r="AN100" t="str">
        <f>IF(OR(G100="",Participant_Data!E100=""),"",IF(Participant_Data!E100&lt;70,IF(ROUND(G100,1)&lt;18.5,"ขาด/เสี่ยงขาด",IF(ROUND(G100,1)&gt;=25,"เสี่ยงเกิน/เกิน","ปกติ")),IF(ROUND(G100,1)&lt;20,"ขาด/เสี่ยงขาด",IF(ROUND(G100,1)&gt;=25,"เสี่ยงเกิน/เกิน","ปกติ"))))</f>
        <v>ปกติ</v>
      </c>
      <c r="AO100" t="str">
        <f>IF(OR(I100="",Participant_Data!G100=""),"",IF(Participant_Data!G100=1,IF(ROUND(I100,1)&lt;15,"ขาด/เสี่ยงขาด",IF(ROUND(I100,1)&gt;25,"เสี่ยงเกิน/เกิน","ปกติ")),IF(ROUND(I100,1)&lt;20,"ขาด/เสี่ยงขาด",IF(ROUND(I100,1)&gt;35,"เสี่ยงเกิน/เกิน","ปกติ"))))</f>
        <v>ปกติ</v>
      </c>
      <c r="AP100" t="str">
        <f t="shared" si="3"/>
        <v>ปกติ</v>
      </c>
    </row>
    <row r="101" spans="1:42">
      <c r="A101" s="2">
        <f>IF(Participant_Data!A101="","",Participant_Data!A101)</f>
        <v>100</v>
      </c>
      <c r="B101" s="2" t="str">
        <f>IF(Participant_Data!B101="","",Participant_Data!B101)</f>
        <v/>
      </c>
      <c r="C101" s="3" t="str">
        <f>IF(Participant_Data!C101="","",Participant_Data!C101)</f>
        <v/>
      </c>
      <c r="D101" s="5"/>
      <c r="E101" s="5">
        <v>164</v>
      </c>
      <c r="F101" s="5">
        <v>65.45</v>
      </c>
      <c r="G101" s="22">
        <f t="shared" si="2"/>
        <v>24.334473527662112</v>
      </c>
      <c r="H101" s="5">
        <v>25.07</v>
      </c>
      <c r="I101" s="5">
        <v>38.299999999999997</v>
      </c>
      <c r="J101" s="5">
        <v>8.5</v>
      </c>
      <c r="K101" s="5">
        <v>38</v>
      </c>
      <c r="L101" s="5">
        <v>2.4</v>
      </c>
      <c r="M101" s="5">
        <v>37.9</v>
      </c>
      <c r="N101" s="5">
        <v>1197</v>
      </c>
      <c r="O101" s="5">
        <v>1</v>
      </c>
      <c r="P101" s="5">
        <v>2</v>
      </c>
      <c r="Q101" s="5">
        <v>2</v>
      </c>
      <c r="R101" s="5">
        <v>2</v>
      </c>
      <c r="S101" s="5">
        <v>2</v>
      </c>
      <c r="T101" s="5">
        <v>3</v>
      </c>
      <c r="U101" s="2">
        <v>12</v>
      </c>
      <c r="V101" s="2">
        <v>1</v>
      </c>
      <c r="W101" s="5">
        <v>1</v>
      </c>
      <c r="X101" s="5">
        <v>1</v>
      </c>
      <c r="Y101" s="5">
        <v>1</v>
      </c>
      <c r="Z101" s="5">
        <v>2</v>
      </c>
      <c r="AA101" s="5">
        <v>0.5</v>
      </c>
      <c r="AB101" s="5">
        <v>1</v>
      </c>
      <c r="AC101" s="5">
        <v>1</v>
      </c>
      <c r="AD101" s="5">
        <v>2</v>
      </c>
      <c r="AE101" s="5">
        <v>2</v>
      </c>
      <c r="AF101" s="5">
        <v>2</v>
      </c>
      <c r="AG101" s="5">
        <v>1</v>
      </c>
      <c r="AH101" s="5">
        <v>0</v>
      </c>
      <c r="AI101" s="2">
        <v>14.5</v>
      </c>
      <c r="AJ101" s="2">
        <v>26.5</v>
      </c>
      <c r="AK101" s="2">
        <v>1</v>
      </c>
      <c r="AL101" s="2">
        <v>31</v>
      </c>
      <c r="AM101" s="2">
        <v>30.5</v>
      </c>
      <c r="AN101" t="str">
        <f>IF(OR(G101="",Participant_Data!E101=""),"",IF(Participant_Data!E101&lt;70,IF(ROUND(G101,1)&lt;18.5,"ขาด/เสี่ยงขาด",IF(ROUND(G101,1)&gt;=25,"เสี่ยงเกิน/เกิน","ปกติ")),IF(ROUND(G101,1)&lt;20,"ขาด/เสี่ยงขาด",IF(ROUND(G101,1)&gt;=25,"เสี่ยงเกิน/เกิน","ปกติ"))))</f>
        <v>ปกติ</v>
      </c>
      <c r="AO101" t="str">
        <f>IF(OR(I101="",Participant_Data!G101=""),"",IF(Participant_Data!G101=1,IF(ROUND(I101,1)&lt;15,"ขาด/เสี่ยงขาด",IF(ROUND(I101,1)&gt;25,"เสี่ยงเกิน/เกิน","ปกติ")),IF(ROUND(I101,1)&lt;20,"ขาด/เสี่ยงขาด",IF(ROUND(I101,1)&gt;35,"เสี่ยงเกิน/เกิน","ปกติ"))))</f>
        <v>เสี่ยงเกิน/เกิน</v>
      </c>
      <c r="AP101" t="str">
        <f t="shared" si="3"/>
        <v>เสี่ยงเกิน/เกิน</v>
      </c>
    </row>
    <row r="102" spans="1:42">
      <c r="A102" s="2">
        <f>IF(Participant_Data!A102="","",Participant_Data!A102)</f>
        <v>101</v>
      </c>
      <c r="B102" s="2" t="str">
        <f>IF(Participant_Data!B102="","",Participant_Data!B102)</f>
        <v/>
      </c>
      <c r="C102" s="3" t="str">
        <f>IF(Participant_Data!C102="","",Participant_Data!C102)</f>
        <v/>
      </c>
      <c r="D102" s="5"/>
      <c r="E102" s="5">
        <v>157</v>
      </c>
      <c r="F102" s="5">
        <v>46.25</v>
      </c>
      <c r="G102" s="22">
        <f t="shared" si="2"/>
        <v>18.763438679053916</v>
      </c>
      <c r="H102" s="5">
        <v>11.61</v>
      </c>
      <c r="I102" s="5">
        <v>25.1</v>
      </c>
      <c r="J102" s="5">
        <v>4.5</v>
      </c>
      <c r="K102" s="5">
        <v>32.75</v>
      </c>
      <c r="L102" s="5">
        <v>1.9</v>
      </c>
      <c r="M102" s="5">
        <v>50.1</v>
      </c>
      <c r="N102" s="5">
        <v>972</v>
      </c>
      <c r="O102" s="5">
        <v>1</v>
      </c>
      <c r="P102" s="5">
        <v>2</v>
      </c>
      <c r="Q102" s="5">
        <v>2</v>
      </c>
      <c r="R102" s="5">
        <v>2</v>
      </c>
      <c r="S102" s="5">
        <v>2</v>
      </c>
      <c r="T102" s="5">
        <v>0</v>
      </c>
      <c r="U102" s="2">
        <v>9</v>
      </c>
      <c r="V102" s="2">
        <v>2</v>
      </c>
      <c r="W102" s="5">
        <v>1</v>
      </c>
      <c r="X102" s="5">
        <v>1</v>
      </c>
      <c r="Y102" s="5">
        <v>1</v>
      </c>
      <c r="Z102" s="5">
        <v>1</v>
      </c>
      <c r="AA102" s="5">
        <v>1</v>
      </c>
      <c r="AB102" s="5">
        <v>0</v>
      </c>
      <c r="AC102" s="5">
        <v>1</v>
      </c>
      <c r="AD102" s="5">
        <v>2</v>
      </c>
      <c r="AE102" s="5">
        <v>2</v>
      </c>
      <c r="AF102" s="5">
        <v>1</v>
      </c>
      <c r="AG102" s="5">
        <v>1</v>
      </c>
      <c r="AH102" s="5">
        <v>1</v>
      </c>
      <c r="AI102" s="2">
        <v>13</v>
      </c>
      <c r="AJ102" s="2">
        <v>22</v>
      </c>
      <c r="AK102" s="2">
        <v>2</v>
      </c>
      <c r="AL102" s="2">
        <v>26</v>
      </c>
      <c r="AM102" s="2">
        <v>33</v>
      </c>
      <c r="AN102" t="str">
        <f>IF(OR(G102="",Participant_Data!E102=""),"",IF(Participant_Data!E102&lt;70,IF(ROUND(G102,1)&lt;18.5,"ขาด/เสี่ยงขาด",IF(ROUND(G102,1)&gt;=25,"เสี่ยงเกิน/เกิน","ปกติ")),IF(ROUND(G102,1)&lt;20,"ขาด/เสี่ยงขาด",IF(ROUND(G102,1)&gt;=25,"เสี่ยงเกิน/เกิน","ปกติ"))))</f>
        <v>ขาด/เสี่ยงขาด</v>
      </c>
      <c r="AO102" t="str">
        <f>IF(OR(I102="",Participant_Data!G102=""),"",IF(Participant_Data!G102=1,IF(ROUND(I102,1)&lt;15,"ขาด/เสี่ยงขาด",IF(ROUND(I102,1)&gt;25,"เสี่ยงเกิน/เกิน","ปกติ")),IF(ROUND(I102,1)&lt;20,"ขาด/เสี่ยงขาด",IF(ROUND(I102,1)&gt;35,"เสี่ยงเกิน/เกิน","ปกติ"))))</f>
        <v>ปกติ</v>
      </c>
      <c r="AP102" t="str">
        <f t="shared" si="3"/>
        <v>ขาด/เสี่ยงขาด</v>
      </c>
    </row>
    <row r="103" spans="1:42">
      <c r="A103" s="2">
        <f>IF(Participant_Data!A103="","",Participant_Data!A103)</f>
        <v>102</v>
      </c>
      <c r="B103" s="2" t="str">
        <f>IF(Participant_Data!B103="","",Participant_Data!B103)</f>
        <v/>
      </c>
      <c r="C103" s="3" t="str">
        <f>IF(Participant_Data!C103="","",Participant_Data!C103)</f>
        <v/>
      </c>
      <c r="D103" s="5"/>
      <c r="E103" s="5">
        <v>151</v>
      </c>
      <c r="F103" s="5">
        <v>57.55</v>
      </c>
      <c r="G103" s="22">
        <f t="shared" si="2"/>
        <v>25.240121047322486</v>
      </c>
      <c r="H103" s="5">
        <v>18.18</v>
      </c>
      <c r="I103" s="5">
        <v>31.6</v>
      </c>
      <c r="J103" s="5">
        <v>9.5</v>
      </c>
      <c r="K103" s="5">
        <v>37.1</v>
      </c>
      <c r="L103" s="5">
        <v>2.2999999999999998</v>
      </c>
      <c r="M103" s="5">
        <v>42</v>
      </c>
      <c r="N103" s="5">
        <v>1126</v>
      </c>
      <c r="O103" s="5">
        <v>2</v>
      </c>
      <c r="P103" s="5">
        <v>2</v>
      </c>
      <c r="Q103" s="5">
        <v>2</v>
      </c>
      <c r="R103" s="5">
        <v>2</v>
      </c>
      <c r="S103" s="5">
        <v>1</v>
      </c>
      <c r="T103" s="5">
        <v>3</v>
      </c>
      <c r="U103" s="2">
        <v>12</v>
      </c>
      <c r="V103" s="2">
        <v>1</v>
      </c>
      <c r="W103" s="5">
        <v>1</v>
      </c>
      <c r="X103" s="5">
        <v>1</v>
      </c>
      <c r="Y103" s="5">
        <v>1</v>
      </c>
      <c r="Z103" s="5">
        <v>2</v>
      </c>
      <c r="AA103" s="5">
        <v>0.5</v>
      </c>
      <c r="AB103" s="5">
        <v>0</v>
      </c>
      <c r="AC103" s="5">
        <v>1</v>
      </c>
      <c r="AD103" s="5">
        <v>2</v>
      </c>
      <c r="AE103" s="5">
        <v>2</v>
      </c>
      <c r="AF103" s="5">
        <v>0.5</v>
      </c>
      <c r="AG103" s="5">
        <v>1</v>
      </c>
      <c r="AH103" s="5">
        <v>1</v>
      </c>
      <c r="AI103" s="2">
        <v>13</v>
      </c>
      <c r="AJ103" s="2">
        <v>25</v>
      </c>
      <c r="AK103" s="2">
        <v>1</v>
      </c>
      <c r="AL103" s="2">
        <v>26</v>
      </c>
      <c r="AM103" s="2">
        <v>36.5</v>
      </c>
      <c r="AN103" t="str">
        <f>IF(OR(G103="",Participant_Data!E103=""),"",IF(Participant_Data!E103&lt;70,IF(ROUND(G103,1)&lt;18.5,"ขาด/เสี่ยงขาด",IF(ROUND(G103,1)&gt;=25,"เสี่ยงเกิน/เกิน","ปกติ")),IF(ROUND(G103,1)&lt;20,"ขาด/เสี่ยงขาด",IF(ROUND(G103,1)&gt;=25,"เสี่ยงเกิน/เกิน","ปกติ"))))</f>
        <v>เสี่ยงเกิน/เกิน</v>
      </c>
      <c r="AO103" t="str">
        <f>IF(OR(I103="",Participant_Data!G103=""),"",IF(Participant_Data!G103=1,IF(ROUND(I103,1)&lt;15,"ขาด/เสี่ยงขาด",IF(ROUND(I103,1)&gt;25,"เสี่ยงเกิน/เกิน","ปกติ")),IF(ROUND(I103,1)&lt;20,"ขาด/เสี่ยงขาด",IF(ROUND(I103,1)&gt;35,"เสี่ยงเกิน/เกิน","ปกติ"))))</f>
        <v>ปกติ</v>
      </c>
      <c r="AP103" t="str">
        <f t="shared" si="3"/>
        <v>เสี่ยงเกิน/เกิน</v>
      </c>
    </row>
    <row r="104" spans="1:42">
      <c r="A104" s="2">
        <f>IF(Participant_Data!A104="","",Participant_Data!A104)</f>
        <v>103</v>
      </c>
      <c r="B104" s="2" t="str">
        <f>IF(Participant_Data!B104="","",Participant_Data!B104)</f>
        <v/>
      </c>
      <c r="C104" s="3" t="str">
        <f>IF(Participant_Data!C104="","",Participant_Data!C104)</f>
        <v/>
      </c>
      <c r="D104" s="5"/>
      <c r="E104" s="5">
        <v>150</v>
      </c>
      <c r="F104" s="5">
        <v>49.4</v>
      </c>
      <c r="G104" s="22">
        <f t="shared" si="2"/>
        <v>21.955555555555556</v>
      </c>
      <c r="H104" s="5">
        <v>14.57</v>
      </c>
      <c r="I104" s="5">
        <v>29.5</v>
      </c>
      <c r="J104" s="5">
        <v>6.5</v>
      </c>
      <c r="K104" s="5">
        <v>39.25</v>
      </c>
      <c r="L104" s="5">
        <v>1.9</v>
      </c>
      <c r="M104" s="5">
        <v>50.5</v>
      </c>
      <c r="N104" s="5">
        <v>992</v>
      </c>
      <c r="O104" s="5">
        <v>2</v>
      </c>
      <c r="P104" s="5">
        <v>3</v>
      </c>
      <c r="Q104" s="5">
        <v>2</v>
      </c>
      <c r="R104" s="5">
        <v>2</v>
      </c>
      <c r="S104" s="5">
        <v>2</v>
      </c>
      <c r="T104" s="5">
        <v>2</v>
      </c>
      <c r="U104" s="2">
        <v>13</v>
      </c>
      <c r="V104" s="2">
        <v>1</v>
      </c>
      <c r="W104" s="5">
        <v>1</v>
      </c>
      <c r="X104" s="5">
        <v>1</v>
      </c>
      <c r="Y104" s="5">
        <v>1</v>
      </c>
      <c r="Z104" s="5">
        <v>1</v>
      </c>
      <c r="AA104" s="5">
        <v>0.5</v>
      </c>
      <c r="AB104" s="5">
        <v>1</v>
      </c>
      <c r="AC104" s="5">
        <v>1</v>
      </c>
      <c r="AD104" s="5">
        <v>2</v>
      </c>
      <c r="AE104" s="5">
        <v>0</v>
      </c>
      <c r="AF104" s="5">
        <v>1</v>
      </c>
      <c r="AG104" s="5">
        <v>1</v>
      </c>
      <c r="AH104" s="5">
        <v>1</v>
      </c>
      <c r="AI104" s="2">
        <v>11.5</v>
      </c>
      <c r="AJ104" s="2">
        <v>24.5</v>
      </c>
      <c r="AK104" s="2">
        <v>1</v>
      </c>
      <c r="AL104" s="2">
        <v>26</v>
      </c>
      <c r="AM104" s="2">
        <v>34.5</v>
      </c>
      <c r="AN104" t="str">
        <f>IF(OR(G104="",Participant_Data!E104=""),"",IF(Participant_Data!E104&lt;70,IF(ROUND(G104,1)&lt;18.5,"ขาด/เสี่ยงขาด",IF(ROUND(G104,1)&gt;=25,"เสี่ยงเกิน/เกิน","ปกติ")),IF(ROUND(G104,1)&lt;20,"ขาด/เสี่ยงขาด",IF(ROUND(G104,1)&gt;=25,"เสี่ยงเกิน/เกิน","ปกติ"))))</f>
        <v>ปกติ</v>
      </c>
      <c r="AO104" t="str">
        <f>IF(OR(I104="",Participant_Data!G104=""),"",IF(Participant_Data!G104=1,IF(ROUND(I104,1)&lt;15,"ขาด/เสี่ยงขาด",IF(ROUND(I104,1)&gt;25,"เสี่ยงเกิน/เกิน","ปกติ")),IF(ROUND(I104,1)&lt;20,"ขาด/เสี่ยงขาด",IF(ROUND(I104,1)&gt;35,"เสี่ยงเกิน/เกิน","ปกติ"))))</f>
        <v>ปกติ</v>
      </c>
      <c r="AP104" t="str">
        <f t="shared" si="3"/>
        <v>ปกติ</v>
      </c>
    </row>
    <row r="105" spans="1:42">
      <c r="A105" s="2">
        <f>IF(Participant_Data!A105="","",Participant_Data!A105)</f>
        <v>104</v>
      </c>
      <c r="B105" s="2" t="str">
        <f>IF(Participant_Data!B105="","",Participant_Data!B105)</f>
        <v/>
      </c>
      <c r="C105" s="3" t="str">
        <f>IF(Participant_Data!C105="","",Participant_Data!C105)</f>
        <v/>
      </c>
      <c r="D105" s="5"/>
      <c r="E105" s="5">
        <v>170</v>
      </c>
      <c r="F105" s="5">
        <v>70.099999999999994</v>
      </c>
      <c r="G105" s="22">
        <f t="shared" si="2"/>
        <v>24.256055363321799</v>
      </c>
      <c r="H105" s="5">
        <v>16.47</v>
      </c>
      <c r="I105" s="5">
        <v>23.5</v>
      </c>
      <c r="J105" s="5">
        <v>16</v>
      </c>
      <c r="K105" s="5">
        <v>50.8</v>
      </c>
      <c r="L105" s="5">
        <v>2.8</v>
      </c>
      <c r="M105" s="5">
        <v>50.3</v>
      </c>
      <c r="N105" s="5">
        <v>1452</v>
      </c>
      <c r="O105" s="5">
        <v>2</v>
      </c>
      <c r="P105" s="5">
        <v>3</v>
      </c>
      <c r="Q105" s="5">
        <v>2</v>
      </c>
      <c r="R105" s="5">
        <v>2</v>
      </c>
      <c r="S105" s="5">
        <v>1</v>
      </c>
      <c r="T105" s="5">
        <v>3</v>
      </c>
      <c r="U105" s="2">
        <v>13</v>
      </c>
      <c r="V105" s="2">
        <v>1</v>
      </c>
      <c r="W105" s="5">
        <v>1</v>
      </c>
      <c r="X105" s="5">
        <v>1</v>
      </c>
      <c r="Y105" s="5">
        <v>1</v>
      </c>
      <c r="Z105" s="5">
        <v>1</v>
      </c>
      <c r="AA105" s="5">
        <v>1</v>
      </c>
      <c r="AB105" s="5">
        <v>1</v>
      </c>
      <c r="AC105" s="5">
        <v>1</v>
      </c>
      <c r="AD105" s="5">
        <v>2</v>
      </c>
      <c r="AE105" s="5">
        <v>2</v>
      </c>
      <c r="AF105" s="5">
        <v>2</v>
      </c>
      <c r="AG105" s="5">
        <v>1</v>
      </c>
      <c r="AH105" s="5">
        <v>1</v>
      </c>
      <c r="AI105" s="2">
        <v>15</v>
      </c>
      <c r="AJ105" s="2">
        <v>28</v>
      </c>
      <c r="AK105" s="2">
        <v>1</v>
      </c>
      <c r="AL105" s="2">
        <v>28</v>
      </c>
      <c r="AM105" s="2">
        <v>39.5</v>
      </c>
      <c r="AN105" t="str">
        <f>IF(OR(G105="",Participant_Data!E105=""),"",IF(Participant_Data!E105&lt;70,IF(ROUND(G105,1)&lt;18.5,"ขาด/เสี่ยงขาด",IF(ROUND(G105,1)&gt;=25,"เสี่ยงเกิน/เกิน","ปกติ")),IF(ROUND(G105,1)&lt;20,"ขาด/เสี่ยงขาด",IF(ROUND(G105,1)&gt;=25,"เสี่ยงเกิน/เกิน","ปกติ"))))</f>
        <v>ปกติ</v>
      </c>
      <c r="AO105" t="str">
        <f>IF(OR(I105="",Participant_Data!G105=""),"",IF(Participant_Data!G105=1,IF(ROUND(I105,1)&lt;15,"ขาด/เสี่ยงขาด",IF(ROUND(I105,1)&gt;25,"เสี่ยงเกิน/เกิน","ปกติ")),IF(ROUND(I105,1)&lt;20,"ขาด/เสี่ยงขาด",IF(ROUND(I105,1)&gt;35,"เสี่ยงเกิน/เกิน","ปกติ"))))</f>
        <v>ปกติ</v>
      </c>
      <c r="AP105" t="str">
        <f t="shared" si="3"/>
        <v>ปกติ</v>
      </c>
    </row>
    <row r="106" spans="1:42">
      <c r="A106" s="2">
        <f>IF(Participant_Data!A106="","",Participant_Data!A106)</f>
        <v>105</v>
      </c>
      <c r="B106" s="2" t="str">
        <f>IF(Participant_Data!B106="","",Participant_Data!B106)</f>
        <v/>
      </c>
      <c r="C106" s="3" t="str">
        <f>IF(Participant_Data!C106="","",Participant_Data!C106)</f>
        <v/>
      </c>
      <c r="D106" s="5"/>
      <c r="E106" s="5">
        <v>147</v>
      </c>
      <c r="F106" s="5">
        <v>48.75</v>
      </c>
      <c r="G106" s="22">
        <f t="shared" si="2"/>
        <v>22.56004442593364</v>
      </c>
      <c r="H106" s="5">
        <v>12.92</v>
      </c>
      <c r="I106" s="5">
        <v>26.95</v>
      </c>
      <c r="J106" s="5">
        <v>7.5</v>
      </c>
      <c r="K106" s="5">
        <v>33.85</v>
      </c>
      <c r="L106" s="5">
        <v>2</v>
      </c>
      <c r="M106" s="5">
        <v>36.799999999999997</v>
      </c>
      <c r="N106" s="5">
        <v>1002</v>
      </c>
      <c r="O106" s="5">
        <v>1</v>
      </c>
      <c r="P106" s="5">
        <v>3</v>
      </c>
      <c r="Q106" s="5">
        <v>2</v>
      </c>
      <c r="R106" s="5">
        <v>2</v>
      </c>
      <c r="S106" s="5">
        <v>1</v>
      </c>
      <c r="T106" s="5">
        <v>2</v>
      </c>
      <c r="U106" s="2">
        <v>11</v>
      </c>
      <c r="V106" s="2">
        <v>2</v>
      </c>
      <c r="W106" s="5">
        <v>1</v>
      </c>
      <c r="X106" s="5">
        <v>1</v>
      </c>
      <c r="Y106" s="5">
        <v>1</v>
      </c>
      <c r="Z106" s="5">
        <v>2</v>
      </c>
      <c r="AA106" s="5">
        <v>0.5</v>
      </c>
      <c r="AB106" s="5">
        <v>1</v>
      </c>
      <c r="AC106" s="5">
        <v>0.5</v>
      </c>
      <c r="AD106" s="5">
        <v>2</v>
      </c>
      <c r="AE106" s="5">
        <v>1</v>
      </c>
      <c r="AF106" s="5">
        <v>2</v>
      </c>
      <c r="AG106" s="5">
        <v>1</v>
      </c>
      <c r="AH106" s="5">
        <v>1</v>
      </c>
      <c r="AI106" s="2">
        <v>14</v>
      </c>
      <c r="AJ106" s="2">
        <v>25</v>
      </c>
      <c r="AK106" s="2">
        <v>1</v>
      </c>
      <c r="AL106" s="2">
        <v>27</v>
      </c>
      <c r="AM106" s="2">
        <v>31</v>
      </c>
      <c r="AN106" t="str">
        <f>IF(OR(G106="",Participant_Data!E106=""),"",IF(Participant_Data!E106&lt;70,IF(ROUND(G106,1)&lt;18.5,"ขาด/เสี่ยงขาด",IF(ROUND(G106,1)&gt;=25,"เสี่ยงเกิน/เกิน","ปกติ")),IF(ROUND(G106,1)&lt;20,"ขาด/เสี่ยงขาด",IF(ROUND(G106,1)&gt;=25,"เสี่ยงเกิน/เกิน","ปกติ"))))</f>
        <v>ปกติ</v>
      </c>
      <c r="AO106" t="str">
        <f>IF(OR(I106="",Participant_Data!G106=""),"",IF(Participant_Data!G106=1,IF(ROUND(I106,1)&lt;15,"ขาด/เสี่ยงขาด",IF(ROUND(I106,1)&gt;25,"เสี่ยงเกิน/เกิน","ปกติ")),IF(ROUND(I106,1)&lt;20,"ขาด/เสี่ยงขาด",IF(ROUND(I106,1)&gt;35,"เสี่ยงเกิน/เกิน","ปกติ"))))</f>
        <v>ปกติ</v>
      </c>
      <c r="AP106" t="str">
        <f t="shared" si="3"/>
        <v>ปกติ</v>
      </c>
    </row>
    <row r="107" spans="1:42">
      <c r="A107" s="2">
        <f>IF(Participant_Data!A107="","",Participant_Data!A107)</f>
        <v>106</v>
      </c>
      <c r="B107" s="2" t="str">
        <f>IF(Participant_Data!B107="","",Participant_Data!B107)</f>
        <v/>
      </c>
      <c r="C107" s="3" t="str">
        <f>IF(Participant_Data!C107="","",Participant_Data!C107)</f>
        <v/>
      </c>
      <c r="D107" s="5"/>
      <c r="E107" s="5">
        <v>147</v>
      </c>
      <c r="F107" s="5">
        <v>54.75</v>
      </c>
      <c r="G107" s="22">
        <f t="shared" si="2"/>
        <v>25.336665278356243</v>
      </c>
      <c r="H107" s="5">
        <v>18.62</v>
      </c>
      <c r="I107" s="5">
        <v>34</v>
      </c>
      <c r="J107" s="5">
        <v>9</v>
      </c>
      <c r="K107" s="5">
        <v>34.15</v>
      </c>
      <c r="L107" s="5">
        <v>2</v>
      </c>
      <c r="M107" s="5">
        <v>49.1</v>
      </c>
      <c r="N107" s="5">
        <v>1044</v>
      </c>
      <c r="O107" s="5">
        <v>2</v>
      </c>
      <c r="P107" s="5">
        <v>3</v>
      </c>
      <c r="Q107" s="5">
        <v>2</v>
      </c>
      <c r="R107" s="5">
        <v>2</v>
      </c>
      <c r="S107" s="5">
        <v>2</v>
      </c>
      <c r="T107" s="5">
        <v>3</v>
      </c>
      <c r="U107" s="2">
        <v>14</v>
      </c>
      <c r="V107" s="2">
        <v>1</v>
      </c>
      <c r="W107" s="5">
        <v>1</v>
      </c>
      <c r="X107" s="5">
        <v>1</v>
      </c>
      <c r="Y107" s="5">
        <v>1</v>
      </c>
      <c r="Z107" s="5">
        <v>1</v>
      </c>
      <c r="AA107" s="5">
        <v>1</v>
      </c>
      <c r="AB107" s="5">
        <v>1</v>
      </c>
      <c r="AC107" s="5">
        <v>1</v>
      </c>
      <c r="AD107" s="5">
        <v>2</v>
      </c>
      <c r="AE107" s="5">
        <v>2</v>
      </c>
      <c r="AF107" s="5">
        <v>2</v>
      </c>
      <c r="AG107" s="5">
        <v>1</v>
      </c>
      <c r="AH107" s="5">
        <v>1</v>
      </c>
      <c r="AI107" s="2">
        <v>15</v>
      </c>
      <c r="AJ107" s="2">
        <v>29</v>
      </c>
      <c r="AK107" s="2">
        <v>1</v>
      </c>
      <c r="AL107" s="2">
        <v>28.5</v>
      </c>
      <c r="AM107" s="2">
        <v>36</v>
      </c>
      <c r="AN107" t="str">
        <f>IF(OR(G107="",Participant_Data!E107=""),"",IF(Participant_Data!E107&lt;70,IF(ROUND(G107,1)&lt;18.5,"ขาด/เสี่ยงขาด",IF(ROUND(G107,1)&gt;=25,"เสี่ยงเกิน/เกิน","ปกติ")),IF(ROUND(G107,1)&lt;20,"ขาด/เสี่ยงขาด",IF(ROUND(G107,1)&gt;=25,"เสี่ยงเกิน/เกิน","ปกติ"))))</f>
        <v>เสี่ยงเกิน/เกิน</v>
      </c>
      <c r="AO107" t="str">
        <f>IF(OR(I107="",Participant_Data!G107=""),"",IF(Participant_Data!G107=1,IF(ROUND(I107,1)&lt;15,"ขาด/เสี่ยงขาด",IF(ROUND(I107,1)&gt;25,"เสี่ยงเกิน/เกิน","ปกติ")),IF(ROUND(I107,1)&lt;20,"ขาด/เสี่ยงขาด",IF(ROUND(I107,1)&gt;35,"เสี่ยงเกิน/เกิน","ปกติ"))))</f>
        <v>ปกติ</v>
      </c>
      <c r="AP107" t="str">
        <f t="shared" si="3"/>
        <v>เสี่ยงเกิน/เกิน</v>
      </c>
    </row>
    <row r="108" spans="1:42">
      <c r="A108" s="2">
        <f>IF(Participant_Data!A108="","",Participant_Data!A108)</f>
        <v>107</v>
      </c>
      <c r="B108" s="2" t="str">
        <f>IF(Participant_Data!B108="","",Participant_Data!B108)</f>
        <v/>
      </c>
      <c r="C108" s="3" t="str">
        <f>IF(Participant_Data!C108="","",Participant_Data!C108)</f>
        <v/>
      </c>
      <c r="D108" s="5"/>
      <c r="E108" s="5">
        <v>151</v>
      </c>
      <c r="F108" s="5">
        <v>46.85</v>
      </c>
      <c r="G108" s="22">
        <f t="shared" si="2"/>
        <v>20.547344414718655</v>
      </c>
      <c r="H108" s="5">
        <v>11.95</v>
      </c>
      <c r="I108" s="5">
        <v>25.5</v>
      </c>
      <c r="J108" s="5">
        <v>5.5</v>
      </c>
      <c r="K108" s="5">
        <v>33</v>
      </c>
      <c r="L108" s="5">
        <v>1.9</v>
      </c>
      <c r="M108" s="5">
        <v>53.4</v>
      </c>
      <c r="N108" s="5">
        <v>981</v>
      </c>
      <c r="O108" s="5">
        <v>1</v>
      </c>
      <c r="P108" s="5">
        <v>2</v>
      </c>
      <c r="Q108" s="5">
        <v>2</v>
      </c>
      <c r="R108" s="5">
        <v>2</v>
      </c>
      <c r="S108" s="5">
        <v>1</v>
      </c>
      <c r="T108" s="5">
        <v>2</v>
      </c>
      <c r="U108" s="2">
        <v>10</v>
      </c>
      <c r="V108" s="2">
        <v>2</v>
      </c>
      <c r="W108" s="5">
        <v>1</v>
      </c>
      <c r="X108" s="5">
        <v>0</v>
      </c>
      <c r="Y108" s="5">
        <v>1</v>
      </c>
      <c r="Z108" s="5">
        <v>2</v>
      </c>
      <c r="AA108" s="5">
        <v>0.5</v>
      </c>
      <c r="AB108" s="5">
        <v>0</v>
      </c>
      <c r="AC108" s="5">
        <v>1</v>
      </c>
      <c r="AD108" s="5">
        <v>2</v>
      </c>
      <c r="AE108" s="5">
        <v>1</v>
      </c>
      <c r="AF108" s="5">
        <v>0</v>
      </c>
      <c r="AG108" s="5">
        <v>1</v>
      </c>
      <c r="AH108" s="5">
        <v>1</v>
      </c>
      <c r="AI108" s="2">
        <v>10.5</v>
      </c>
      <c r="AJ108" s="2">
        <v>20.5</v>
      </c>
      <c r="AK108" s="2">
        <v>2</v>
      </c>
      <c r="AL108" s="2">
        <v>25</v>
      </c>
      <c r="AM108" s="2">
        <v>33.5</v>
      </c>
      <c r="AN108" t="str">
        <f>IF(OR(G108="",Participant_Data!E108=""),"",IF(Participant_Data!E108&lt;70,IF(ROUND(G108,1)&lt;18.5,"ขาด/เสี่ยงขาด",IF(ROUND(G108,1)&gt;=25,"เสี่ยงเกิน/เกิน","ปกติ")),IF(ROUND(G108,1)&lt;20,"ขาด/เสี่ยงขาด",IF(ROUND(G108,1)&gt;=25,"เสี่ยงเกิน/เกิน","ปกติ"))))</f>
        <v>ปกติ</v>
      </c>
      <c r="AO108" t="str">
        <f>IF(OR(I108="",Participant_Data!G108=""),"",IF(Participant_Data!G108=1,IF(ROUND(I108,1)&lt;15,"ขาด/เสี่ยงขาด",IF(ROUND(I108,1)&gt;25,"เสี่ยงเกิน/เกิน","ปกติ")),IF(ROUND(I108,1)&lt;20,"ขาด/เสี่ยงขาด",IF(ROUND(I108,1)&gt;35,"เสี่ยงเกิน/เกิน","ปกติ"))))</f>
        <v>ปกติ</v>
      </c>
      <c r="AP108" t="str">
        <f t="shared" si="3"/>
        <v>ปกติ</v>
      </c>
    </row>
    <row r="109" spans="1:42">
      <c r="A109" s="2">
        <f>IF(Participant_Data!A109="","",Participant_Data!A109)</f>
        <v>108</v>
      </c>
      <c r="B109" s="2" t="str">
        <f>IF(Participant_Data!B109="","",Participant_Data!B109)</f>
        <v/>
      </c>
      <c r="C109" s="3" t="str">
        <f>IF(Participant_Data!C109="","",Participant_Data!C109)</f>
        <v/>
      </c>
      <c r="D109" s="5"/>
      <c r="E109" s="5">
        <v>150</v>
      </c>
      <c r="F109" s="5">
        <v>55.05</v>
      </c>
      <c r="G109" s="22">
        <f t="shared" si="2"/>
        <v>24.466666666666665</v>
      </c>
      <c r="H109" s="5">
        <v>21.14</v>
      </c>
      <c r="I109" s="5">
        <v>38.4</v>
      </c>
      <c r="J109" s="5">
        <v>9</v>
      </c>
      <c r="K109" s="5">
        <v>32.1</v>
      </c>
      <c r="L109" s="5">
        <v>1.8</v>
      </c>
      <c r="M109" s="5">
        <v>40.5</v>
      </c>
      <c r="N109" s="5">
        <v>998</v>
      </c>
      <c r="O109" s="5">
        <v>2</v>
      </c>
      <c r="P109" s="5">
        <v>3</v>
      </c>
      <c r="Q109" s="5">
        <v>2</v>
      </c>
      <c r="R109" s="5">
        <v>2</v>
      </c>
      <c r="S109" s="5">
        <v>2</v>
      </c>
      <c r="T109" s="5">
        <v>3</v>
      </c>
      <c r="U109" s="2">
        <v>14</v>
      </c>
      <c r="V109" s="2">
        <v>1</v>
      </c>
      <c r="W109" s="5">
        <v>1</v>
      </c>
      <c r="X109" s="5">
        <v>1</v>
      </c>
      <c r="Y109" s="5">
        <v>1</v>
      </c>
      <c r="Z109" s="5">
        <v>2</v>
      </c>
      <c r="AA109" s="5">
        <v>1</v>
      </c>
      <c r="AB109" s="5">
        <v>1</v>
      </c>
      <c r="AC109" s="5">
        <v>1</v>
      </c>
      <c r="AD109" s="5">
        <v>2</v>
      </c>
      <c r="AE109" s="5">
        <v>2</v>
      </c>
      <c r="AF109" s="5">
        <v>2</v>
      </c>
      <c r="AG109" s="5">
        <v>1</v>
      </c>
      <c r="AH109" s="5">
        <v>1</v>
      </c>
      <c r="AI109" s="2">
        <v>16</v>
      </c>
      <c r="AJ109" s="2">
        <v>30</v>
      </c>
      <c r="AK109" s="2">
        <v>1</v>
      </c>
      <c r="AL109" s="2">
        <v>27</v>
      </c>
      <c r="AM109" s="2">
        <v>33.5</v>
      </c>
      <c r="AN109" t="str">
        <f>IF(OR(G109="",Participant_Data!E109=""),"",IF(Participant_Data!E109&lt;70,IF(ROUND(G109,1)&lt;18.5,"ขาด/เสี่ยงขาด",IF(ROUND(G109,1)&gt;=25,"เสี่ยงเกิน/เกิน","ปกติ")),IF(ROUND(G109,1)&lt;20,"ขาด/เสี่ยงขาด",IF(ROUND(G109,1)&gt;=25,"เสี่ยงเกิน/เกิน","ปกติ"))))</f>
        <v>ปกติ</v>
      </c>
      <c r="AO109" t="str">
        <f>IF(OR(I109="",Participant_Data!G109=""),"",IF(Participant_Data!G109=1,IF(ROUND(I109,1)&lt;15,"ขาด/เสี่ยงขาด",IF(ROUND(I109,1)&gt;25,"เสี่ยงเกิน/เกิน","ปกติ")),IF(ROUND(I109,1)&lt;20,"ขาด/เสี่ยงขาด",IF(ROUND(I109,1)&gt;35,"เสี่ยงเกิน/เกิน","ปกติ"))))</f>
        <v>เสี่ยงเกิน/เกิน</v>
      </c>
      <c r="AP109" t="str">
        <f t="shared" si="3"/>
        <v>เสี่ยงเกิน/เกิน</v>
      </c>
    </row>
    <row r="110" spans="1:42">
      <c r="A110" s="2">
        <f>IF(Participant_Data!A110="","",Participant_Data!A110)</f>
        <v>109</v>
      </c>
      <c r="B110" s="2" t="str">
        <f>IF(Participant_Data!B110="","",Participant_Data!B110)</f>
        <v/>
      </c>
      <c r="C110" s="3" t="str">
        <f>IF(Participant_Data!C110="","",Participant_Data!C110)</f>
        <v/>
      </c>
      <c r="D110" s="5"/>
      <c r="E110" s="5">
        <v>158</v>
      </c>
      <c r="F110" s="5">
        <v>55.45</v>
      </c>
      <c r="G110" s="22">
        <f t="shared" si="2"/>
        <v>22.211985258772629</v>
      </c>
      <c r="H110" s="5">
        <v>17.739999999999998</v>
      </c>
      <c r="I110" s="5">
        <v>32</v>
      </c>
      <c r="J110" s="5">
        <v>7</v>
      </c>
      <c r="K110" s="5">
        <v>35.6</v>
      </c>
      <c r="L110" s="5">
        <v>2.1</v>
      </c>
      <c r="M110" s="5">
        <v>43.8</v>
      </c>
      <c r="N110" s="5">
        <v>1086</v>
      </c>
      <c r="O110" s="5">
        <v>2</v>
      </c>
      <c r="P110" s="5">
        <v>3</v>
      </c>
      <c r="Q110" s="5">
        <v>2</v>
      </c>
      <c r="R110" s="5">
        <v>2</v>
      </c>
      <c r="S110" s="5">
        <v>2</v>
      </c>
      <c r="T110" s="5">
        <v>2</v>
      </c>
      <c r="U110" s="2">
        <v>13</v>
      </c>
      <c r="V110" s="2">
        <v>1</v>
      </c>
      <c r="W110" s="5">
        <v>1</v>
      </c>
      <c r="X110" s="5">
        <v>1</v>
      </c>
      <c r="Y110" s="5">
        <v>1</v>
      </c>
      <c r="Z110" s="5">
        <v>1</v>
      </c>
      <c r="AA110" s="5">
        <v>0.5</v>
      </c>
      <c r="AB110" s="5">
        <v>1</v>
      </c>
      <c r="AC110" s="5">
        <v>1</v>
      </c>
      <c r="AD110" s="5">
        <v>2</v>
      </c>
      <c r="AE110" s="5">
        <v>2</v>
      </c>
      <c r="AF110" s="5">
        <v>1</v>
      </c>
      <c r="AG110" s="5">
        <v>1</v>
      </c>
      <c r="AH110" s="5">
        <v>1</v>
      </c>
      <c r="AI110" s="2">
        <v>13.5</v>
      </c>
      <c r="AJ110" s="2">
        <v>26.5</v>
      </c>
      <c r="AK110" s="2">
        <v>1</v>
      </c>
      <c r="AL110" s="2">
        <v>25</v>
      </c>
      <c r="AM110" s="2">
        <v>34</v>
      </c>
      <c r="AN110" t="str">
        <f>IF(OR(G110="",Participant_Data!E110=""),"",IF(Participant_Data!E110&lt;70,IF(ROUND(G110,1)&lt;18.5,"ขาด/เสี่ยงขาด",IF(ROUND(G110,1)&gt;=25,"เสี่ยงเกิน/เกิน","ปกติ")),IF(ROUND(G110,1)&lt;20,"ขาด/เสี่ยงขาด",IF(ROUND(G110,1)&gt;=25,"เสี่ยงเกิน/เกิน","ปกติ"))))</f>
        <v>ปกติ</v>
      </c>
      <c r="AO110" t="str">
        <f>IF(OR(I110="",Participant_Data!G110=""),"",IF(Participant_Data!G110=1,IF(ROUND(I110,1)&lt;15,"ขาด/เสี่ยงขาด",IF(ROUND(I110,1)&gt;25,"เสี่ยงเกิน/เกิน","ปกติ")),IF(ROUND(I110,1)&lt;20,"ขาด/เสี่ยงขาด",IF(ROUND(I110,1)&gt;35,"เสี่ยงเกิน/เกิน","ปกติ"))))</f>
        <v>ปกติ</v>
      </c>
      <c r="AP110" t="str">
        <f t="shared" si="3"/>
        <v>ปกติ</v>
      </c>
    </row>
    <row r="111" spans="1:42">
      <c r="A111" s="2">
        <f>IF(Participant_Data!A111="","",Participant_Data!A111)</f>
        <v>110</v>
      </c>
      <c r="B111" s="2" t="str">
        <f>IF(Participant_Data!B111="","",Participant_Data!B111)</f>
        <v/>
      </c>
      <c r="C111" s="3" t="str">
        <f>IF(Participant_Data!C111="","",Participant_Data!C111)</f>
        <v/>
      </c>
      <c r="D111" s="5"/>
      <c r="E111" s="5">
        <v>141</v>
      </c>
      <c r="F111" s="5">
        <v>51.3</v>
      </c>
      <c r="G111" s="22">
        <f t="shared" si="2"/>
        <v>25.803531009506568</v>
      </c>
      <c r="H111" s="5">
        <v>22.32</v>
      </c>
      <c r="I111" s="5">
        <v>43.5</v>
      </c>
      <c r="J111" s="5">
        <v>9.5</v>
      </c>
      <c r="K111" s="5">
        <v>27.55</v>
      </c>
      <c r="L111" s="5">
        <v>1.4</v>
      </c>
      <c r="M111" s="5">
        <v>34.700000000000003</v>
      </c>
      <c r="N111" s="5">
        <v>877</v>
      </c>
      <c r="O111" s="5">
        <v>2</v>
      </c>
      <c r="P111" s="5">
        <v>3</v>
      </c>
      <c r="Q111" s="5">
        <v>2</v>
      </c>
      <c r="R111" s="5">
        <v>2</v>
      </c>
      <c r="S111" s="5">
        <v>1</v>
      </c>
      <c r="T111" s="5">
        <v>3</v>
      </c>
      <c r="U111" s="2">
        <v>13</v>
      </c>
      <c r="V111" s="2">
        <v>1</v>
      </c>
      <c r="W111" s="5">
        <v>1</v>
      </c>
      <c r="X111" s="5">
        <v>1</v>
      </c>
      <c r="Y111" s="5">
        <v>1</v>
      </c>
      <c r="Z111" s="5">
        <v>1</v>
      </c>
      <c r="AA111" s="5">
        <v>0.5</v>
      </c>
      <c r="AB111" s="5">
        <v>1</v>
      </c>
      <c r="AC111" s="5">
        <v>0.5</v>
      </c>
      <c r="AD111" s="5">
        <v>2</v>
      </c>
      <c r="AE111" s="5">
        <v>1</v>
      </c>
      <c r="AF111" s="5">
        <v>1</v>
      </c>
      <c r="AG111" s="5">
        <v>1</v>
      </c>
      <c r="AH111" s="5">
        <v>1</v>
      </c>
      <c r="AI111" s="2">
        <v>12</v>
      </c>
      <c r="AJ111" s="2">
        <v>25</v>
      </c>
      <c r="AK111" s="2">
        <v>1</v>
      </c>
      <c r="AL111" s="2">
        <v>25</v>
      </c>
      <c r="AM111" s="2">
        <v>31.5</v>
      </c>
      <c r="AN111" t="str">
        <f>IF(OR(G111="",Participant_Data!E111=""),"",IF(Participant_Data!E111&lt;70,IF(ROUND(G111,1)&lt;18.5,"ขาด/เสี่ยงขาด",IF(ROUND(G111,1)&gt;=25,"เสี่ยงเกิน/เกิน","ปกติ")),IF(ROUND(G111,1)&lt;20,"ขาด/เสี่ยงขาด",IF(ROUND(G111,1)&gt;=25,"เสี่ยงเกิน/เกิน","ปกติ"))))</f>
        <v>เสี่ยงเกิน/เกิน</v>
      </c>
      <c r="AO111" t="str">
        <f>IF(OR(I111="",Participant_Data!G111=""),"",IF(Participant_Data!G111=1,IF(ROUND(I111,1)&lt;15,"ขาด/เสี่ยงขาด",IF(ROUND(I111,1)&gt;25,"เสี่ยงเกิน/เกิน","ปกติ")),IF(ROUND(I111,1)&lt;20,"ขาด/เสี่ยงขาด",IF(ROUND(I111,1)&gt;35,"เสี่ยงเกิน/เกิน","ปกติ"))))</f>
        <v>เสี่ยงเกิน/เกิน</v>
      </c>
      <c r="AP111" t="str">
        <f t="shared" si="3"/>
        <v>เสี่ยงเกิน/เกิน</v>
      </c>
    </row>
    <row r="112" spans="1:42">
      <c r="A112" s="2">
        <f>IF(Participant_Data!A112="","",Participant_Data!A112)</f>
        <v>111</v>
      </c>
      <c r="B112" s="2" t="str">
        <f>IF(Participant_Data!B112="","",Participant_Data!B112)</f>
        <v/>
      </c>
      <c r="C112" s="3" t="str">
        <f>IF(Participant_Data!C112="","",Participant_Data!C112)</f>
        <v/>
      </c>
      <c r="D112" s="5"/>
      <c r="E112" s="5">
        <v>155</v>
      </c>
      <c r="F112" s="5">
        <v>49.95</v>
      </c>
      <c r="G112" s="22">
        <f t="shared" si="2"/>
        <v>20.790842872008323</v>
      </c>
      <c r="H112" s="5">
        <v>13.49</v>
      </c>
      <c r="I112" s="5">
        <v>27</v>
      </c>
      <c r="J112" s="5">
        <v>6</v>
      </c>
      <c r="K112" s="5">
        <v>34.450000000000003</v>
      </c>
      <c r="L112" s="5">
        <v>2</v>
      </c>
      <c r="M112" s="5">
        <v>34.6</v>
      </c>
      <c r="N112" s="5">
        <v>1030</v>
      </c>
      <c r="O112" s="5">
        <v>0</v>
      </c>
      <c r="P112" s="5">
        <v>0</v>
      </c>
      <c r="Q112" s="5">
        <v>2</v>
      </c>
      <c r="R112" s="5">
        <v>2</v>
      </c>
      <c r="S112" s="5">
        <v>1</v>
      </c>
      <c r="T112" s="5">
        <v>1</v>
      </c>
      <c r="U112" s="2">
        <v>6</v>
      </c>
      <c r="V112" s="2">
        <v>3</v>
      </c>
      <c r="W112" s="5">
        <v>1</v>
      </c>
      <c r="X112" s="5">
        <v>1</v>
      </c>
      <c r="Y112" s="5">
        <v>1</v>
      </c>
      <c r="Z112" s="5">
        <v>2</v>
      </c>
      <c r="AA112" s="5">
        <v>0</v>
      </c>
      <c r="AB112" s="5">
        <v>1</v>
      </c>
      <c r="AC112" s="5">
        <v>0.5</v>
      </c>
      <c r="AD112" s="5">
        <v>2</v>
      </c>
      <c r="AE112" s="5">
        <v>2</v>
      </c>
      <c r="AF112" s="5">
        <v>1</v>
      </c>
      <c r="AG112" s="5">
        <v>1</v>
      </c>
      <c r="AH112" s="5">
        <v>1</v>
      </c>
      <c r="AI112" s="2">
        <v>13.5</v>
      </c>
      <c r="AJ112" s="2">
        <v>19.5</v>
      </c>
      <c r="AK112" s="2">
        <v>2</v>
      </c>
      <c r="AL112" s="2">
        <v>27</v>
      </c>
      <c r="AM112" s="2">
        <v>33</v>
      </c>
      <c r="AN112" t="str">
        <f>IF(OR(G112="",Participant_Data!E112=""),"",IF(Participant_Data!E112&lt;70,IF(ROUND(G112,1)&lt;18.5,"ขาด/เสี่ยงขาด",IF(ROUND(G112,1)&gt;=25,"เสี่ยงเกิน/เกิน","ปกติ")),IF(ROUND(G112,1)&lt;20,"ขาด/เสี่ยงขาด",IF(ROUND(G112,1)&gt;=25,"เสี่ยงเกิน/เกิน","ปกติ"))))</f>
        <v>ปกติ</v>
      </c>
      <c r="AO112" t="str">
        <f>IF(OR(I112="",Participant_Data!G112=""),"",IF(Participant_Data!G112=1,IF(ROUND(I112,1)&lt;15,"ขาด/เสี่ยงขาด",IF(ROUND(I112,1)&gt;25,"เสี่ยงเกิน/เกิน","ปกติ")),IF(ROUND(I112,1)&lt;20,"ขาด/เสี่ยงขาด",IF(ROUND(I112,1)&gt;35,"เสี่ยงเกิน/เกิน","ปกติ"))))</f>
        <v>ปกติ</v>
      </c>
      <c r="AP112" t="str">
        <f t="shared" si="3"/>
        <v>ปกติ</v>
      </c>
    </row>
    <row r="113" spans="1:42">
      <c r="A113" s="2">
        <f>IF(Participant_Data!A113="","",Participant_Data!A113)</f>
        <v>112</v>
      </c>
      <c r="B113" s="2" t="str">
        <f>IF(Participant_Data!B113="","",Participant_Data!B113)</f>
        <v/>
      </c>
      <c r="C113" s="3" t="str">
        <f>IF(Participant_Data!C113="","",Participant_Data!C113)</f>
        <v/>
      </c>
      <c r="D113" s="5"/>
      <c r="E113" s="5">
        <v>150</v>
      </c>
      <c r="F113" s="5">
        <v>58.95</v>
      </c>
      <c r="G113" s="22">
        <f t="shared" si="2"/>
        <v>26.200000000000003</v>
      </c>
      <c r="H113" s="5">
        <v>19.09</v>
      </c>
      <c r="I113" s="5">
        <v>32.4</v>
      </c>
      <c r="J113" s="5">
        <v>9.5</v>
      </c>
      <c r="K113" s="5">
        <v>37.5</v>
      </c>
      <c r="L113" s="5">
        <v>2.2999999999999998</v>
      </c>
      <c r="M113" s="5">
        <v>36.700000000000003</v>
      </c>
      <c r="N113" s="5">
        <v>1146</v>
      </c>
      <c r="O113" s="5">
        <v>2</v>
      </c>
      <c r="P113" s="5">
        <v>3</v>
      </c>
      <c r="Q113" s="5">
        <v>1</v>
      </c>
      <c r="R113" s="5">
        <v>2</v>
      </c>
      <c r="S113" s="5">
        <v>2</v>
      </c>
      <c r="T113" s="5">
        <v>3</v>
      </c>
      <c r="U113" s="2">
        <v>13</v>
      </c>
      <c r="V113" s="2">
        <v>1</v>
      </c>
      <c r="W113" s="5">
        <v>1</v>
      </c>
      <c r="X113" s="5">
        <v>1</v>
      </c>
      <c r="Y113" s="5">
        <v>1</v>
      </c>
      <c r="Z113" s="5">
        <v>1</v>
      </c>
      <c r="AA113" s="5">
        <v>1</v>
      </c>
      <c r="AB113" s="5">
        <v>1</v>
      </c>
      <c r="AC113" s="5">
        <v>1</v>
      </c>
      <c r="AD113" s="5">
        <v>2</v>
      </c>
      <c r="AE113" s="5">
        <v>1</v>
      </c>
      <c r="AF113" s="5">
        <v>1</v>
      </c>
      <c r="AG113" s="5">
        <v>1</v>
      </c>
      <c r="AH113" s="5">
        <v>1</v>
      </c>
      <c r="AI113" s="2">
        <v>13</v>
      </c>
      <c r="AJ113" s="2">
        <v>26</v>
      </c>
      <c r="AK113" s="2">
        <v>1</v>
      </c>
      <c r="AL113" s="2">
        <v>27.5</v>
      </c>
      <c r="AM113" s="2">
        <v>36</v>
      </c>
      <c r="AN113" t="str">
        <f>IF(OR(G113="",Participant_Data!E113=""),"",IF(Participant_Data!E113&lt;70,IF(ROUND(G113,1)&lt;18.5,"ขาด/เสี่ยงขาด",IF(ROUND(G113,1)&gt;=25,"เสี่ยงเกิน/เกิน","ปกติ")),IF(ROUND(G113,1)&lt;20,"ขาด/เสี่ยงขาด",IF(ROUND(G113,1)&gt;=25,"เสี่ยงเกิน/เกิน","ปกติ"))))</f>
        <v>เสี่ยงเกิน/เกิน</v>
      </c>
      <c r="AO113" t="str">
        <f>IF(OR(I113="",Participant_Data!G113=""),"",IF(Participant_Data!G113=1,IF(ROUND(I113,1)&lt;15,"ขาด/เสี่ยงขาด",IF(ROUND(I113,1)&gt;25,"เสี่ยงเกิน/เกิน","ปกติ")),IF(ROUND(I113,1)&lt;20,"ขาด/เสี่ยงขาด",IF(ROUND(I113,1)&gt;35,"เสี่ยงเกิน/เกิน","ปกติ"))))</f>
        <v>ปกติ</v>
      </c>
      <c r="AP113" t="str">
        <f t="shared" si="3"/>
        <v>เสี่ยงเกิน/เกิน</v>
      </c>
    </row>
    <row r="114" spans="1:42">
      <c r="A114" s="2">
        <f>IF(Participant_Data!A114="","",Participant_Data!A114)</f>
        <v>113</v>
      </c>
      <c r="B114" s="2" t="str">
        <f>IF(Participant_Data!B114="","",Participant_Data!B114)</f>
        <v/>
      </c>
      <c r="C114" s="3" t="str">
        <f>IF(Participant_Data!C114="","",Participant_Data!C114)</f>
        <v/>
      </c>
      <c r="D114" s="5"/>
      <c r="E114" s="5">
        <v>150</v>
      </c>
      <c r="F114" s="5">
        <v>41.25</v>
      </c>
      <c r="G114" s="22">
        <f t="shared" si="2"/>
        <v>18.333333333333332</v>
      </c>
      <c r="H114" s="5">
        <v>10.77</v>
      </c>
      <c r="I114" s="5">
        <v>26.1</v>
      </c>
      <c r="J114" s="5">
        <v>5</v>
      </c>
      <c r="K114" s="5">
        <v>28.95</v>
      </c>
      <c r="L114" s="5">
        <v>1.5</v>
      </c>
      <c r="M114" s="5">
        <v>50.1</v>
      </c>
      <c r="N114" s="5">
        <v>856</v>
      </c>
      <c r="O114" s="5">
        <v>2</v>
      </c>
      <c r="P114" s="5">
        <v>2</v>
      </c>
      <c r="Q114" s="5">
        <v>2</v>
      </c>
      <c r="R114" s="5">
        <v>2</v>
      </c>
      <c r="S114" s="5">
        <v>2</v>
      </c>
      <c r="T114" s="5">
        <v>0</v>
      </c>
      <c r="U114" s="2">
        <v>10</v>
      </c>
      <c r="V114" s="2">
        <v>2</v>
      </c>
      <c r="W114" s="5">
        <v>1</v>
      </c>
      <c r="X114" s="5">
        <v>1</v>
      </c>
      <c r="Y114" s="5">
        <v>1</v>
      </c>
      <c r="Z114" s="5">
        <v>2</v>
      </c>
      <c r="AA114" s="5">
        <v>0.5</v>
      </c>
      <c r="AB114" s="5">
        <v>1</v>
      </c>
      <c r="AC114" s="5">
        <v>0.5</v>
      </c>
      <c r="AD114" s="5">
        <v>2</v>
      </c>
      <c r="AE114" s="5">
        <v>0</v>
      </c>
      <c r="AF114" s="5">
        <v>1</v>
      </c>
      <c r="AG114" s="5">
        <v>0.5</v>
      </c>
      <c r="AH114" s="5">
        <v>0</v>
      </c>
      <c r="AI114" s="2">
        <v>10.5</v>
      </c>
      <c r="AJ114" s="2">
        <v>20.5</v>
      </c>
      <c r="AK114" s="2">
        <v>2</v>
      </c>
      <c r="AL114" s="2">
        <v>22</v>
      </c>
      <c r="AM114" s="2">
        <v>29</v>
      </c>
      <c r="AN114" t="str">
        <f>IF(OR(G114="",Participant_Data!E114=""),"",IF(Participant_Data!E114&lt;70,IF(ROUND(G114,1)&lt;18.5,"ขาด/เสี่ยงขาด",IF(ROUND(G114,1)&gt;=25,"เสี่ยงเกิน/เกิน","ปกติ")),IF(ROUND(G114,1)&lt;20,"ขาด/เสี่ยงขาด",IF(ROUND(G114,1)&gt;=25,"เสี่ยงเกิน/เกิน","ปกติ"))))</f>
        <v>ขาด/เสี่ยงขาด</v>
      </c>
      <c r="AO114" t="str">
        <f>IF(OR(I114="",Participant_Data!G114=""),"",IF(Participant_Data!G114=1,IF(ROUND(I114,1)&lt;15,"ขาด/เสี่ยงขาด",IF(ROUND(I114,1)&gt;25,"เสี่ยงเกิน/เกิน","ปกติ")),IF(ROUND(I114,1)&lt;20,"ขาด/เสี่ยงขาด",IF(ROUND(I114,1)&gt;35,"เสี่ยงเกิน/เกิน","ปกติ"))))</f>
        <v>ปกติ</v>
      </c>
      <c r="AP114" t="str">
        <f t="shared" si="3"/>
        <v>ขาด/เสี่ยงขาด</v>
      </c>
    </row>
    <row r="115" spans="1:42">
      <c r="A115" s="2">
        <f>IF(Participant_Data!A115="","",Participant_Data!A115)</f>
        <v>114</v>
      </c>
      <c r="B115" s="2" t="str">
        <f>IF(Participant_Data!B115="","",Participant_Data!B115)</f>
        <v/>
      </c>
      <c r="C115" s="3" t="str">
        <f>IF(Participant_Data!C115="","",Participant_Data!C115)</f>
        <v/>
      </c>
      <c r="D115" s="5"/>
      <c r="E115" s="5">
        <v>152</v>
      </c>
      <c r="F115" s="5">
        <v>42.7</v>
      </c>
      <c r="G115" s="22">
        <f t="shared" si="2"/>
        <v>18.481648199445985</v>
      </c>
      <c r="H115" s="5">
        <v>11.99</v>
      </c>
      <c r="I115" s="5">
        <v>28.1</v>
      </c>
      <c r="J115" s="5">
        <v>5</v>
      </c>
      <c r="K115" s="5">
        <v>29.2</v>
      </c>
      <c r="L115" s="5">
        <v>1.5</v>
      </c>
      <c r="M115" s="5">
        <v>44</v>
      </c>
      <c r="N115" s="5">
        <v>872</v>
      </c>
      <c r="O115" s="5">
        <v>0</v>
      </c>
      <c r="P115" s="5">
        <v>0</v>
      </c>
      <c r="Q115" s="5">
        <v>2</v>
      </c>
      <c r="R115" s="5">
        <v>2</v>
      </c>
      <c r="S115" s="5">
        <v>2</v>
      </c>
      <c r="T115" s="5">
        <v>0</v>
      </c>
      <c r="U115" s="2">
        <v>6</v>
      </c>
      <c r="V115" s="2">
        <v>3</v>
      </c>
      <c r="W115" s="5">
        <v>1</v>
      </c>
      <c r="X115" s="5">
        <v>1</v>
      </c>
      <c r="Y115" s="5">
        <v>1</v>
      </c>
      <c r="Z115" s="5">
        <v>2</v>
      </c>
      <c r="AA115" s="5">
        <v>1</v>
      </c>
      <c r="AB115" s="5">
        <v>1</v>
      </c>
      <c r="AC115" s="5">
        <v>1</v>
      </c>
      <c r="AD115" s="5">
        <v>2</v>
      </c>
      <c r="AE115" s="5">
        <v>0</v>
      </c>
      <c r="AF115" s="5">
        <v>1</v>
      </c>
      <c r="AG115" s="5">
        <v>0.5</v>
      </c>
      <c r="AH115" s="5">
        <v>0</v>
      </c>
      <c r="AI115" s="2">
        <v>11.5</v>
      </c>
      <c r="AJ115" s="2">
        <v>17.5</v>
      </c>
      <c r="AK115" s="2">
        <v>2</v>
      </c>
      <c r="AL115" s="2">
        <v>22</v>
      </c>
      <c r="AM115" s="2">
        <v>30</v>
      </c>
      <c r="AN115" t="str">
        <f>IF(OR(G115="",Participant_Data!E115=""),"",IF(Participant_Data!E115&lt;70,IF(ROUND(G115,1)&lt;18.5,"ขาด/เสี่ยงขาด",IF(ROUND(G115,1)&gt;=25,"เสี่ยงเกิน/เกิน","ปกติ")),IF(ROUND(G115,1)&lt;20,"ขาด/เสี่ยงขาด",IF(ROUND(G115,1)&gt;=25,"เสี่ยงเกิน/เกิน","ปกติ"))))</f>
        <v>ขาด/เสี่ยงขาด</v>
      </c>
      <c r="AO115" t="str">
        <f>IF(OR(I115="",Participant_Data!G115=""),"",IF(Participant_Data!G115=1,IF(ROUND(I115,1)&lt;15,"ขาด/เสี่ยงขาด",IF(ROUND(I115,1)&gt;25,"เสี่ยงเกิน/เกิน","ปกติ")),IF(ROUND(I115,1)&lt;20,"ขาด/เสี่ยงขาด",IF(ROUND(I115,1)&gt;35,"เสี่ยงเกิน/เกิน","ปกติ"))))</f>
        <v>ปกติ</v>
      </c>
      <c r="AP115" t="str">
        <f t="shared" si="3"/>
        <v>ขาด/เสี่ยงขาด</v>
      </c>
    </row>
    <row r="116" spans="1:42">
      <c r="A116" s="2">
        <f>IF(Participant_Data!A116="","",Participant_Data!A116)</f>
        <v>115</v>
      </c>
      <c r="B116" s="2" t="str">
        <f>IF(Participant_Data!B116="","",Participant_Data!B116)</f>
        <v/>
      </c>
      <c r="C116" s="3" t="str">
        <f>IF(Participant_Data!C116="","",Participant_Data!C116)</f>
        <v/>
      </c>
      <c r="D116" s="5"/>
      <c r="E116" s="5">
        <v>162</v>
      </c>
      <c r="F116" s="5">
        <v>62</v>
      </c>
      <c r="G116" s="22">
        <f t="shared" si="2"/>
        <v>23.624447492760247</v>
      </c>
      <c r="H116" s="5">
        <v>13.21</v>
      </c>
      <c r="I116" s="5">
        <v>21.3</v>
      </c>
      <c r="J116" s="5">
        <v>14.5</v>
      </c>
      <c r="K116" s="5">
        <v>46.25</v>
      </c>
      <c r="L116" s="5">
        <v>2.6</v>
      </c>
      <c r="M116" s="5">
        <v>54.5</v>
      </c>
      <c r="N116" s="5">
        <v>1307</v>
      </c>
      <c r="O116" s="5">
        <v>2</v>
      </c>
      <c r="P116" s="5">
        <v>3</v>
      </c>
      <c r="Q116" s="5">
        <v>2</v>
      </c>
      <c r="R116" s="5">
        <v>0</v>
      </c>
      <c r="S116" s="5">
        <v>2</v>
      </c>
      <c r="T116" s="5">
        <v>3</v>
      </c>
      <c r="U116" s="2">
        <v>12</v>
      </c>
      <c r="V116" s="2">
        <v>1</v>
      </c>
      <c r="W116" s="5">
        <v>1</v>
      </c>
      <c r="X116" s="5">
        <v>1</v>
      </c>
      <c r="Y116" s="5">
        <v>1</v>
      </c>
      <c r="Z116" s="5">
        <v>2</v>
      </c>
      <c r="AA116" s="5">
        <v>0.5</v>
      </c>
      <c r="AB116" s="5">
        <v>1</v>
      </c>
      <c r="AC116" s="5">
        <v>1</v>
      </c>
      <c r="AD116" s="5">
        <v>2</v>
      </c>
      <c r="AE116" s="5">
        <v>1</v>
      </c>
      <c r="AF116" s="5">
        <v>1</v>
      </c>
      <c r="AG116" s="5">
        <v>1</v>
      </c>
      <c r="AH116" s="5">
        <v>1</v>
      </c>
      <c r="AI116" s="2">
        <v>13.5</v>
      </c>
      <c r="AJ116" s="2">
        <v>25.5</v>
      </c>
      <c r="AK116" s="2">
        <v>1</v>
      </c>
      <c r="AL116" s="2">
        <v>28</v>
      </c>
      <c r="AM116" s="2">
        <v>33.5</v>
      </c>
      <c r="AN116" t="str">
        <f>IF(OR(G116="",Participant_Data!E116=""),"",IF(Participant_Data!E116&lt;70,IF(ROUND(G116,1)&lt;18.5,"ขาด/เสี่ยงขาด",IF(ROUND(G116,1)&gt;=25,"เสี่ยงเกิน/เกิน","ปกติ")),IF(ROUND(G116,1)&lt;20,"ขาด/เสี่ยงขาด",IF(ROUND(G116,1)&gt;=25,"เสี่ยงเกิน/เกิน","ปกติ"))))</f>
        <v>ปกติ</v>
      </c>
      <c r="AO116" t="str">
        <f>IF(OR(I116="",Participant_Data!G116=""),"",IF(Participant_Data!G116=1,IF(ROUND(I116,1)&lt;15,"ขาด/เสี่ยงขาด",IF(ROUND(I116,1)&gt;25,"เสี่ยงเกิน/เกิน","ปกติ")),IF(ROUND(I116,1)&lt;20,"ขาด/เสี่ยงขาด",IF(ROUND(I116,1)&gt;35,"เสี่ยงเกิน/เกิน","ปกติ"))))</f>
        <v>ปกติ</v>
      </c>
      <c r="AP116" t="str">
        <f t="shared" si="3"/>
        <v>ปกติ</v>
      </c>
    </row>
    <row r="117" spans="1:42">
      <c r="A117" s="2">
        <f>IF(Participant_Data!A117="","",Participant_Data!A117)</f>
        <v>116</v>
      </c>
      <c r="B117" s="2" t="str">
        <f>IF(Participant_Data!B117="","",Participant_Data!B117)</f>
        <v/>
      </c>
      <c r="C117" s="3" t="str">
        <f>IF(Participant_Data!C117="","",Participant_Data!C117)</f>
        <v/>
      </c>
      <c r="D117" s="5"/>
      <c r="E117" s="5">
        <v>160</v>
      </c>
      <c r="F117" s="5">
        <v>59.8</v>
      </c>
      <c r="G117" s="22">
        <f t="shared" si="2"/>
        <v>23.359374999999993</v>
      </c>
      <c r="H117" s="5">
        <v>11.48</v>
      </c>
      <c r="I117" s="5">
        <v>19.2</v>
      </c>
      <c r="J117" s="5">
        <v>14.5</v>
      </c>
      <c r="K117" s="5">
        <v>45.8</v>
      </c>
      <c r="L117" s="5">
        <v>2.5</v>
      </c>
      <c r="M117" s="5">
        <v>46.8</v>
      </c>
      <c r="N117" s="5">
        <v>1287</v>
      </c>
      <c r="O117" s="5">
        <v>1</v>
      </c>
      <c r="P117" s="5">
        <v>2</v>
      </c>
      <c r="Q117" s="5">
        <v>2</v>
      </c>
      <c r="R117" s="5">
        <v>2</v>
      </c>
      <c r="S117" s="5">
        <v>1</v>
      </c>
      <c r="T117" s="5">
        <v>3</v>
      </c>
      <c r="U117" s="2">
        <v>11</v>
      </c>
      <c r="V117" s="2">
        <v>2</v>
      </c>
      <c r="W117" s="5">
        <v>1</v>
      </c>
      <c r="X117" s="5">
        <v>1</v>
      </c>
      <c r="Y117" s="5">
        <v>1</v>
      </c>
      <c r="Z117" s="5">
        <v>2</v>
      </c>
      <c r="AA117" s="5">
        <v>0.5</v>
      </c>
      <c r="AB117" s="5">
        <v>1</v>
      </c>
      <c r="AC117" s="5">
        <v>1</v>
      </c>
      <c r="AD117" s="5">
        <v>2</v>
      </c>
      <c r="AE117" s="5">
        <v>1</v>
      </c>
      <c r="AF117" s="5">
        <v>0</v>
      </c>
      <c r="AG117" s="5">
        <v>1</v>
      </c>
      <c r="AH117" s="5">
        <v>1</v>
      </c>
      <c r="AI117" s="2">
        <v>12.5</v>
      </c>
      <c r="AJ117" s="2">
        <v>23.5</v>
      </c>
      <c r="AK117" s="2">
        <v>2</v>
      </c>
      <c r="AL117" s="2">
        <v>28</v>
      </c>
      <c r="AM117" s="2">
        <v>37</v>
      </c>
      <c r="AN117" t="str">
        <f>IF(OR(G117="",Participant_Data!E117=""),"",IF(Participant_Data!E117&lt;70,IF(ROUND(G117,1)&lt;18.5,"ขาด/เสี่ยงขาด",IF(ROUND(G117,1)&gt;=25,"เสี่ยงเกิน/เกิน","ปกติ")),IF(ROUND(G117,1)&lt;20,"ขาด/เสี่ยงขาด",IF(ROUND(G117,1)&gt;=25,"เสี่ยงเกิน/เกิน","ปกติ"))))</f>
        <v>ปกติ</v>
      </c>
      <c r="AO117" t="str">
        <f>IF(OR(I117="",Participant_Data!G117=""),"",IF(Participant_Data!G117=1,IF(ROUND(I117,1)&lt;15,"ขาด/เสี่ยงขาด",IF(ROUND(I117,1)&gt;25,"เสี่ยงเกิน/เกิน","ปกติ")),IF(ROUND(I117,1)&lt;20,"ขาด/เสี่ยงขาด",IF(ROUND(I117,1)&gt;35,"เสี่ยงเกิน/เกิน","ปกติ"))))</f>
        <v>ปกติ</v>
      </c>
      <c r="AP117" t="str">
        <f t="shared" si="3"/>
        <v>ปกติ</v>
      </c>
    </row>
    <row r="118" spans="1:42">
      <c r="A118" s="2">
        <f>IF(Participant_Data!A118="","",Participant_Data!A118)</f>
        <v>117</v>
      </c>
      <c r="B118" s="2" t="str">
        <f>IF(Participant_Data!B118="","",Participant_Data!B118)</f>
        <v/>
      </c>
      <c r="C118" s="3" t="str">
        <f>IF(Participant_Data!C118="","",Participant_Data!C118)</f>
        <v/>
      </c>
      <c r="D118" s="5"/>
      <c r="E118" s="5">
        <v>154</v>
      </c>
      <c r="F118" s="5">
        <v>46.9</v>
      </c>
      <c r="G118" s="22">
        <f t="shared" si="2"/>
        <v>19.775678866587956</v>
      </c>
      <c r="H118" s="5">
        <v>12.52</v>
      </c>
      <c r="I118" s="5">
        <v>26.7</v>
      </c>
      <c r="J118" s="5">
        <v>5</v>
      </c>
      <c r="K118" s="5">
        <v>32.549999999999997</v>
      </c>
      <c r="L118" s="5">
        <v>1.9</v>
      </c>
      <c r="M118" s="5">
        <v>51.3</v>
      </c>
      <c r="N118" s="5">
        <v>971</v>
      </c>
      <c r="O118" s="5">
        <v>2</v>
      </c>
      <c r="P118" s="5">
        <v>3</v>
      </c>
      <c r="Q118" s="5">
        <v>2</v>
      </c>
      <c r="R118" s="5">
        <v>0</v>
      </c>
      <c r="S118" s="5">
        <v>1</v>
      </c>
      <c r="T118" s="5">
        <v>1</v>
      </c>
      <c r="U118" s="2">
        <v>9</v>
      </c>
      <c r="V118" s="2">
        <v>2</v>
      </c>
      <c r="W118" s="5">
        <v>1</v>
      </c>
      <c r="X118" s="5">
        <v>0</v>
      </c>
      <c r="Y118" s="5">
        <v>1</v>
      </c>
      <c r="Z118" s="5">
        <v>2</v>
      </c>
      <c r="AA118" s="5">
        <v>0.5</v>
      </c>
      <c r="AB118" s="5">
        <v>1</v>
      </c>
      <c r="AC118" s="5">
        <v>1</v>
      </c>
      <c r="AD118" s="5">
        <v>2</v>
      </c>
      <c r="AE118" s="5">
        <v>2</v>
      </c>
      <c r="AF118" s="5">
        <v>0</v>
      </c>
      <c r="AG118" s="5">
        <v>1</v>
      </c>
      <c r="AH118" s="5">
        <v>1</v>
      </c>
      <c r="AI118" s="2">
        <v>12.5</v>
      </c>
      <c r="AJ118" s="2">
        <v>21.5</v>
      </c>
      <c r="AK118" s="2">
        <v>2</v>
      </c>
      <c r="AL118" s="2">
        <v>25</v>
      </c>
      <c r="AM118" s="2">
        <v>32</v>
      </c>
      <c r="AN118" t="str">
        <f>IF(OR(G118="",Participant_Data!E118=""),"",IF(Participant_Data!E118&lt;70,IF(ROUND(G118,1)&lt;18.5,"ขาด/เสี่ยงขาด",IF(ROUND(G118,1)&gt;=25,"เสี่ยงเกิน/เกิน","ปกติ")),IF(ROUND(G118,1)&lt;20,"ขาด/เสี่ยงขาด",IF(ROUND(G118,1)&gt;=25,"เสี่ยงเกิน/เกิน","ปกติ"))))</f>
        <v>ขาด/เสี่ยงขาด</v>
      </c>
      <c r="AO118" t="str">
        <f>IF(OR(I118="",Participant_Data!G118=""),"",IF(Participant_Data!G118=1,IF(ROUND(I118,1)&lt;15,"ขาด/เสี่ยงขาด",IF(ROUND(I118,1)&gt;25,"เสี่ยงเกิน/เกิน","ปกติ")),IF(ROUND(I118,1)&lt;20,"ขาด/เสี่ยงขาด",IF(ROUND(I118,1)&gt;35,"เสี่ยงเกิน/เกิน","ปกติ"))))</f>
        <v>ปกติ</v>
      </c>
      <c r="AP118" t="str">
        <f t="shared" si="3"/>
        <v>ขาด/เสี่ยงขาด</v>
      </c>
    </row>
    <row r="119" spans="1:42">
      <c r="A119" s="2">
        <f>IF(Participant_Data!A119="","",Participant_Data!A119)</f>
        <v>118</v>
      </c>
      <c r="B119" s="2" t="str">
        <f>IF(Participant_Data!B119="","",Participant_Data!B119)</f>
        <v/>
      </c>
      <c r="C119" s="3" t="str">
        <f>IF(Participant_Data!C119="","",Participant_Data!C119)</f>
        <v/>
      </c>
      <c r="D119" s="5"/>
      <c r="E119" s="5">
        <v>162</v>
      </c>
      <c r="F119" s="5">
        <v>61.55</v>
      </c>
      <c r="G119" s="22">
        <f t="shared" si="2"/>
        <v>23.452979728699887</v>
      </c>
      <c r="H119" s="5">
        <v>16.93</v>
      </c>
      <c r="I119" s="5">
        <v>27.5</v>
      </c>
      <c r="J119" s="5">
        <v>7.5</v>
      </c>
      <c r="K119" s="5">
        <v>41.85</v>
      </c>
      <c r="L119" s="5">
        <v>2.7</v>
      </c>
      <c r="M119" s="5">
        <v>44.3</v>
      </c>
      <c r="N119" s="5">
        <v>1269</v>
      </c>
      <c r="O119" s="5">
        <v>2</v>
      </c>
      <c r="P119" s="5">
        <v>3</v>
      </c>
      <c r="Q119" s="5">
        <v>2</v>
      </c>
      <c r="R119" s="5">
        <v>2</v>
      </c>
      <c r="S119" s="5">
        <v>1</v>
      </c>
      <c r="T119" s="5">
        <v>3</v>
      </c>
      <c r="U119" s="2">
        <v>13</v>
      </c>
      <c r="V119" s="2">
        <v>1</v>
      </c>
      <c r="W119" s="5">
        <v>1</v>
      </c>
      <c r="X119" s="5">
        <v>1</v>
      </c>
      <c r="Y119" s="5">
        <v>1</v>
      </c>
      <c r="Z119" s="5">
        <v>1</v>
      </c>
      <c r="AA119" s="5">
        <v>1</v>
      </c>
      <c r="AB119" s="5">
        <v>1</v>
      </c>
      <c r="AC119" s="5">
        <v>1</v>
      </c>
      <c r="AD119" s="5">
        <v>2</v>
      </c>
      <c r="AE119" s="5">
        <v>2</v>
      </c>
      <c r="AF119" s="5">
        <v>1</v>
      </c>
      <c r="AG119" s="5">
        <v>1</v>
      </c>
      <c r="AH119" s="5">
        <v>1</v>
      </c>
      <c r="AI119" s="2">
        <v>14</v>
      </c>
      <c r="AJ119" s="2">
        <v>27</v>
      </c>
      <c r="AK119" s="2">
        <v>1</v>
      </c>
      <c r="AL119" s="2">
        <v>27</v>
      </c>
      <c r="AM119" s="2">
        <v>37.5</v>
      </c>
      <c r="AN119" t="str">
        <f>IF(OR(G119="",Participant_Data!E119=""),"",IF(Participant_Data!E119&lt;70,IF(ROUND(G119,1)&lt;18.5,"ขาด/เสี่ยงขาด",IF(ROUND(G119,1)&gt;=25,"เสี่ยงเกิน/เกิน","ปกติ")),IF(ROUND(G119,1)&lt;20,"ขาด/เสี่ยงขาด",IF(ROUND(G119,1)&gt;=25,"เสี่ยงเกิน/เกิน","ปกติ"))))</f>
        <v>ปกติ</v>
      </c>
      <c r="AO119" t="str">
        <f>IF(OR(I119="",Participant_Data!G119=""),"",IF(Participant_Data!G119=1,IF(ROUND(I119,1)&lt;15,"ขาด/เสี่ยงขาด",IF(ROUND(I119,1)&gt;25,"เสี่ยงเกิน/เกิน","ปกติ")),IF(ROUND(I119,1)&lt;20,"ขาด/เสี่ยงขาด",IF(ROUND(I119,1)&gt;35,"เสี่ยงเกิน/เกิน","ปกติ"))))</f>
        <v>ปกติ</v>
      </c>
      <c r="AP119" t="str">
        <f t="shared" si="3"/>
        <v>ปกติ</v>
      </c>
    </row>
    <row r="120" spans="1:42">
      <c r="A120" s="2">
        <f>IF(Participant_Data!A120="","",Participant_Data!A120)</f>
        <v>119</v>
      </c>
      <c r="B120" s="2" t="str">
        <f>IF(Participant_Data!B120="","",Participant_Data!B120)</f>
        <v/>
      </c>
      <c r="C120" s="3" t="str">
        <f>IF(Participant_Data!C120="","",Participant_Data!C120)</f>
        <v/>
      </c>
      <c r="D120" s="5"/>
      <c r="E120" s="5">
        <v>147</v>
      </c>
      <c r="F120" s="5">
        <v>49.8</v>
      </c>
      <c r="G120" s="22">
        <f t="shared" si="2"/>
        <v>23.045953075107594</v>
      </c>
      <c r="H120" s="5">
        <v>17.48</v>
      </c>
      <c r="I120" s="5">
        <v>35.1</v>
      </c>
      <c r="J120" s="5">
        <v>8</v>
      </c>
      <c r="K120" s="5">
        <v>30.65</v>
      </c>
      <c r="L120" s="5">
        <v>1.7</v>
      </c>
      <c r="M120" s="5">
        <v>44.6</v>
      </c>
      <c r="N120" s="5">
        <v>938</v>
      </c>
      <c r="O120" s="5">
        <v>2</v>
      </c>
      <c r="P120" s="5">
        <v>3</v>
      </c>
      <c r="Q120" s="5">
        <v>2</v>
      </c>
      <c r="R120" s="5">
        <v>2</v>
      </c>
      <c r="S120" s="5">
        <v>2</v>
      </c>
      <c r="T120" s="5">
        <v>3</v>
      </c>
      <c r="U120" s="2">
        <v>14</v>
      </c>
      <c r="V120" s="2">
        <v>1</v>
      </c>
      <c r="W120" s="5">
        <v>1</v>
      </c>
      <c r="X120" s="5">
        <v>0</v>
      </c>
      <c r="Y120" s="5">
        <v>1</v>
      </c>
      <c r="Z120" s="5">
        <v>1</v>
      </c>
      <c r="AA120" s="5">
        <v>0.5</v>
      </c>
      <c r="AB120" s="5">
        <v>1</v>
      </c>
      <c r="AC120" s="5">
        <v>1</v>
      </c>
      <c r="AD120" s="5">
        <v>2</v>
      </c>
      <c r="AE120" s="5">
        <v>2</v>
      </c>
      <c r="AF120" s="5">
        <v>2</v>
      </c>
      <c r="AG120" s="5">
        <v>1</v>
      </c>
      <c r="AH120" s="5">
        <v>1</v>
      </c>
      <c r="AI120" s="2">
        <v>13.5</v>
      </c>
      <c r="AJ120" s="2">
        <v>27.5</v>
      </c>
      <c r="AK120" s="2">
        <v>1</v>
      </c>
      <c r="AL120" s="2">
        <v>25</v>
      </c>
      <c r="AM120" s="2">
        <v>32.5</v>
      </c>
      <c r="AN120" t="str">
        <f>IF(OR(G120="",Participant_Data!E120=""),"",IF(Participant_Data!E120&lt;70,IF(ROUND(G120,1)&lt;18.5,"ขาด/เสี่ยงขาด",IF(ROUND(G120,1)&gt;=25,"เสี่ยงเกิน/เกิน","ปกติ")),IF(ROUND(G120,1)&lt;20,"ขาด/เสี่ยงขาด",IF(ROUND(G120,1)&gt;=25,"เสี่ยงเกิน/เกิน","ปกติ"))))</f>
        <v>ปกติ</v>
      </c>
      <c r="AO120" t="str">
        <f>IF(OR(I120="",Participant_Data!G120=""),"",IF(Participant_Data!G120=1,IF(ROUND(I120,1)&lt;15,"ขาด/เสี่ยงขาด",IF(ROUND(I120,1)&gt;25,"เสี่ยงเกิน/เกิน","ปกติ")),IF(ROUND(I120,1)&lt;20,"ขาด/เสี่ยงขาด",IF(ROUND(I120,1)&gt;35,"เสี่ยงเกิน/เกิน","ปกติ"))))</f>
        <v>เสี่ยงเกิน/เกิน</v>
      </c>
      <c r="AP120" t="str">
        <f t="shared" si="3"/>
        <v>เสี่ยงเกิน/เกิน</v>
      </c>
    </row>
    <row r="121" spans="1:42">
      <c r="A121" s="2">
        <f>IF(Participant_Data!A121="","",Participant_Data!A121)</f>
        <v>120</v>
      </c>
      <c r="B121" s="2" t="str">
        <f>IF(Participant_Data!B121="","",Participant_Data!B121)</f>
        <v/>
      </c>
      <c r="C121" s="3" t="str">
        <f>IF(Participant_Data!C121="","",Participant_Data!C121)</f>
        <v/>
      </c>
      <c r="D121" s="5"/>
      <c r="E121" s="5">
        <v>150</v>
      </c>
      <c r="F121" s="5">
        <v>48.55</v>
      </c>
      <c r="G121" s="22">
        <f t="shared" si="2"/>
        <v>21.577777777777776</v>
      </c>
      <c r="H121" s="5">
        <v>13.18</v>
      </c>
      <c r="I121" s="5">
        <v>27</v>
      </c>
      <c r="J121" s="5">
        <v>7</v>
      </c>
      <c r="K121" s="5">
        <v>33.700000000000003</v>
      </c>
      <c r="L121" s="5">
        <v>2</v>
      </c>
      <c r="M121" s="5">
        <v>52.1</v>
      </c>
      <c r="N121" s="5">
        <v>1002</v>
      </c>
      <c r="O121" s="5">
        <v>2</v>
      </c>
      <c r="P121" s="5">
        <v>2</v>
      </c>
      <c r="Q121" s="5">
        <v>2</v>
      </c>
      <c r="R121" s="5">
        <v>2</v>
      </c>
      <c r="S121" s="5">
        <v>1</v>
      </c>
      <c r="T121" s="5">
        <v>2</v>
      </c>
      <c r="U121" s="2">
        <v>11</v>
      </c>
      <c r="V121" s="2">
        <v>2</v>
      </c>
      <c r="W121" s="5">
        <v>1</v>
      </c>
      <c r="X121" s="5">
        <v>1</v>
      </c>
      <c r="Y121" s="5">
        <v>1</v>
      </c>
      <c r="Z121" s="5">
        <v>2</v>
      </c>
      <c r="AA121" s="5">
        <v>1</v>
      </c>
      <c r="AB121" s="5">
        <v>1</v>
      </c>
      <c r="AC121" s="5">
        <v>1</v>
      </c>
      <c r="AD121" s="5">
        <v>2</v>
      </c>
      <c r="AE121" s="5">
        <v>2</v>
      </c>
      <c r="AF121" s="5">
        <v>2</v>
      </c>
      <c r="AG121" s="5">
        <v>1</v>
      </c>
      <c r="AH121" s="5">
        <v>1</v>
      </c>
      <c r="AI121" s="2">
        <v>16</v>
      </c>
      <c r="AJ121" s="2">
        <v>27</v>
      </c>
      <c r="AK121" s="2">
        <v>1</v>
      </c>
      <c r="AL121" s="2">
        <v>24</v>
      </c>
      <c r="AM121" s="2">
        <v>37</v>
      </c>
      <c r="AN121" t="str">
        <f>IF(OR(G121="",Participant_Data!E121=""),"",IF(Participant_Data!E121&lt;70,IF(ROUND(G121,1)&lt;18.5,"ขาด/เสี่ยงขาด",IF(ROUND(G121,1)&gt;=25,"เสี่ยงเกิน/เกิน","ปกติ")),IF(ROUND(G121,1)&lt;20,"ขาด/เสี่ยงขาด",IF(ROUND(G121,1)&gt;=25,"เสี่ยงเกิน/เกิน","ปกติ"))))</f>
        <v>ปกติ</v>
      </c>
      <c r="AO121" t="str">
        <f>IF(OR(I121="",Participant_Data!G121=""),"",IF(Participant_Data!G121=1,IF(ROUND(I121,1)&lt;15,"ขาด/เสี่ยงขาด",IF(ROUND(I121,1)&gt;25,"เสี่ยงเกิน/เกิน","ปกติ")),IF(ROUND(I121,1)&lt;20,"ขาด/เสี่ยงขาด",IF(ROUND(I121,1)&gt;35,"เสี่ยงเกิน/เกิน","ปกติ"))))</f>
        <v>ปกติ</v>
      </c>
      <c r="AP121" t="str">
        <f t="shared" si="3"/>
        <v>ปกติ</v>
      </c>
    </row>
    <row r="122" spans="1:42">
      <c r="A122" s="2">
        <f>IF(Participant_Data!A122="","",Participant_Data!A122)</f>
        <v>121</v>
      </c>
      <c r="B122" s="2" t="str">
        <f>IF(Participant_Data!B122="","",Participant_Data!B122)</f>
        <v/>
      </c>
      <c r="C122" s="3" t="str">
        <f>IF(Participant_Data!C122="","",Participant_Data!C122)</f>
        <v/>
      </c>
      <c r="D122" s="5"/>
      <c r="E122" s="5">
        <v>150</v>
      </c>
      <c r="F122" s="5">
        <v>49.25</v>
      </c>
      <c r="G122" s="22">
        <f t="shared" si="2"/>
        <v>21.888888888888889</v>
      </c>
      <c r="H122" s="5">
        <v>15.76</v>
      </c>
      <c r="I122" s="5">
        <v>32</v>
      </c>
      <c r="J122" s="5">
        <v>7</v>
      </c>
      <c r="K122" s="5">
        <v>31.7</v>
      </c>
      <c r="L122" s="5">
        <v>1.8</v>
      </c>
      <c r="M122" s="5">
        <v>40.5</v>
      </c>
      <c r="N122" s="5">
        <v>962</v>
      </c>
      <c r="O122" s="5">
        <v>2</v>
      </c>
      <c r="P122" s="5">
        <v>3</v>
      </c>
      <c r="Q122" s="5">
        <v>2</v>
      </c>
      <c r="R122" s="5">
        <v>2</v>
      </c>
      <c r="S122" s="5">
        <v>2</v>
      </c>
      <c r="T122" s="5">
        <v>2</v>
      </c>
      <c r="U122" s="2">
        <v>13</v>
      </c>
      <c r="V122" s="2">
        <v>1</v>
      </c>
      <c r="W122" s="5">
        <v>1</v>
      </c>
      <c r="X122" s="5">
        <v>1</v>
      </c>
      <c r="Y122" s="5">
        <v>1</v>
      </c>
      <c r="Z122" s="5">
        <v>2</v>
      </c>
      <c r="AA122" s="5">
        <v>1</v>
      </c>
      <c r="AB122" s="5">
        <v>1</v>
      </c>
      <c r="AC122" s="5">
        <v>1</v>
      </c>
      <c r="AD122" s="5">
        <v>2</v>
      </c>
      <c r="AE122" s="5">
        <v>1</v>
      </c>
      <c r="AF122" s="5">
        <v>0</v>
      </c>
      <c r="AG122" s="5">
        <v>1</v>
      </c>
      <c r="AH122" s="5">
        <v>1</v>
      </c>
      <c r="AI122" s="2">
        <v>13</v>
      </c>
      <c r="AJ122" s="2">
        <v>26</v>
      </c>
      <c r="AK122" s="2">
        <v>1</v>
      </c>
      <c r="AL122" s="2">
        <v>24</v>
      </c>
      <c r="AM122" s="2">
        <v>34</v>
      </c>
      <c r="AN122" t="str">
        <f>IF(OR(G122="",Participant_Data!E122=""),"",IF(Participant_Data!E122&lt;70,IF(ROUND(G122,1)&lt;18.5,"ขาด/เสี่ยงขาด",IF(ROUND(G122,1)&gt;=25,"เสี่ยงเกิน/เกิน","ปกติ")),IF(ROUND(G122,1)&lt;20,"ขาด/เสี่ยงขาด",IF(ROUND(G122,1)&gt;=25,"เสี่ยงเกิน/เกิน","ปกติ"))))</f>
        <v>ปกติ</v>
      </c>
      <c r="AO122" t="str">
        <f>IF(OR(I122="",Participant_Data!G122=""),"",IF(Participant_Data!G122=1,IF(ROUND(I122,1)&lt;15,"ขาด/เสี่ยงขาด",IF(ROUND(I122,1)&gt;25,"เสี่ยงเกิน/เกิน","ปกติ")),IF(ROUND(I122,1)&lt;20,"ขาด/เสี่ยงขาด",IF(ROUND(I122,1)&gt;35,"เสี่ยงเกิน/เกิน","ปกติ"))))</f>
        <v>ปกติ</v>
      </c>
      <c r="AP122" t="str">
        <f t="shared" si="3"/>
        <v>ปกติ</v>
      </c>
    </row>
    <row r="123" spans="1:42">
      <c r="A123" s="2">
        <f>IF(Participant_Data!A123="","",Participant_Data!A123)</f>
        <v>122</v>
      </c>
      <c r="B123" s="2" t="str">
        <f>IF(Participant_Data!B123="","",Participant_Data!B123)</f>
        <v/>
      </c>
      <c r="C123" s="3" t="str">
        <f>IF(Participant_Data!C123="","",Participant_Data!C123)</f>
        <v/>
      </c>
      <c r="D123" s="5"/>
      <c r="E123" s="5">
        <v>150</v>
      </c>
      <c r="F123" s="5">
        <v>58.2</v>
      </c>
      <c r="G123" s="22">
        <f t="shared" si="2"/>
        <v>25.866666666666667</v>
      </c>
      <c r="H123" s="5">
        <v>18.62</v>
      </c>
      <c r="I123" s="5">
        <v>32</v>
      </c>
      <c r="J123" s="5">
        <v>8.5</v>
      </c>
      <c r="K123" s="5">
        <v>37.299999999999997</v>
      </c>
      <c r="L123" s="5">
        <v>2.2999999999999998</v>
      </c>
      <c r="M123" s="5">
        <v>45.3</v>
      </c>
      <c r="N123" s="5">
        <v>1141</v>
      </c>
      <c r="O123" s="5">
        <v>1</v>
      </c>
      <c r="P123" s="5">
        <v>3</v>
      </c>
      <c r="Q123" s="5">
        <v>2</v>
      </c>
      <c r="R123" s="5">
        <v>2</v>
      </c>
      <c r="S123" s="5">
        <v>2</v>
      </c>
      <c r="T123" s="5">
        <v>3</v>
      </c>
      <c r="U123" s="2">
        <v>13</v>
      </c>
      <c r="V123" s="2">
        <v>1</v>
      </c>
      <c r="W123" s="5">
        <v>1</v>
      </c>
      <c r="X123" s="5">
        <v>0</v>
      </c>
      <c r="Y123" s="5">
        <v>1</v>
      </c>
      <c r="Z123" s="5">
        <v>2</v>
      </c>
      <c r="AA123" s="5">
        <v>0</v>
      </c>
      <c r="AB123" s="5">
        <v>1</v>
      </c>
      <c r="AC123" s="5">
        <v>1</v>
      </c>
      <c r="AD123" s="5">
        <v>2</v>
      </c>
      <c r="AE123" s="5">
        <v>2</v>
      </c>
      <c r="AF123" s="5">
        <v>0</v>
      </c>
      <c r="AG123" s="5">
        <v>1</v>
      </c>
      <c r="AH123" s="5">
        <v>1</v>
      </c>
      <c r="AI123" s="2">
        <v>12</v>
      </c>
      <c r="AJ123" s="2">
        <v>25</v>
      </c>
      <c r="AK123" s="2">
        <v>1</v>
      </c>
      <c r="AL123" s="2">
        <v>27</v>
      </c>
      <c r="AM123" s="2">
        <v>37</v>
      </c>
      <c r="AN123" t="str">
        <f>IF(OR(G123="",Participant_Data!E123=""),"",IF(Participant_Data!E123&lt;70,IF(ROUND(G123,1)&lt;18.5,"ขาด/เสี่ยงขาด",IF(ROUND(G123,1)&gt;=25,"เสี่ยงเกิน/เกิน","ปกติ")),IF(ROUND(G123,1)&lt;20,"ขาด/เสี่ยงขาด",IF(ROUND(G123,1)&gt;=25,"เสี่ยงเกิน/เกิน","ปกติ"))))</f>
        <v>เสี่ยงเกิน/เกิน</v>
      </c>
      <c r="AO123" t="str">
        <f>IF(OR(I123="",Participant_Data!G123=""),"",IF(Participant_Data!G123=1,IF(ROUND(I123,1)&lt;15,"ขาด/เสี่ยงขาด",IF(ROUND(I123,1)&gt;25,"เสี่ยงเกิน/เกิน","ปกติ")),IF(ROUND(I123,1)&lt;20,"ขาด/เสี่ยงขาด",IF(ROUND(I123,1)&gt;35,"เสี่ยงเกิน/เกิน","ปกติ"))))</f>
        <v>ปกติ</v>
      </c>
      <c r="AP123" t="str">
        <f t="shared" si="3"/>
        <v>เสี่ยงเกิน/เกิน</v>
      </c>
    </row>
    <row r="124" spans="1:42">
      <c r="A124" s="2">
        <f>IF(Participant_Data!A124="","",Participant_Data!A124)</f>
        <v>123</v>
      </c>
      <c r="B124" s="2" t="str">
        <f>IF(Participant_Data!B124="","",Participant_Data!B124)</f>
        <v/>
      </c>
      <c r="C124" s="3" t="str">
        <f>IF(Participant_Data!C124="","",Participant_Data!C124)</f>
        <v/>
      </c>
      <c r="D124" s="5"/>
      <c r="E124" s="5">
        <v>155</v>
      </c>
      <c r="F124" s="5">
        <v>58.5</v>
      </c>
      <c r="G124" s="22">
        <f t="shared" si="2"/>
        <v>24.349635796045781</v>
      </c>
      <c r="H124" s="5">
        <v>20.94</v>
      </c>
      <c r="I124" s="5">
        <v>35.799999999999997</v>
      </c>
      <c r="J124" s="5">
        <v>8</v>
      </c>
      <c r="K124" s="5">
        <v>35.4</v>
      </c>
      <c r="L124" s="5">
        <v>2.1</v>
      </c>
      <c r="M124" s="5">
        <v>47.3</v>
      </c>
      <c r="N124" s="5">
        <v>1098</v>
      </c>
      <c r="O124" s="5">
        <v>2</v>
      </c>
      <c r="P124" s="5">
        <v>3</v>
      </c>
      <c r="Q124" s="5">
        <v>2</v>
      </c>
      <c r="R124" s="5">
        <v>2</v>
      </c>
      <c r="S124" s="5">
        <v>2</v>
      </c>
      <c r="T124" s="5">
        <v>3</v>
      </c>
      <c r="U124" s="2">
        <v>14</v>
      </c>
      <c r="V124" s="2">
        <v>1</v>
      </c>
      <c r="W124" s="5">
        <v>1</v>
      </c>
      <c r="X124" s="5">
        <v>1</v>
      </c>
      <c r="Y124" s="5">
        <v>1</v>
      </c>
      <c r="Z124" s="5">
        <v>1</v>
      </c>
      <c r="AA124" s="5">
        <v>0.5</v>
      </c>
      <c r="AB124" s="5">
        <v>1</v>
      </c>
      <c r="AC124" s="5">
        <v>0.5</v>
      </c>
      <c r="AD124" s="5">
        <v>2</v>
      </c>
      <c r="AE124" s="5">
        <v>1</v>
      </c>
      <c r="AF124" s="5">
        <v>1</v>
      </c>
      <c r="AG124" s="5">
        <v>1</v>
      </c>
      <c r="AH124" s="5">
        <v>1</v>
      </c>
      <c r="AI124" s="2">
        <v>12</v>
      </c>
      <c r="AJ124" s="2">
        <v>26</v>
      </c>
      <c r="AK124" s="2">
        <v>1</v>
      </c>
      <c r="AL124" s="2">
        <v>27</v>
      </c>
      <c r="AM124" s="2">
        <v>36</v>
      </c>
      <c r="AN124" t="str">
        <f>IF(OR(G124="",Participant_Data!E124=""),"",IF(Participant_Data!E124&lt;70,IF(ROUND(G124,1)&lt;18.5,"ขาด/เสี่ยงขาด",IF(ROUND(G124,1)&gt;=25,"เสี่ยงเกิน/เกิน","ปกติ")),IF(ROUND(G124,1)&lt;20,"ขาด/เสี่ยงขาด",IF(ROUND(G124,1)&gt;=25,"เสี่ยงเกิน/เกิน","ปกติ"))))</f>
        <v>ปกติ</v>
      </c>
      <c r="AO124" t="str">
        <f>IF(OR(I124="",Participant_Data!G124=""),"",IF(Participant_Data!G124=1,IF(ROUND(I124,1)&lt;15,"ขาด/เสี่ยงขาด",IF(ROUND(I124,1)&gt;25,"เสี่ยงเกิน/เกิน","ปกติ")),IF(ROUND(I124,1)&lt;20,"ขาด/เสี่ยงขาด",IF(ROUND(I124,1)&gt;35,"เสี่ยงเกิน/เกิน","ปกติ"))))</f>
        <v>เสี่ยงเกิน/เกิน</v>
      </c>
      <c r="AP124" t="str">
        <f t="shared" si="3"/>
        <v>เสี่ยงเกิน/เกิน</v>
      </c>
    </row>
    <row r="125" spans="1:42">
      <c r="A125" s="2">
        <f>IF(Participant_Data!A125="","",Participant_Data!A125)</f>
        <v>124</v>
      </c>
      <c r="B125" s="2" t="str">
        <f>IF(Participant_Data!B125="","",Participant_Data!B125)</f>
        <v/>
      </c>
      <c r="C125" s="3" t="str">
        <f>IF(Participant_Data!C125="","",Participant_Data!C125)</f>
        <v/>
      </c>
      <c r="D125" s="5"/>
      <c r="E125" s="5">
        <v>146</v>
      </c>
      <c r="F125" s="5">
        <v>52.9</v>
      </c>
      <c r="G125" s="22">
        <f t="shared" si="2"/>
        <v>24.817038844060804</v>
      </c>
      <c r="H125" s="5">
        <v>15.76</v>
      </c>
      <c r="I125" s="5">
        <v>29.8</v>
      </c>
      <c r="J125" s="5">
        <v>8.5</v>
      </c>
      <c r="K125" s="5">
        <v>35.049999999999997</v>
      </c>
      <c r="L125" s="5">
        <v>2.1</v>
      </c>
      <c r="M125" s="5">
        <v>39.200000000000003</v>
      </c>
      <c r="N125" s="5">
        <v>1055</v>
      </c>
      <c r="O125" s="5">
        <v>2</v>
      </c>
      <c r="P125" s="5">
        <v>2</v>
      </c>
      <c r="Q125" s="5">
        <v>2</v>
      </c>
      <c r="R125" s="5">
        <v>0</v>
      </c>
      <c r="S125" s="5">
        <v>2</v>
      </c>
      <c r="T125" s="5">
        <v>3</v>
      </c>
      <c r="U125" s="2">
        <v>11</v>
      </c>
      <c r="V125" s="2">
        <v>2</v>
      </c>
      <c r="W125" s="5">
        <v>1</v>
      </c>
      <c r="X125" s="5">
        <v>0</v>
      </c>
      <c r="Y125" s="5">
        <v>1</v>
      </c>
      <c r="Z125" s="5">
        <v>1</v>
      </c>
      <c r="AA125" s="5">
        <v>0</v>
      </c>
      <c r="AB125" s="5">
        <v>1</v>
      </c>
      <c r="AC125" s="5">
        <v>1</v>
      </c>
      <c r="AD125" s="5">
        <v>2</v>
      </c>
      <c r="AE125" s="5">
        <v>1</v>
      </c>
      <c r="AF125" s="5">
        <v>2</v>
      </c>
      <c r="AG125" s="5">
        <v>1</v>
      </c>
      <c r="AH125" s="5">
        <v>1</v>
      </c>
      <c r="AI125" s="2">
        <v>12</v>
      </c>
      <c r="AJ125" s="2">
        <v>23</v>
      </c>
      <c r="AK125" s="2">
        <v>2</v>
      </c>
      <c r="AL125" s="2">
        <v>26.5</v>
      </c>
      <c r="AM125" s="2">
        <v>38</v>
      </c>
      <c r="AN125" t="str">
        <f>IF(OR(G125="",Participant_Data!E125=""),"",IF(Participant_Data!E125&lt;70,IF(ROUND(G125,1)&lt;18.5,"ขาด/เสี่ยงขาด",IF(ROUND(G125,1)&gt;=25,"เสี่ยงเกิน/เกิน","ปกติ")),IF(ROUND(G125,1)&lt;20,"ขาด/เสี่ยงขาด",IF(ROUND(G125,1)&gt;=25,"เสี่ยงเกิน/เกิน","ปกติ"))))</f>
        <v>ปกติ</v>
      </c>
      <c r="AO125" t="str">
        <f>IF(OR(I125="",Participant_Data!G125=""),"",IF(Participant_Data!G125=1,IF(ROUND(I125,1)&lt;15,"ขาด/เสี่ยงขาด",IF(ROUND(I125,1)&gt;25,"เสี่ยงเกิน/เกิน","ปกติ")),IF(ROUND(I125,1)&lt;20,"ขาด/เสี่ยงขาด",IF(ROUND(I125,1)&gt;35,"เสี่ยงเกิน/เกิน","ปกติ"))))</f>
        <v>ปกติ</v>
      </c>
      <c r="AP125" t="str">
        <f t="shared" si="3"/>
        <v>ปกติ</v>
      </c>
    </row>
    <row r="126" spans="1:42">
      <c r="A126" s="2">
        <f>IF(Participant_Data!A126="","",Participant_Data!A126)</f>
        <v>125</v>
      </c>
      <c r="B126" s="2" t="str">
        <f>IF(Participant_Data!B126="","",Participant_Data!B126)</f>
        <v/>
      </c>
      <c r="C126" s="3" t="str">
        <f>IF(Participant_Data!C126="","",Participant_Data!C126)</f>
        <v/>
      </c>
      <c r="D126" s="5"/>
      <c r="E126" s="5">
        <v>166</v>
      </c>
      <c r="F126" s="5">
        <v>50.25</v>
      </c>
      <c r="G126" s="22">
        <f t="shared" si="2"/>
        <v>18.235592974306869</v>
      </c>
      <c r="H126" s="5">
        <v>9.19</v>
      </c>
      <c r="I126" s="5">
        <v>18.3</v>
      </c>
      <c r="J126" s="5">
        <v>10.5</v>
      </c>
      <c r="K126" s="5">
        <v>38.9</v>
      </c>
      <c r="L126" s="5">
        <v>2.2000000000000002</v>
      </c>
      <c r="M126" s="5">
        <v>47.5</v>
      </c>
      <c r="N126" s="5">
        <v>1085</v>
      </c>
      <c r="O126" s="5">
        <v>2</v>
      </c>
      <c r="P126" s="5">
        <v>3</v>
      </c>
      <c r="Q126" s="5">
        <v>2</v>
      </c>
      <c r="R126" s="5">
        <v>2</v>
      </c>
      <c r="S126" s="5">
        <v>2</v>
      </c>
      <c r="T126" s="5">
        <v>0</v>
      </c>
      <c r="U126" s="2">
        <v>11</v>
      </c>
      <c r="V126" s="2">
        <v>2</v>
      </c>
      <c r="W126" s="5">
        <v>1</v>
      </c>
      <c r="X126" s="5">
        <v>1</v>
      </c>
      <c r="Y126" s="5">
        <v>1</v>
      </c>
      <c r="Z126" s="5">
        <v>2</v>
      </c>
      <c r="AA126" s="5">
        <v>1</v>
      </c>
      <c r="AB126" s="5">
        <v>1</v>
      </c>
      <c r="AC126" s="5">
        <v>1</v>
      </c>
      <c r="AD126" s="5">
        <v>2</v>
      </c>
      <c r="AE126" s="5">
        <v>2</v>
      </c>
      <c r="AF126" s="5">
        <v>1</v>
      </c>
      <c r="AG126" s="5">
        <v>1</v>
      </c>
      <c r="AH126" s="5">
        <v>0</v>
      </c>
      <c r="AI126" s="2">
        <v>14</v>
      </c>
      <c r="AJ126" s="2">
        <v>25</v>
      </c>
      <c r="AK126" s="2">
        <v>1</v>
      </c>
      <c r="AL126" s="2">
        <v>23</v>
      </c>
      <c r="AM126" s="2">
        <v>30</v>
      </c>
      <c r="AN126" t="str">
        <f>IF(OR(G126="",Participant_Data!E126=""),"",IF(Participant_Data!E126&lt;70,IF(ROUND(G126,1)&lt;18.5,"ขาด/เสี่ยงขาด",IF(ROUND(G126,1)&gt;=25,"เสี่ยงเกิน/เกิน","ปกติ")),IF(ROUND(G126,1)&lt;20,"ขาด/เสี่ยงขาด",IF(ROUND(G126,1)&gt;=25,"เสี่ยงเกิน/เกิน","ปกติ"))))</f>
        <v>ขาด/เสี่ยงขาด</v>
      </c>
      <c r="AO126" t="str">
        <f>IF(OR(I126="",Participant_Data!G126=""),"",IF(Participant_Data!G126=1,IF(ROUND(I126,1)&lt;15,"ขาด/เสี่ยงขาด",IF(ROUND(I126,1)&gt;25,"เสี่ยงเกิน/เกิน","ปกติ")),IF(ROUND(I126,1)&lt;20,"ขาด/เสี่ยงขาด",IF(ROUND(I126,1)&gt;35,"เสี่ยงเกิน/เกิน","ปกติ"))))</f>
        <v>ปกติ</v>
      </c>
      <c r="AP126" t="str">
        <f t="shared" si="3"/>
        <v>ขาด/เสี่ยงขาด</v>
      </c>
    </row>
    <row r="127" spans="1:42">
      <c r="A127" s="2">
        <f>IF(Participant_Data!A127="","",Participant_Data!A127)</f>
        <v>126</v>
      </c>
      <c r="B127" s="2" t="str">
        <f>IF(Participant_Data!B127="","",Participant_Data!B127)</f>
        <v/>
      </c>
      <c r="C127" s="3" t="str">
        <f>IF(Participant_Data!C127="","",Participant_Data!C127)</f>
        <v/>
      </c>
      <c r="D127" s="5"/>
      <c r="E127" s="5">
        <v>143</v>
      </c>
      <c r="F127" s="5">
        <v>44.55</v>
      </c>
      <c r="G127" s="22">
        <f t="shared" si="2"/>
        <v>21.785906401291019</v>
      </c>
      <c r="H127" s="5">
        <v>29.91</v>
      </c>
      <c r="I127" s="5">
        <v>35.4</v>
      </c>
      <c r="J127" s="5">
        <v>7</v>
      </c>
      <c r="K127" s="5">
        <v>27.4</v>
      </c>
      <c r="L127" s="5">
        <v>1.4</v>
      </c>
      <c r="M127" s="5">
        <v>35.4</v>
      </c>
      <c r="N127" s="5">
        <v>841</v>
      </c>
      <c r="O127" s="5">
        <v>2</v>
      </c>
      <c r="P127" s="5">
        <v>1</v>
      </c>
      <c r="Q127" s="5">
        <v>2</v>
      </c>
      <c r="R127" s="5">
        <v>2</v>
      </c>
      <c r="S127" s="5">
        <v>1</v>
      </c>
      <c r="T127" s="5">
        <v>2</v>
      </c>
      <c r="U127" s="2">
        <v>10</v>
      </c>
      <c r="V127" s="2">
        <v>2</v>
      </c>
      <c r="W127" s="5">
        <v>1</v>
      </c>
      <c r="X127" s="5">
        <v>1</v>
      </c>
      <c r="Y127" s="5">
        <v>1</v>
      </c>
      <c r="Z127" s="5">
        <v>1</v>
      </c>
      <c r="AA127" s="5">
        <v>0.5</v>
      </c>
      <c r="AB127" s="5">
        <v>1</v>
      </c>
      <c r="AC127" s="5">
        <v>0.5</v>
      </c>
      <c r="AD127" s="5">
        <v>2</v>
      </c>
      <c r="AE127" s="5">
        <v>1</v>
      </c>
      <c r="AF127" s="5">
        <v>0</v>
      </c>
      <c r="AG127" s="5">
        <v>1</v>
      </c>
      <c r="AH127" s="5">
        <v>0</v>
      </c>
      <c r="AI127" s="2">
        <v>10</v>
      </c>
      <c r="AJ127" s="2">
        <v>20</v>
      </c>
      <c r="AK127" s="2">
        <v>2</v>
      </c>
      <c r="AL127" s="2">
        <v>25</v>
      </c>
      <c r="AM127" s="2">
        <v>30</v>
      </c>
      <c r="AN127" t="str">
        <f>IF(OR(G127="",Participant_Data!E127=""),"",IF(Participant_Data!E127&lt;70,IF(ROUND(G127,1)&lt;18.5,"ขาด/เสี่ยงขาด",IF(ROUND(G127,1)&gt;=25,"เสี่ยงเกิน/เกิน","ปกติ")),IF(ROUND(G127,1)&lt;20,"ขาด/เสี่ยงขาด",IF(ROUND(G127,1)&gt;=25,"เสี่ยงเกิน/เกิน","ปกติ"))))</f>
        <v>ปกติ</v>
      </c>
      <c r="AO127" t="str">
        <f>IF(OR(I127="",Participant_Data!G127=""),"",IF(Participant_Data!G127=1,IF(ROUND(I127,1)&lt;15,"ขาด/เสี่ยงขาด",IF(ROUND(I127,1)&gt;25,"เสี่ยงเกิน/เกิน","ปกติ")),IF(ROUND(I127,1)&lt;20,"ขาด/เสี่ยงขาด",IF(ROUND(I127,1)&gt;35,"เสี่ยงเกิน/เกิน","ปกติ"))))</f>
        <v>เสี่ยงเกิน/เกิน</v>
      </c>
      <c r="AP127" t="str">
        <f t="shared" si="3"/>
        <v>เสี่ยงเกิน/เกิน</v>
      </c>
    </row>
    <row r="128" spans="1:42">
      <c r="A128" s="2">
        <f>IF(Participant_Data!A128="","",Participant_Data!A128)</f>
        <v>127</v>
      </c>
      <c r="B128" s="2" t="str">
        <f>IF(Participant_Data!B128="","",Participant_Data!B128)</f>
        <v/>
      </c>
      <c r="C128" s="3" t="str">
        <f>IF(Participant_Data!C128="","",Participant_Data!C128)</f>
        <v/>
      </c>
      <c r="D128" s="5"/>
      <c r="E128" s="5">
        <v>157</v>
      </c>
      <c r="F128" s="5">
        <v>44.3</v>
      </c>
      <c r="G128" s="22">
        <f t="shared" si="2"/>
        <v>17.972331534747859</v>
      </c>
      <c r="H128" s="5">
        <v>4.6900000000000004</v>
      </c>
      <c r="I128" s="5">
        <v>10.6</v>
      </c>
      <c r="J128" s="5">
        <v>5.5</v>
      </c>
      <c r="K128" s="5">
        <v>37.5</v>
      </c>
      <c r="L128" s="5">
        <v>2.1</v>
      </c>
      <c r="M128" s="5">
        <v>56.9</v>
      </c>
      <c r="N128" s="5">
        <v>1029</v>
      </c>
      <c r="O128" s="5">
        <v>2</v>
      </c>
      <c r="P128" s="5">
        <v>3</v>
      </c>
      <c r="Q128" s="5">
        <v>2</v>
      </c>
      <c r="R128" s="5">
        <v>2</v>
      </c>
      <c r="S128" s="5">
        <v>1</v>
      </c>
      <c r="T128" s="5">
        <v>0</v>
      </c>
      <c r="U128" s="2">
        <v>10</v>
      </c>
      <c r="V128" s="2">
        <v>2</v>
      </c>
      <c r="W128" s="5">
        <v>1</v>
      </c>
      <c r="X128" s="5">
        <v>1</v>
      </c>
      <c r="Y128" s="5">
        <v>1</v>
      </c>
      <c r="Z128" s="5">
        <v>1</v>
      </c>
      <c r="AA128" s="5">
        <v>0.5</v>
      </c>
      <c r="AB128" s="5">
        <v>1</v>
      </c>
      <c r="AC128" s="5">
        <v>0.5</v>
      </c>
      <c r="AD128" s="5">
        <v>2</v>
      </c>
      <c r="AE128" s="5">
        <v>2</v>
      </c>
      <c r="AF128" s="5">
        <v>2</v>
      </c>
      <c r="AG128" s="5">
        <v>0.5</v>
      </c>
      <c r="AH128" s="5">
        <v>1</v>
      </c>
      <c r="AI128" s="2">
        <v>13.5</v>
      </c>
      <c r="AJ128" s="2">
        <v>23.5</v>
      </c>
      <c r="AK128" s="2">
        <v>2</v>
      </c>
      <c r="AL128" s="2">
        <v>21</v>
      </c>
      <c r="AM128" s="2">
        <v>31.5</v>
      </c>
      <c r="AN128" t="str">
        <f>IF(OR(G128="",Participant_Data!E128=""),"",IF(Participant_Data!E128&lt;70,IF(ROUND(G128,1)&lt;18.5,"ขาด/เสี่ยงขาด",IF(ROUND(G128,1)&gt;=25,"เสี่ยงเกิน/เกิน","ปกติ")),IF(ROUND(G128,1)&lt;20,"ขาด/เสี่ยงขาด",IF(ROUND(G128,1)&gt;=25,"เสี่ยงเกิน/เกิน","ปกติ"))))</f>
        <v>ขาด/เสี่ยงขาด</v>
      </c>
      <c r="AO128" t="str">
        <f>IF(OR(I128="",Participant_Data!G128=""),"",IF(Participant_Data!G128=1,IF(ROUND(I128,1)&lt;15,"ขาด/เสี่ยงขาด",IF(ROUND(I128,1)&gt;25,"เสี่ยงเกิน/เกิน","ปกติ")),IF(ROUND(I128,1)&lt;20,"ขาด/เสี่ยงขาด",IF(ROUND(I128,1)&gt;35,"เสี่ยงเกิน/เกิน","ปกติ"))))</f>
        <v>ขาด/เสี่ยงขาด</v>
      </c>
      <c r="AP128" t="str">
        <f t="shared" si="3"/>
        <v>ขาด/เสี่ยงขาด</v>
      </c>
    </row>
    <row r="129" spans="1:42">
      <c r="A129" s="2">
        <f>IF(Participant_Data!A129="","",Participant_Data!A129)</f>
        <v>128</v>
      </c>
      <c r="B129" s="2" t="str">
        <f>IF(Participant_Data!B129="","",Participant_Data!B129)</f>
        <v/>
      </c>
      <c r="C129" s="3" t="str">
        <f>IF(Participant_Data!C129="","",Participant_Data!C129)</f>
        <v/>
      </c>
      <c r="D129" s="5"/>
      <c r="E129" s="5">
        <v>152</v>
      </c>
      <c r="F129" s="5">
        <v>61.1</v>
      </c>
      <c r="G129" s="22">
        <f t="shared" si="2"/>
        <v>26.445637119113574</v>
      </c>
      <c r="H129" s="5">
        <v>24.01</v>
      </c>
      <c r="I129" s="5">
        <v>39.299999999999997</v>
      </c>
      <c r="J129" s="5">
        <v>9.5</v>
      </c>
      <c r="K129" s="5">
        <v>35</v>
      </c>
      <c r="L129" s="5">
        <v>2.1</v>
      </c>
      <c r="M129" s="5">
        <v>34</v>
      </c>
      <c r="N129" s="5">
        <v>1099</v>
      </c>
      <c r="O129" s="5">
        <v>0</v>
      </c>
      <c r="P129" s="5">
        <v>0</v>
      </c>
      <c r="Q129" s="5">
        <v>2</v>
      </c>
      <c r="R129" s="5">
        <v>2</v>
      </c>
      <c r="S129" s="5">
        <v>2</v>
      </c>
      <c r="T129" s="5">
        <v>3</v>
      </c>
      <c r="U129" s="2">
        <v>9</v>
      </c>
      <c r="V129" s="2">
        <v>2</v>
      </c>
      <c r="W129" s="5">
        <v>1</v>
      </c>
      <c r="X129" s="5">
        <v>0</v>
      </c>
      <c r="Y129" s="5">
        <v>1</v>
      </c>
      <c r="Z129" s="5">
        <v>2</v>
      </c>
      <c r="AA129" s="5">
        <v>1</v>
      </c>
      <c r="AB129" s="5">
        <v>1</v>
      </c>
      <c r="AC129" s="5">
        <v>1</v>
      </c>
      <c r="AD129" s="5">
        <v>2</v>
      </c>
      <c r="AE129" s="5">
        <v>1</v>
      </c>
      <c r="AF129" s="5">
        <v>0</v>
      </c>
      <c r="AG129" s="5">
        <v>1</v>
      </c>
      <c r="AH129" s="5">
        <v>1</v>
      </c>
      <c r="AI129" s="2">
        <v>12</v>
      </c>
      <c r="AJ129" s="2">
        <v>21</v>
      </c>
      <c r="AK129" s="2">
        <v>2</v>
      </c>
      <c r="AL129" s="2">
        <v>24.5</v>
      </c>
      <c r="AM129" s="2">
        <v>32</v>
      </c>
      <c r="AN129" t="str">
        <f>IF(OR(G129="",Participant_Data!E129=""),"",IF(Participant_Data!E129&lt;70,IF(ROUND(G129,1)&lt;18.5,"ขาด/เสี่ยงขาด",IF(ROUND(G129,1)&gt;=25,"เสี่ยงเกิน/เกิน","ปกติ")),IF(ROUND(G129,1)&lt;20,"ขาด/เสี่ยงขาด",IF(ROUND(G129,1)&gt;=25,"เสี่ยงเกิน/เกิน","ปกติ"))))</f>
        <v>เสี่ยงเกิน/เกิน</v>
      </c>
      <c r="AO129" t="str">
        <f>IF(OR(I129="",Participant_Data!G129=""),"",IF(Participant_Data!G129=1,IF(ROUND(I129,1)&lt;15,"ขาด/เสี่ยงขาด",IF(ROUND(I129,1)&gt;25,"เสี่ยงเกิน/เกิน","ปกติ")),IF(ROUND(I129,1)&lt;20,"ขาด/เสี่ยงขาด",IF(ROUND(I129,1)&gt;35,"เสี่ยงเกิน/เกิน","ปกติ"))))</f>
        <v>เสี่ยงเกิน/เกิน</v>
      </c>
      <c r="AP129" t="str">
        <f t="shared" si="3"/>
        <v>เสี่ยงเกิน/เกิน</v>
      </c>
    </row>
    <row r="130" spans="1:42">
      <c r="A130" s="2">
        <f>IF(Participant_Data!A130="","",Participant_Data!A130)</f>
        <v>129</v>
      </c>
      <c r="B130" s="2" t="str">
        <f>IF(Participant_Data!B130="","",Participant_Data!B130)</f>
        <v/>
      </c>
      <c r="C130" s="3" t="str">
        <f>IF(Participant_Data!C130="","",Participant_Data!C130)</f>
        <v/>
      </c>
      <c r="D130" s="5"/>
      <c r="E130" s="5">
        <v>153</v>
      </c>
      <c r="F130" s="5">
        <v>51.75</v>
      </c>
      <c r="G130" s="22">
        <f t="shared" ref="G130:G193" si="4">IF(OR(E130="",F130=""),"",F130/((E130/100)^2))</f>
        <v>22.106881968473665</v>
      </c>
      <c r="H130" s="5">
        <v>15.47</v>
      </c>
      <c r="I130" s="5">
        <v>29.9</v>
      </c>
      <c r="J130" s="5">
        <v>7</v>
      </c>
      <c r="K130" s="5">
        <v>34.25</v>
      </c>
      <c r="L130" s="5">
        <v>2</v>
      </c>
      <c r="M130" s="5">
        <v>46.2</v>
      </c>
      <c r="N130" s="5">
        <v>1034</v>
      </c>
      <c r="O130" s="5">
        <v>2</v>
      </c>
      <c r="P130" s="5">
        <v>3</v>
      </c>
      <c r="Q130" s="5">
        <v>2</v>
      </c>
      <c r="R130" s="5">
        <v>2</v>
      </c>
      <c r="S130" s="5">
        <v>2</v>
      </c>
      <c r="T130" s="5">
        <v>2</v>
      </c>
      <c r="U130" s="2">
        <v>13</v>
      </c>
      <c r="V130" s="2">
        <v>1</v>
      </c>
      <c r="W130" s="5">
        <v>1</v>
      </c>
      <c r="X130" s="5">
        <v>1</v>
      </c>
      <c r="Y130" s="5">
        <v>1</v>
      </c>
      <c r="Z130" s="5">
        <v>1</v>
      </c>
      <c r="AA130" s="5">
        <v>0</v>
      </c>
      <c r="AB130" s="5">
        <v>1</v>
      </c>
      <c r="AC130" s="5">
        <v>0.5</v>
      </c>
      <c r="AD130" s="5">
        <v>2</v>
      </c>
      <c r="AE130" s="5">
        <v>0</v>
      </c>
      <c r="AF130" s="5">
        <v>2</v>
      </c>
      <c r="AG130" s="5">
        <v>1</v>
      </c>
      <c r="AH130" s="5">
        <v>1</v>
      </c>
      <c r="AI130" s="2">
        <v>11.5</v>
      </c>
      <c r="AJ130" s="2">
        <v>24.5</v>
      </c>
      <c r="AK130" s="2">
        <v>1</v>
      </c>
      <c r="AL130" s="2">
        <v>24.5</v>
      </c>
      <c r="AM130" s="2">
        <v>33</v>
      </c>
      <c r="AN130" t="str">
        <f>IF(OR(G130="",Participant_Data!E130=""),"",IF(Participant_Data!E130&lt;70,IF(ROUND(G130,1)&lt;18.5,"ขาด/เสี่ยงขาด",IF(ROUND(G130,1)&gt;=25,"เสี่ยงเกิน/เกิน","ปกติ")),IF(ROUND(G130,1)&lt;20,"ขาด/เสี่ยงขาด",IF(ROUND(G130,1)&gt;=25,"เสี่ยงเกิน/เกิน","ปกติ"))))</f>
        <v>ปกติ</v>
      </c>
      <c r="AO130" t="str">
        <f>IF(OR(I130="",Participant_Data!G130=""),"",IF(Participant_Data!G130=1,IF(ROUND(I130,1)&lt;15,"ขาด/เสี่ยงขาด",IF(ROUND(I130,1)&gt;25,"เสี่ยงเกิน/เกิน","ปกติ")),IF(ROUND(I130,1)&lt;20,"ขาด/เสี่ยงขาด",IF(ROUND(I130,1)&gt;35,"เสี่ยงเกิน/เกิน","ปกติ"))))</f>
        <v>ปกติ</v>
      </c>
      <c r="AP130" t="str">
        <f t="shared" ref="AP130:AP193" si="5">IF(OR(AN130="",AO130=""),"",IF(OR(AN130="ขาด/เสี่ยงขาด",AO130="ขาด/เสี่ยงขาด"),"ขาด/เสี่ยงขาด",IF(OR(AN130="เสี่ยงเกิน/เกิน",AO130="เสี่ยงเกิน/เกิน"),"เสี่ยงเกิน/เกิน","ปกติ")))</f>
        <v>ปกติ</v>
      </c>
    </row>
    <row r="131" spans="1:42">
      <c r="A131" s="2">
        <f>IF(Participant_Data!A131="","",Participant_Data!A131)</f>
        <v>130</v>
      </c>
      <c r="B131" s="2" t="str">
        <f>IF(Participant_Data!B131="","",Participant_Data!B131)</f>
        <v/>
      </c>
      <c r="C131" s="3" t="str">
        <f>IF(Participant_Data!C131="","",Participant_Data!C131)</f>
        <v/>
      </c>
      <c r="D131" s="5"/>
      <c r="E131" s="5">
        <v>154</v>
      </c>
      <c r="F131" s="5">
        <v>46</v>
      </c>
      <c r="G131" s="22">
        <f t="shared" si="4"/>
        <v>19.396188227357058</v>
      </c>
      <c r="H131" s="5">
        <v>12.14</v>
      </c>
      <c r="I131" s="5">
        <v>26.4</v>
      </c>
      <c r="J131" s="5">
        <v>5.5</v>
      </c>
      <c r="K131" s="5">
        <v>32.020000000000003</v>
      </c>
      <c r="L131" s="5">
        <v>1.8</v>
      </c>
      <c r="M131" s="5">
        <v>45.3</v>
      </c>
      <c r="N131" s="5">
        <v>952</v>
      </c>
      <c r="O131" s="5">
        <v>1</v>
      </c>
      <c r="P131" s="5">
        <v>3</v>
      </c>
      <c r="Q131" s="5">
        <v>2</v>
      </c>
      <c r="R131" s="5">
        <v>2</v>
      </c>
      <c r="S131" s="5">
        <v>1</v>
      </c>
      <c r="T131" s="5">
        <v>1</v>
      </c>
      <c r="U131" s="2">
        <v>10</v>
      </c>
      <c r="V131" s="2">
        <v>2</v>
      </c>
      <c r="W131" s="5">
        <v>1</v>
      </c>
      <c r="X131" s="5">
        <v>1</v>
      </c>
      <c r="Y131" s="5">
        <v>1</v>
      </c>
      <c r="Z131" s="5">
        <v>1</v>
      </c>
      <c r="AA131" s="5">
        <v>0.5</v>
      </c>
      <c r="AB131" s="5">
        <v>1</v>
      </c>
      <c r="AC131" s="5">
        <v>1</v>
      </c>
      <c r="AD131" s="5">
        <v>2</v>
      </c>
      <c r="AE131" s="5">
        <v>2</v>
      </c>
      <c r="AF131" s="5">
        <v>1</v>
      </c>
      <c r="AG131" s="5">
        <v>1</v>
      </c>
      <c r="AH131" s="5">
        <v>1</v>
      </c>
      <c r="AI131" s="2">
        <v>13.5</v>
      </c>
      <c r="AJ131" s="2">
        <v>23.5</v>
      </c>
      <c r="AK131" s="2">
        <v>2</v>
      </c>
      <c r="AL131" s="2">
        <v>23.5</v>
      </c>
      <c r="AM131" s="2">
        <v>31.5</v>
      </c>
      <c r="AN131" t="str">
        <f>IF(OR(G131="",Participant_Data!E131=""),"",IF(Participant_Data!E131&lt;70,IF(ROUND(G131,1)&lt;18.5,"ขาด/เสี่ยงขาด",IF(ROUND(G131,1)&gt;=25,"เสี่ยงเกิน/เกิน","ปกติ")),IF(ROUND(G131,1)&lt;20,"ขาด/เสี่ยงขาด",IF(ROUND(G131,1)&gt;=25,"เสี่ยงเกิน/เกิน","ปกติ"))))</f>
        <v>ขาด/เสี่ยงขาด</v>
      </c>
      <c r="AO131" t="str">
        <f>IF(OR(I131="",Participant_Data!G131=""),"",IF(Participant_Data!G131=1,IF(ROUND(I131,1)&lt;15,"ขาด/เสี่ยงขาด",IF(ROUND(I131,1)&gt;25,"เสี่ยงเกิน/เกิน","ปกติ")),IF(ROUND(I131,1)&lt;20,"ขาด/เสี่ยงขาด",IF(ROUND(I131,1)&gt;35,"เสี่ยงเกิน/เกิน","ปกติ"))))</f>
        <v>ปกติ</v>
      </c>
      <c r="AP131" t="str">
        <f t="shared" si="5"/>
        <v>ขาด/เสี่ยงขาด</v>
      </c>
    </row>
    <row r="132" spans="1:42">
      <c r="A132" s="2">
        <f>IF(Participant_Data!A132="","",Participant_Data!A132)</f>
        <v>131</v>
      </c>
      <c r="B132" s="2" t="str">
        <f>IF(Participant_Data!B132="","",Participant_Data!B132)</f>
        <v/>
      </c>
      <c r="C132" s="3" t="str">
        <f>IF(Participant_Data!C132="","",Participant_Data!C132)</f>
        <v/>
      </c>
      <c r="D132" s="5"/>
      <c r="E132" s="5">
        <v>157</v>
      </c>
      <c r="F132" s="5">
        <v>57.85</v>
      </c>
      <c r="G132" s="22">
        <f t="shared" si="4"/>
        <v>23.469511947746359</v>
      </c>
      <c r="H132" s="5">
        <v>16.829999999999998</v>
      </c>
      <c r="I132" s="5">
        <v>29.1</v>
      </c>
      <c r="J132" s="5">
        <v>8</v>
      </c>
      <c r="K132" s="5">
        <v>38.549999999999997</v>
      </c>
      <c r="L132" s="5">
        <v>2.4</v>
      </c>
      <c r="M132" s="5">
        <v>43.7</v>
      </c>
      <c r="N132" s="5">
        <v>1164</v>
      </c>
      <c r="O132" s="5">
        <v>2</v>
      </c>
      <c r="P132" s="5">
        <v>3</v>
      </c>
      <c r="Q132" s="5">
        <v>2</v>
      </c>
      <c r="R132" s="5">
        <v>2</v>
      </c>
      <c r="S132" s="5">
        <v>1</v>
      </c>
      <c r="T132" s="5">
        <v>3</v>
      </c>
      <c r="U132" s="2">
        <v>13</v>
      </c>
      <c r="V132" s="2">
        <v>1</v>
      </c>
      <c r="W132" s="5">
        <v>1</v>
      </c>
      <c r="X132" s="5">
        <v>1</v>
      </c>
      <c r="Y132" s="5">
        <v>1</v>
      </c>
      <c r="Z132" s="5">
        <v>2</v>
      </c>
      <c r="AA132" s="5">
        <v>0</v>
      </c>
      <c r="AB132" s="5">
        <v>0</v>
      </c>
      <c r="AC132" s="5">
        <v>1</v>
      </c>
      <c r="AD132" s="5">
        <v>2</v>
      </c>
      <c r="AE132" s="5">
        <v>2</v>
      </c>
      <c r="AF132" s="5">
        <v>1</v>
      </c>
      <c r="AG132" s="5">
        <v>1</v>
      </c>
      <c r="AH132" s="5">
        <v>1</v>
      </c>
      <c r="AI132" s="2">
        <v>13</v>
      </c>
      <c r="AJ132" s="2">
        <v>26</v>
      </c>
      <c r="AK132" s="2">
        <v>1</v>
      </c>
      <c r="AL132" s="2">
        <v>27</v>
      </c>
      <c r="AM132" s="2">
        <v>35</v>
      </c>
      <c r="AN132" t="str">
        <f>IF(OR(G132="",Participant_Data!E132=""),"",IF(Participant_Data!E132&lt;70,IF(ROUND(G132,1)&lt;18.5,"ขาด/เสี่ยงขาด",IF(ROUND(G132,1)&gt;=25,"เสี่ยงเกิน/เกิน","ปกติ")),IF(ROUND(G132,1)&lt;20,"ขาด/เสี่ยงขาด",IF(ROUND(G132,1)&gt;=25,"เสี่ยงเกิน/เกิน","ปกติ"))))</f>
        <v>ปกติ</v>
      </c>
      <c r="AO132" t="str">
        <f>IF(OR(I132="",Participant_Data!G132=""),"",IF(Participant_Data!G132=1,IF(ROUND(I132,1)&lt;15,"ขาด/เสี่ยงขาด",IF(ROUND(I132,1)&gt;25,"เสี่ยงเกิน/เกิน","ปกติ")),IF(ROUND(I132,1)&lt;20,"ขาด/เสี่ยงขาด",IF(ROUND(I132,1)&gt;35,"เสี่ยงเกิน/เกิน","ปกติ"))))</f>
        <v>ปกติ</v>
      </c>
      <c r="AP132" t="str">
        <f t="shared" si="5"/>
        <v>ปกติ</v>
      </c>
    </row>
    <row r="133" spans="1:42">
      <c r="A133" s="2">
        <f>IF(Participant_Data!A133="","",Participant_Data!A133)</f>
        <v>132</v>
      </c>
      <c r="B133" s="2" t="str">
        <f>IF(Participant_Data!B133="","",Participant_Data!B133)</f>
        <v/>
      </c>
      <c r="C133" s="3" t="str">
        <f>IF(Participant_Data!C133="","",Participant_Data!C133)</f>
        <v/>
      </c>
      <c r="D133" s="5"/>
      <c r="E133" s="5">
        <v>163</v>
      </c>
      <c r="F133" s="5">
        <v>49.9</v>
      </c>
      <c r="G133" s="22">
        <f t="shared" si="4"/>
        <v>18.781286461665854</v>
      </c>
      <c r="H133" s="5">
        <v>14.17</v>
      </c>
      <c r="I133" s="5">
        <v>28.4</v>
      </c>
      <c r="J133" s="5">
        <v>6</v>
      </c>
      <c r="K133" s="5">
        <v>33.75</v>
      </c>
      <c r="L133" s="5">
        <v>2</v>
      </c>
      <c r="M133" s="5">
        <v>37.700000000000003</v>
      </c>
      <c r="N133" s="5">
        <v>1008</v>
      </c>
      <c r="O133" s="5">
        <v>2</v>
      </c>
      <c r="P133" s="5">
        <v>3</v>
      </c>
      <c r="Q133" s="5">
        <v>2</v>
      </c>
      <c r="R133" s="5">
        <v>0</v>
      </c>
      <c r="S133" s="5">
        <v>2</v>
      </c>
      <c r="T133" s="5">
        <v>0</v>
      </c>
      <c r="U133" s="2">
        <v>9</v>
      </c>
      <c r="V133" s="2">
        <v>2</v>
      </c>
      <c r="W133" s="5">
        <v>1</v>
      </c>
      <c r="X133" s="5">
        <v>1</v>
      </c>
      <c r="Y133" s="5">
        <v>1</v>
      </c>
      <c r="Z133" s="5">
        <v>2</v>
      </c>
      <c r="AA133" s="5">
        <v>1</v>
      </c>
      <c r="AB133" s="5">
        <v>1</v>
      </c>
      <c r="AC133" s="5">
        <v>1</v>
      </c>
      <c r="AD133" s="5">
        <v>2</v>
      </c>
      <c r="AE133" s="5">
        <v>1</v>
      </c>
      <c r="AF133" s="5">
        <v>0.5</v>
      </c>
      <c r="AG133" s="5">
        <v>0.5</v>
      </c>
      <c r="AH133" s="5">
        <v>0</v>
      </c>
      <c r="AI133" s="2">
        <v>12</v>
      </c>
      <c r="AJ133" s="2">
        <v>21</v>
      </c>
      <c r="AK133" s="2">
        <v>2</v>
      </c>
      <c r="AL133" s="2">
        <v>22</v>
      </c>
      <c r="AM133" s="2">
        <v>30.5</v>
      </c>
      <c r="AN133" t="str">
        <f>IF(OR(G133="",Participant_Data!E133=""),"",IF(Participant_Data!E133&lt;70,IF(ROUND(G133,1)&lt;18.5,"ขาด/เสี่ยงขาด",IF(ROUND(G133,1)&gt;=25,"เสี่ยงเกิน/เกิน","ปกติ")),IF(ROUND(G133,1)&lt;20,"ขาด/เสี่ยงขาด",IF(ROUND(G133,1)&gt;=25,"เสี่ยงเกิน/เกิน","ปกติ"))))</f>
        <v>ขาด/เสี่ยงขาด</v>
      </c>
      <c r="AO133" t="str">
        <f>IF(OR(I133="",Participant_Data!G133=""),"",IF(Participant_Data!G133=1,IF(ROUND(I133,1)&lt;15,"ขาด/เสี่ยงขาด",IF(ROUND(I133,1)&gt;25,"เสี่ยงเกิน/เกิน","ปกติ")),IF(ROUND(I133,1)&lt;20,"ขาด/เสี่ยงขาด",IF(ROUND(I133,1)&gt;35,"เสี่ยงเกิน/เกิน","ปกติ"))))</f>
        <v>ปกติ</v>
      </c>
      <c r="AP133" t="str">
        <f t="shared" si="5"/>
        <v>ขาด/เสี่ยงขาด</v>
      </c>
    </row>
    <row r="134" spans="1:42">
      <c r="A134" s="2">
        <f>IF(Participant_Data!A134="","",Participant_Data!A134)</f>
        <v>133</v>
      </c>
      <c r="B134" s="2" t="str">
        <f>IF(Participant_Data!B134="","",Participant_Data!B134)</f>
        <v/>
      </c>
      <c r="C134" s="3" t="str">
        <f>IF(Participant_Data!C134="","",Participant_Data!C134)</f>
        <v/>
      </c>
      <c r="D134" s="5"/>
      <c r="E134" s="5">
        <v>148.5</v>
      </c>
      <c r="F134" s="5">
        <v>51.5</v>
      </c>
      <c r="G134" s="22">
        <f t="shared" si="4"/>
        <v>23.353626047228737</v>
      </c>
      <c r="H134" s="5">
        <v>18.03</v>
      </c>
      <c r="I134" s="5">
        <v>35</v>
      </c>
      <c r="J134" s="5">
        <v>7.5</v>
      </c>
      <c r="K134" s="5">
        <v>31.7</v>
      </c>
      <c r="L134" s="5">
        <v>1.8</v>
      </c>
      <c r="M134" s="5">
        <v>45.4</v>
      </c>
      <c r="N134" s="5">
        <v>973</v>
      </c>
      <c r="O134" s="5">
        <v>2</v>
      </c>
      <c r="P134" s="5">
        <v>3</v>
      </c>
      <c r="Q134" s="5">
        <v>2</v>
      </c>
      <c r="R134" s="5">
        <v>2</v>
      </c>
      <c r="S134" s="5">
        <v>2</v>
      </c>
      <c r="T134" s="5">
        <v>3</v>
      </c>
      <c r="U134" s="2">
        <v>14</v>
      </c>
      <c r="V134" s="2">
        <v>1</v>
      </c>
      <c r="W134" s="5">
        <v>1</v>
      </c>
      <c r="X134" s="5">
        <v>1</v>
      </c>
      <c r="Y134" s="5">
        <v>1</v>
      </c>
      <c r="Z134" s="5">
        <v>2</v>
      </c>
      <c r="AA134" s="5">
        <v>1</v>
      </c>
      <c r="AB134" s="5">
        <v>1</v>
      </c>
      <c r="AC134" s="5">
        <v>1</v>
      </c>
      <c r="AD134" s="5">
        <v>2</v>
      </c>
      <c r="AE134" s="5">
        <v>2</v>
      </c>
      <c r="AF134" s="5">
        <v>1</v>
      </c>
      <c r="AG134" s="5">
        <v>1</v>
      </c>
      <c r="AH134" s="5">
        <v>1</v>
      </c>
      <c r="AI134" s="2">
        <v>15</v>
      </c>
      <c r="AJ134" s="2">
        <v>29</v>
      </c>
      <c r="AK134" s="2">
        <v>1</v>
      </c>
      <c r="AL134" s="2">
        <v>25</v>
      </c>
      <c r="AM134" s="2">
        <v>35</v>
      </c>
      <c r="AN134" t="str">
        <f>IF(OR(G134="",Participant_Data!E134=""),"",IF(Participant_Data!E134&lt;70,IF(ROUND(G134,1)&lt;18.5,"ขาด/เสี่ยงขาด",IF(ROUND(G134,1)&gt;=25,"เสี่ยงเกิน/เกิน","ปกติ")),IF(ROUND(G134,1)&lt;20,"ขาด/เสี่ยงขาด",IF(ROUND(G134,1)&gt;=25,"เสี่ยงเกิน/เกิน","ปกติ"))))</f>
        <v>ปกติ</v>
      </c>
      <c r="AO134" t="str">
        <f>IF(OR(I134="",Participant_Data!G134=""),"",IF(Participant_Data!G134=1,IF(ROUND(I134,1)&lt;15,"ขาด/เสี่ยงขาด",IF(ROUND(I134,1)&gt;25,"เสี่ยงเกิน/เกิน","ปกติ")),IF(ROUND(I134,1)&lt;20,"ขาด/เสี่ยงขาด",IF(ROUND(I134,1)&gt;35,"เสี่ยงเกิน/เกิน","ปกติ"))))</f>
        <v>ปกติ</v>
      </c>
      <c r="AP134" t="str">
        <f t="shared" si="5"/>
        <v>ปกติ</v>
      </c>
    </row>
    <row r="135" spans="1:42">
      <c r="A135" s="2">
        <f>IF(Participant_Data!A135="","",Participant_Data!A135)</f>
        <v>134</v>
      </c>
      <c r="B135" s="2" t="str">
        <f>IF(Participant_Data!B135="","",Participant_Data!B135)</f>
        <v/>
      </c>
      <c r="C135" s="3" t="str">
        <f>IF(Participant_Data!C135="","",Participant_Data!C135)</f>
        <v/>
      </c>
      <c r="D135" s="5"/>
      <c r="E135" s="5">
        <v>158</v>
      </c>
      <c r="F135" s="5">
        <v>43.6</v>
      </c>
      <c r="G135" s="22">
        <f t="shared" si="4"/>
        <v>17.465149815734655</v>
      </c>
      <c r="H135" s="5">
        <v>9.4</v>
      </c>
      <c r="I135" s="5">
        <v>21.7</v>
      </c>
      <c r="J135" s="5">
        <v>4</v>
      </c>
      <c r="K135" s="5">
        <v>32.299999999999997</v>
      </c>
      <c r="L135" s="5">
        <v>1.8</v>
      </c>
      <c r="M135" s="5">
        <v>47.1</v>
      </c>
      <c r="N135" s="5">
        <v>943</v>
      </c>
      <c r="O135" s="5">
        <v>2</v>
      </c>
      <c r="P135" s="5">
        <v>2</v>
      </c>
      <c r="Q135" s="5">
        <v>2</v>
      </c>
      <c r="R135" s="5">
        <v>2</v>
      </c>
      <c r="S135" s="5">
        <v>1</v>
      </c>
      <c r="T135" s="5">
        <v>0</v>
      </c>
      <c r="U135" s="2">
        <v>9</v>
      </c>
      <c r="V135" s="2">
        <v>2</v>
      </c>
      <c r="W135" s="5">
        <v>1</v>
      </c>
      <c r="X135" s="5">
        <v>1</v>
      </c>
      <c r="Y135" s="5">
        <v>1</v>
      </c>
      <c r="Z135" s="5">
        <v>2</v>
      </c>
      <c r="AA135" s="5">
        <v>0.5</v>
      </c>
      <c r="AB135" s="5">
        <v>1</v>
      </c>
      <c r="AC135" s="5">
        <v>1</v>
      </c>
      <c r="AD135" s="5">
        <v>2</v>
      </c>
      <c r="AE135" s="5">
        <v>1</v>
      </c>
      <c r="AF135" s="5">
        <v>2</v>
      </c>
      <c r="AG135" s="5">
        <v>0.5</v>
      </c>
      <c r="AH135" s="5">
        <v>1</v>
      </c>
      <c r="AI135" s="2">
        <v>14</v>
      </c>
      <c r="AJ135" s="2">
        <v>23</v>
      </c>
      <c r="AK135" s="2">
        <v>2</v>
      </c>
      <c r="AL135" s="2">
        <v>21.5</v>
      </c>
      <c r="AM135" s="2">
        <v>31.5</v>
      </c>
      <c r="AN135" t="str">
        <f>IF(OR(G135="",Participant_Data!E135=""),"",IF(Participant_Data!E135&lt;70,IF(ROUND(G135,1)&lt;18.5,"ขาด/เสี่ยงขาด",IF(ROUND(G135,1)&gt;=25,"เสี่ยงเกิน/เกิน","ปกติ")),IF(ROUND(G135,1)&lt;20,"ขาด/เสี่ยงขาด",IF(ROUND(G135,1)&gt;=25,"เสี่ยงเกิน/เกิน","ปกติ"))))</f>
        <v>ขาด/เสี่ยงขาด</v>
      </c>
      <c r="AO135" t="str">
        <f>IF(OR(I135="",Participant_Data!G135=""),"",IF(Participant_Data!G135=1,IF(ROUND(I135,1)&lt;15,"ขาด/เสี่ยงขาด",IF(ROUND(I135,1)&gt;25,"เสี่ยงเกิน/เกิน","ปกติ")),IF(ROUND(I135,1)&lt;20,"ขาด/เสี่ยงขาด",IF(ROUND(I135,1)&gt;35,"เสี่ยงเกิน/เกิน","ปกติ"))))</f>
        <v>ปกติ</v>
      </c>
      <c r="AP135" t="str">
        <f t="shared" si="5"/>
        <v>ขาด/เสี่ยงขาด</v>
      </c>
    </row>
    <row r="136" spans="1:42">
      <c r="A136" s="2">
        <f>IF(Participant_Data!A136="","",Participant_Data!A136)</f>
        <v>135</v>
      </c>
      <c r="B136" s="2" t="str">
        <f>IF(Participant_Data!B136="","",Participant_Data!B136)</f>
        <v/>
      </c>
      <c r="C136" s="3" t="str">
        <f>IF(Participant_Data!C136="","",Participant_Data!C136)</f>
        <v/>
      </c>
      <c r="D136" s="5"/>
      <c r="E136" s="5">
        <v>148</v>
      </c>
      <c r="F136" s="5">
        <v>63.15</v>
      </c>
      <c r="G136" s="22">
        <f t="shared" si="4"/>
        <v>28.830350620891164</v>
      </c>
      <c r="H136" s="5">
        <v>23.81</v>
      </c>
      <c r="I136" s="5">
        <v>37.700000000000003</v>
      </c>
      <c r="J136" s="5">
        <v>8.5</v>
      </c>
      <c r="K136" s="5">
        <v>31.35</v>
      </c>
      <c r="L136" s="5">
        <v>1.7</v>
      </c>
      <c r="M136" s="5">
        <v>39.299999999999997</v>
      </c>
      <c r="N136" s="5">
        <v>970</v>
      </c>
      <c r="O136" s="5">
        <v>2</v>
      </c>
      <c r="P136" s="5">
        <v>3</v>
      </c>
      <c r="Q136" s="5">
        <v>2</v>
      </c>
      <c r="R136" s="5">
        <v>2</v>
      </c>
      <c r="S136" s="5">
        <v>1</v>
      </c>
      <c r="T136" s="5">
        <v>3</v>
      </c>
      <c r="U136" s="2">
        <v>13</v>
      </c>
      <c r="V136" s="2">
        <v>1</v>
      </c>
      <c r="W136" s="5">
        <v>1</v>
      </c>
      <c r="X136" s="5">
        <v>1</v>
      </c>
      <c r="Y136" s="5">
        <v>1</v>
      </c>
      <c r="Z136" s="5">
        <v>1</v>
      </c>
      <c r="AA136" s="5">
        <v>0.5</v>
      </c>
      <c r="AB136" s="5">
        <v>0</v>
      </c>
      <c r="AC136" s="5">
        <v>1</v>
      </c>
      <c r="AD136" s="5">
        <v>2</v>
      </c>
      <c r="AE136" s="5">
        <v>2</v>
      </c>
      <c r="AF136" s="5">
        <v>0.5</v>
      </c>
      <c r="AG136" s="5">
        <v>1</v>
      </c>
      <c r="AH136" s="5">
        <v>0</v>
      </c>
      <c r="AI136" s="2">
        <v>11</v>
      </c>
      <c r="AJ136" s="2">
        <v>24</v>
      </c>
      <c r="AK136" s="2">
        <v>1</v>
      </c>
      <c r="AL136" s="2">
        <v>23.5</v>
      </c>
      <c r="AM136" s="2">
        <v>30</v>
      </c>
      <c r="AN136" t="str">
        <f>IF(OR(G136="",Participant_Data!E136=""),"",IF(Participant_Data!E136&lt;70,IF(ROUND(G136,1)&lt;18.5,"ขาด/เสี่ยงขาด",IF(ROUND(G136,1)&gt;=25,"เสี่ยงเกิน/เกิน","ปกติ")),IF(ROUND(G136,1)&lt;20,"ขาด/เสี่ยงขาด",IF(ROUND(G136,1)&gt;=25,"เสี่ยงเกิน/เกิน","ปกติ"))))</f>
        <v>เสี่ยงเกิน/เกิน</v>
      </c>
      <c r="AO136" t="str">
        <f>IF(OR(I136="",Participant_Data!G136=""),"",IF(Participant_Data!G136=1,IF(ROUND(I136,1)&lt;15,"ขาด/เสี่ยงขาด",IF(ROUND(I136,1)&gt;25,"เสี่ยงเกิน/เกิน","ปกติ")),IF(ROUND(I136,1)&lt;20,"ขาด/เสี่ยงขาด",IF(ROUND(I136,1)&gt;35,"เสี่ยงเกิน/เกิน","ปกติ"))))</f>
        <v>เสี่ยงเกิน/เกิน</v>
      </c>
      <c r="AP136" t="str">
        <f t="shared" si="5"/>
        <v>เสี่ยงเกิน/เกิน</v>
      </c>
    </row>
    <row r="137" spans="1:42">
      <c r="A137" s="2">
        <f>IF(Participant_Data!A137="","",Participant_Data!A137)</f>
        <v>136</v>
      </c>
      <c r="B137" s="2" t="str">
        <f>IF(Participant_Data!B137="","",Participant_Data!B137)</f>
        <v/>
      </c>
      <c r="C137" s="3" t="str">
        <f>IF(Participant_Data!C137="","",Participant_Data!C137)</f>
        <v/>
      </c>
      <c r="D137" s="5"/>
      <c r="E137" s="5">
        <v>148</v>
      </c>
      <c r="F137" s="5">
        <v>34.85</v>
      </c>
      <c r="G137" s="22">
        <f t="shared" si="4"/>
        <v>15.910336011687365</v>
      </c>
      <c r="H137" s="5">
        <v>7.35</v>
      </c>
      <c r="I137" s="5">
        <v>21.1</v>
      </c>
      <c r="J137" s="5">
        <v>2.5</v>
      </c>
      <c r="K137" s="5">
        <v>26.25</v>
      </c>
      <c r="L137" s="5">
        <v>1.3</v>
      </c>
      <c r="M137" s="5">
        <v>50.8</v>
      </c>
      <c r="N137" s="5">
        <v>766</v>
      </c>
      <c r="O137" s="5">
        <v>1</v>
      </c>
      <c r="P137" s="5">
        <v>1</v>
      </c>
      <c r="Q137" s="5">
        <v>2</v>
      </c>
      <c r="R137" s="5">
        <v>2</v>
      </c>
      <c r="S137" s="5">
        <v>2</v>
      </c>
      <c r="T137" s="5">
        <v>0</v>
      </c>
      <c r="U137" s="2">
        <v>8</v>
      </c>
      <c r="V137" s="2">
        <v>2</v>
      </c>
      <c r="W137" s="5">
        <v>1</v>
      </c>
      <c r="X137" s="5">
        <v>1</v>
      </c>
      <c r="Y137" s="5">
        <v>1</v>
      </c>
      <c r="Z137" s="5">
        <v>2</v>
      </c>
      <c r="AA137" s="5">
        <v>0</v>
      </c>
      <c r="AB137" s="5">
        <v>0</v>
      </c>
      <c r="AC137" s="5">
        <v>0</v>
      </c>
      <c r="AD137" s="5">
        <v>2</v>
      </c>
      <c r="AE137" s="5">
        <v>0</v>
      </c>
      <c r="AF137" s="5">
        <v>1</v>
      </c>
      <c r="AG137" s="5">
        <v>0</v>
      </c>
      <c r="AH137" s="5">
        <v>0</v>
      </c>
      <c r="AI137" s="2">
        <v>8</v>
      </c>
      <c r="AJ137" s="2">
        <v>16</v>
      </c>
      <c r="AK137" s="2">
        <v>3</v>
      </c>
      <c r="AL137" s="2">
        <v>20</v>
      </c>
      <c r="AM137" s="2">
        <v>26</v>
      </c>
      <c r="AN137" t="str">
        <f>IF(OR(G137="",Participant_Data!E137=""),"",IF(Participant_Data!E137&lt;70,IF(ROUND(G137,1)&lt;18.5,"ขาด/เสี่ยงขาด",IF(ROUND(G137,1)&gt;=25,"เสี่ยงเกิน/เกิน","ปกติ")),IF(ROUND(G137,1)&lt;20,"ขาด/เสี่ยงขาด",IF(ROUND(G137,1)&gt;=25,"เสี่ยงเกิน/เกิน","ปกติ"))))</f>
        <v>ขาด/เสี่ยงขาด</v>
      </c>
      <c r="AO137" t="str">
        <f>IF(OR(I137="",Participant_Data!G137=""),"",IF(Participant_Data!G137=1,IF(ROUND(I137,1)&lt;15,"ขาด/เสี่ยงขาด",IF(ROUND(I137,1)&gt;25,"เสี่ยงเกิน/เกิน","ปกติ")),IF(ROUND(I137,1)&lt;20,"ขาด/เสี่ยงขาด",IF(ROUND(I137,1)&gt;35,"เสี่ยงเกิน/เกิน","ปกติ"))))</f>
        <v>ปกติ</v>
      </c>
      <c r="AP137" t="str">
        <f t="shared" si="5"/>
        <v>ขาด/เสี่ยงขาด</v>
      </c>
    </row>
    <row r="138" spans="1:42">
      <c r="A138" s="2">
        <f>IF(Participant_Data!A138="","",Participant_Data!A138)</f>
        <v>137</v>
      </c>
      <c r="B138" s="2" t="str">
        <f>IF(Participant_Data!B138="","",Participant_Data!B138)</f>
        <v/>
      </c>
      <c r="C138" s="3" t="str">
        <f>IF(Participant_Data!C138="","",Participant_Data!C138)</f>
        <v/>
      </c>
      <c r="D138" s="5"/>
      <c r="E138" s="5">
        <v>148</v>
      </c>
      <c r="F138" s="5">
        <v>50.7</v>
      </c>
      <c r="G138" s="22">
        <f t="shared" si="4"/>
        <v>23.14645726807889</v>
      </c>
      <c r="H138" s="5">
        <v>19.52</v>
      </c>
      <c r="I138" s="5">
        <v>38.5</v>
      </c>
      <c r="J138" s="5">
        <v>8</v>
      </c>
      <c r="K138" s="5">
        <v>29.6</v>
      </c>
      <c r="L138" s="5">
        <v>1.6</v>
      </c>
      <c r="M138" s="5">
        <v>39.700000000000003</v>
      </c>
      <c r="N138" s="5">
        <v>918</v>
      </c>
      <c r="O138" s="5">
        <v>2</v>
      </c>
      <c r="P138" s="5">
        <v>3</v>
      </c>
      <c r="Q138" s="5">
        <v>2</v>
      </c>
      <c r="R138" s="5">
        <v>2</v>
      </c>
      <c r="S138" s="5">
        <v>1</v>
      </c>
      <c r="T138" s="5">
        <v>3</v>
      </c>
      <c r="U138" s="2">
        <v>13</v>
      </c>
      <c r="V138" s="2">
        <v>1</v>
      </c>
      <c r="W138" s="5">
        <v>1</v>
      </c>
      <c r="X138" s="5">
        <v>1</v>
      </c>
      <c r="Y138" s="5">
        <v>1</v>
      </c>
      <c r="Z138" s="5">
        <v>2</v>
      </c>
      <c r="AA138" s="5">
        <v>0.5</v>
      </c>
      <c r="AB138" s="5">
        <v>1</v>
      </c>
      <c r="AC138" s="5">
        <v>1</v>
      </c>
      <c r="AD138" s="5">
        <v>2</v>
      </c>
      <c r="AE138" s="5">
        <v>2</v>
      </c>
      <c r="AF138" s="5">
        <v>1</v>
      </c>
      <c r="AG138" s="5">
        <v>1</v>
      </c>
      <c r="AH138" s="5">
        <v>1</v>
      </c>
      <c r="AI138" s="2">
        <v>14.5</v>
      </c>
      <c r="AJ138" s="2">
        <v>27.5</v>
      </c>
      <c r="AK138" s="2">
        <v>1</v>
      </c>
      <c r="AL138" s="2">
        <v>23</v>
      </c>
      <c r="AM138" s="2">
        <v>30.5</v>
      </c>
      <c r="AN138" t="str">
        <f>IF(OR(G138="",Participant_Data!E138=""),"",IF(Participant_Data!E138&lt;70,IF(ROUND(G138,1)&lt;18.5,"ขาด/เสี่ยงขาด",IF(ROUND(G138,1)&gt;=25,"เสี่ยงเกิน/เกิน","ปกติ")),IF(ROUND(G138,1)&lt;20,"ขาด/เสี่ยงขาด",IF(ROUND(G138,1)&gt;=25,"เสี่ยงเกิน/เกิน","ปกติ"))))</f>
        <v>ปกติ</v>
      </c>
      <c r="AO138" t="str">
        <f>IF(OR(I138="",Participant_Data!G138=""),"",IF(Participant_Data!G138=1,IF(ROUND(I138,1)&lt;15,"ขาด/เสี่ยงขาด",IF(ROUND(I138,1)&gt;25,"เสี่ยงเกิน/เกิน","ปกติ")),IF(ROUND(I138,1)&lt;20,"ขาด/เสี่ยงขาด",IF(ROUND(I138,1)&gt;35,"เสี่ยงเกิน/เกิน","ปกติ"))))</f>
        <v>เสี่ยงเกิน/เกิน</v>
      </c>
      <c r="AP138" t="str">
        <f t="shared" si="5"/>
        <v>เสี่ยงเกิน/เกิน</v>
      </c>
    </row>
    <row r="139" spans="1:42">
      <c r="A139" s="2">
        <f>IF(Participant_Data!A139="","",Participant_Data!A139)</f>
        <v>138</v>
      </c>
      <c r="B139" s="2" t="str">
        <f>IF(Participant_Data!B139="","",Participant_Data!B139)</f>
        <v/>
      </c>
      <c r="C139" s="3" t="str">
        <f>IF(Participant_Data!C139="","",Participant_Data!C139)</f>
        <v/>
      </c>
      <c r="D139" s="5"/>
      <c r="E139" s="5">
        <v>151</v>
      </c>
      <c r="F139" s="5">
        <v>52.3</v>
      </c>
      <c r="G139" s="22">
        <f t="shared" si="4"/>
        <v>22.937590456558922</v>
      </c>
      <c r="H139" s="5">
        <v>18.510000000000002</v>
      </c>
      <c r="I139" s="5">
        <v>35.4</v>
      </c>
      <c r="J139" s="5">
        <v>7.5</v>
      </c>
      <c r="K139" s="5">
        <v>32</v>
      </c>
      <c r="L139" s="5">
        <v>1.8</v>
      </c>
      <c r="M139" s="5">
        <v>44.2</v>
      </c>
      <c r="N139" s="5">
        <v>986</v>
      </c>
      <c r="O139" s="5">
        <v>2</v>
      </c>
      <c r="P139" s="5">
        <v>3</v>
      </c>
      <c r="Q139" s="5">
        <v>2</v>
      </c>
      <c r="R139" s="5">
        <v>2</v>
      </c>
      <c r="S139" s="5">
        <v>1</v>
      </c>
      <c r="T139" s="5">
        <v>2</v>
      </c>
      <c r="U139" s="2">
        <v>12</v>
      </c>
      <c r="V139" s="2">
        <v>1</v>
      </c>
      <c r="W139" s="5">
        <v>1</v>
      </c>
      <c r="X139" s="5">
        <v>0</v>
      </c>
      <c r="Y139" s="5">
        <v>1</v>
      </c>
      <c r="Z139" s="5">
        <v>2</v>
      </c>
      <c r="AA139" s="5">
        <v>0.5</v>
      </c>
      <c r="AB139" s="5">
        <v>1</v>
      </c>
      <c r="AC139" s="5">
        <v>1</v>
      </c>
      <c r="AD139" s="5">
        <v>2</v>
      </c>
      <c r="AE139" s="5">
        <v>0</v>
      </c>
      <c r="AF139" s="5">
        <v>1</v>
      </c>
      <c r="AG139" s="5">
        <v>1</v>
      </c>
      <c r="AH139" s="5">
        <v>1</v>
      </c>
      <c r="AI139" s="2">
        <v>11.5</v>
      </c>
      <c r="AJ139" s="2">
        <v>23.5</v>
      </c>
      <c r="AK139" s="2">
        <v>1</v>
      </c>
      <c r="AL139" s="2">
        <v>24</v>
      </c>
      <c r="AM139" s="2">
        <v>33</v>
      </c>
      <c r="AN139" t="str">
        <f>IF(OR(G139="",Participant_Data!E139=""),"",IF(Participant_Data!E139&lt;70,IF(ROUND(G139,1)&lt;18.5,"ขาด/เสี่ยงขาด",IF(ROUND(G139,1)&gt;=25,"เสี่ยงเกิน/เกิน","ปกติ")),IF(ROUND(G139,1)&lt;20,"ขาด/เสี่ยงขาด",IF(ROUND(G139,1)&gt;=25,"เสี่ยงเกิน/เกิน","ปกติ"))))</f>
        <v>ปกติ</v>
      </c>
      <c r="AO139" t="str">
        <f>IF(OR(I139="",Participant_Data!G139=""),"",IF(Participant_Data!G139=1,IF(ROUND(I139,1)&lt;15,"ขาด/เสี่ยงขาด",IF(ROUND(I139,1)&gt;25,"เสี่ยงเกิน/เกิน","ปกติ")),IF(ROUND(I139,1)&lt;20,"ขาด/เสี่ยงขาด",IF(ROUND(I139,1)&gt;35,"เสี่ยงเกิน/เกิน","ปกติ"))))</f>
        <v>เสี่ยงเกิน/เกิน</v>
      </c>
      <c r="AP139" t="str">
        <f t="shared" si="5"/>
        <v>เสี่ยงเกิน/เกิน</v>
      </c>
    </row>
    <row r="140" spans="1:42">
      <c r="A140" s="2">
        <f>IF(Participant_Data!A140="","",Participant_Data!A140)</f>
        <v>139</v>
      </c>
      <c r="B140" s="2" t="str">
        <f>IF(Participant_Data!B140="","",Participant_Data!B140)</f>
        <v/>
      </c>
      <c r="C140" s="3" t="str">
        <f>IF(Participant_Data!C140="","",Participant_Data!C140)</f>
        <v/>
      </c>
      <c r="D140" s="5"/>
      <c r="E140" s="5">
        <v>150</v>
      </c>
      <c r="F140" s="5">
        <v>56.85</v>
      </c>
      <c r="G140" s="22">
        <f t="shared" si="4"/>
        <v>25.266666666666666</v>
      </c>
      <c r="H140" s="5">
        <v>20.12</v>
      </c>
      <c r="I140" s="5">
        <v>35.4</v>
      </c>
      <c r="J140" s="5">
        <v>9</v>
      </c>
      <c r="K140" s="5">
        <v>34.65</v>
      </c>
      <c r="L140" s="5">
        <v>2.1</v>
      </c>
      <c r="M140" s="5">
        <v>44.7</v>
      </c>
      <c r="N140" s="5">
        <v>1067</v>
      </c>
      <c r="O140" s="5">
        <v>2</v>
      </c>
      <c r="P140" s="5">
        <v>3</v>
      </c>
      <c r="Q140" s="5">
        <v>2</v>
      </c>
      <c r="R140" s="5">
        <v>2</v>
      </c>
      <c r="S140" s="5">
        <v>1</v>
      </c>
      <c r="T140" s="5">
        <v>3</v>
      </c>
      <c r="U140" s="2">
        <v>13</v>
      </c>
      <c r="V140" s="2">
        <v>1</v>
      </c>
      <c r="W140" s="5">
        <v>1</v>
      </c>
      <c r="X140" s="5">
        <v>1</v>
      </c>
      <c r="Y140" s="5">
        <v>1</v>
      </c>
      <c r="Z140" s="5">
        <v>0</v>
      </c>
      <c r="AA140" s="5">
        <v>1</v>
      </c>
      <c r="AB140" s="5">
        <v>0</v>
      </c>
      <c r="AC140" s="5">
        <v>1</v>
      </c>
      <c r="AD140" s="5">
        <v>2</v>
      </c>
      <c r="AE140" s="5">
        <v>2</v>
      </c>
      <c r="AF140" s="5">
        <v>2</v>
      </c>
      <c r="AG140" s="5">
        <v>1</v>
      </c>
      <c r="AH140" s="5">
        <v>1</v>
      </c>
      <c r="AI140" s="2">
        <v>13</v>
      </c>
      <c r="AJ140" s="2">
        <v>26</v>
      </c>
      <c r="AK140" s="2">
        <v>1</v>
      </c>
      <c r="AL140" s="2">
        <v>28</v>
      </c>
      <c r="AM140" s="2">
        <v>37.4</v>
      </c>
      <c r="AN140" t="str">
        <f>IF(OR(G140="",Participant_Data!E140=""),"",IF(Participant_Data!E140&lt;70,IF(ROUND(G140,1)&lt;18.5,"ขาด/เสี่ยงขาด",IF(ROUND(G140,1)&gt;=25,"เสี่ยงเกิน/เกิน","ปกติ")),IF(ROUND(G140,1)&lt;20,"ขาด/เสี่ยงขาด",IF(ROUND(G140,1)&gt;=25,"เสี่ยงเกิน/เกิน","ปกติ"))))</f>
        <v>เสี่ยงเกิน/เกิน</v>
      </c>
      <c r="AO140" t="str">
        <f>IF(OR(I140="",Participant_Data!G140=""),"",IF(Participant_Data!G140=1,IF(ROUND(I140,1)&lt;15,"ขาด/เสี่ยงขาด",IF(ROUND(I140,1)&gt;25,"เสี่ยงเกิน/เกิน","ปกติ")),IF(ROUND(I140,1)&lt;20,"ขาด/เสี่ยงขาด",IF(ROUND(I140,1)&gt;35,"เสี่ยงเกิน/เกิน","ปกติ"))))</f>
        <v>เสี่ยงเกิน/เกิน</v>
      </c>
      <c r="AP140" t="str">
        <f t="shared" si="5"/>
        <v>เสี่ยงเกิน/เกิน</v>
      </c>
    </row>
    <row r="141" spans="1:42">
      <c r="A141" s="2">
        <f>IF(Participant_Data!A141="","",Participant_Data!A141)</f>
        <v>140</v>
      </c>
      <c r="B141" s="2" t="str">
        <f>IF(Participant_Data!B141="","",Participant_Data!B141)</f>
        <v/>
      </c>
      <c r="C141" s="3" t="str">
        <f>IF(Participant_Data!C141="","",Participant_Data!C141)</f>
        <v/>
      </c>
      <c r="D141" s="5"/>
      <c r="E141" s="5">
        <v>162</v>
      </c>
      <c r="F141" s="5">
        <v>66.8</v>
      </c>
      <c r="G141" s="22">
        <f t="shared" si="4"/>
        <v>25.453436976070716</v>
      </c>
      <c r="H141" s="5">
        <v>16.09</v>
      </c>
      <c r="I141" s="5">
        <v>24.1</v>
      </c>
      <c r="J141" s="5">
        <v>17.5</v>
      </c>
      <c r="K141" s="5">
        <v>48.1</v>
      </c>
      <c r="L141" s="5">
        <v>2.6</v>
      </c>
      <c r="M141" s="5">
        <v>51.3</v>
      </c>
      <c r="N141" s="5">
        <v>1366</v>
      </c>
      <c r="O141" s="5">
        <v>2</v>
      </c>
      <c r="P141" s="5">
        <v>3</v>
      </c>
      <c r="Q141" s="5">
        <v>1</v>
      </c>
      <c r="R141" s="5">
        <v>2</v>
      </c>
      <c r="S141" s="5">
        <v>1</v>
      </c>
      <c r="T141" s="5">
        <v>3</v>
      </c>
      <c r="U141" s="2">
        <v>12</v>
      </c>
      <c r="V141" s="2">
        <v>1</v>
      </c>
      <c r="W141" s="5">
        <v>1</v>
      </c>
      <c r="X141" s="5">
        <v>1</v>
      </c>
      <c r="Y141" s="5">
        <v>1</v>
      </c>
      <c r="Z141" s="5">
        <v>0</v>
      </c>
      <c r="AA141" s="5">
        <v>1</v>
      </c>
      <c r="AB141" s="5">
        <v>1</v>
      </c>
      <c r="AC141" s="5">
        <v>1</v>
      </c>
      <c r="AD141" s="5">
        <v>2</v>
      </c>
      <c r="AE141" s="5">
        <v>2</v>
      </c>
      <c r="AF141" s="5">
        <v>2</v>
      </c>
      <c r="AG141" s="5">
        <v>1</v>
      </c>
      <c r="AH141" s="5">
        <v>1</v>
      </c>
      <c r="AI141" s="2">
        <v>14</v>
      </c>
      <c r="AJ141" s="2">
        <v>26</v>
      </c>
      <c r="AK141" s="2">
        <v>1</v>
      </c>
      <c r="AL141" s="2">
        <v>26.3</v>
      </c>
      <c r="AM141" s="2">
        <v>37</v>
      </c>
      <c r="AN141" t="str">
        <f>IF(OR(G141="",Participant_Data!E141=""),"",IF(Participant_Data!E141&lt;70,IF(ROUND(G141,1)&lt;18.5,"ขาด/เสี่ยงขาด",IF(ROUND(G141,1)&gt;=25,"เสี่ยงเกิน/เกิน","ปกติ")),IF(ROUND(G141,1)&lt;20,"ขาด/เสี่ยงขาด",IF(ROUND(G141,1)&gt;=25,"เสี่ยงเกิน/เกิน","ปกติ"))))</f>
        <v>เสี่ยงเกิน/เกิน</v>
      </c>
      <c r="AO141" t="str">
        <f>IF(OR(I141="",Participant_Data!G141=""),"",IF(Participant_Data!G141=1,IF(ROUND(I141,1)&lt;15,"ขาด/เสี่ยงขาด",IF(ROUND(I141,1)&gt;25,"เสี่ยงเกิน/เกิน","ปกติ")),IF(ROUND(I141,1)&lt;20,"ขาด/เสี่ยงขาด",IF(ROUND(I141,1)&gt;35,"เสี่ยงเกิน/เกิน","ปกติ"))))</f>
        <v>ปกติ</v>
      </c>
      <c r="AP141" t="str">
        <f t="shared" si="5"/>
        <v>เสี่ยงเกิน/เกิน</v>
      </c>
    </row>
    <row r="142" spans="1:42">
      <c r="A142" s="2">
        <f>IF(Participant_Data!A142="","",Participant_Data!A142)</f>
        <v>141</v>
      </c>
      <c r="B142" s="2" t="str">
        <f>IF(Participant_Data!B142="","",Participant_Data!B142)</f>
        <v/>
      </c>
      <c r="C142" s="3" t="str">
        <f>IF(Participant_Data!C142="","",Participant_Data!C142)</f>
        <v/>
      </c>
      <c r="D142" s="5"/>
      <c r="E142" s="5">
        <v>145</v>
      </c>
      <c r="F142" s="5">
        <v>68.849999999999994</v>
      </c>
      <c r="G142" s="22">
        <f t="shared" si="4"/>
        <v>32.74673008323424</v>
      </c>
      <c r="H142" s="5">
        <v>31.03</v>
      </c>
      <c r="I142" s="5">
        <v>45.2</v>
      </c>
      <c r="J142" s="5">
        <v>12.5</v>
      </c>
      <c r="K142" s="5">
        <v>35.5</v>
      </c>
      <c r="L142" s="5">
        <v>2.1</v>
      </c>
      <c r="M142" s="5">
        <v>34</v>
      </c>
      <c r="N142" s="5">
        <v>1151</v>
      </c>
      <c r="O142" s="5">
        <v>2</v>
      </c>
      <c r="P142" s="5">
        <v>2</v>
      </c>
      <c r="Q142" s="5">
        <v>2</v>
      </c>
      <c r="R142" s="5">
        <v>2</v>
      </c>
      <c r="S142" s="5">
        <v>2</v>
      </c>
      <c r="T142" s="5">
        <v>3</v>
      </c>
      <c r="U142" s="2">
        <v>13</v>
      </c>
      <c r="V142" s="2">
        <v>1</v>
      </c>
      <c r="W142" s="5">
        <v>1</v>
      </c>
      <c r="X142" s="5">
        <v>1</v>
      </c>
      <c r="Y142" s="5">
        <v>1</v>
      </c>
      <c r="Z142" s="5">
        <v>2</v>
      </c>
      <c r="AA142" s="5">
        <v>0</v>
      </c>
      <c r="AB142" s="5">
        <v>1</v>
      </c>
      <c r="AC142" s="5">
        <v>1</v>
      </c>
      <c r="AD142" s="5">
        <v>2</v>
      </c>
      <c r="AE142" s="5">
        <v>2</v>
      </c>
      <c r="AF142" s="5">
        <v>1</v>
      </c>
      <c r="AG142" s="5">
        <v>1</v>
      </c>
      <c r="AH142" s="5">
        <v>1</v>
      </c>
      <c r="AI142" s="2">
        <v>14</v>
      </c>
      <c r="AJ142" s="2">
        <v>27</v>
      </c>
      <c r="AK142" s="2">
        <v>1</v>
      </c>
      <c r="AL142" s="2">
        <v>29.5</v>
      </c>
      <c r="AM142" s="2">
        <v>34</v>
      </c>
      <c r="AN142" t="str">
        <f>IF(OR(G142="",Participant_Data!E142=""),"",IF(Participant_Data!E142&lt;70,IF(ROUND(G142,1)&lt;18.5,"ขาด/เสี่ยงขาด",IF(ROUND(G142,1)&gt;=25,"เสี่ยงเกิน/เกิน","ปกติ")),IF(ROUND(G142,1)&lt;20,"ขาด/เสี่ยงขาด",IF(ROUND(G142,1)&gt;=25,"เสี่ยงเกิน/เกิน","ปกติ"))))</f>
        <v>เสี่ยงเกิน/เกิน</v>
      </c>
      <c r="AO142" t="str">
        <f>IF(OR(I142="",Participant_Data!G142=""),"",IF(Participant_Data!G142=1,IF(ROUND(I142,1)&lt;15,"ขาด/เสี่ยงขาด",IF(ROUND(I142,1)&gt;25,"เสี่ยงเกิน/เกิน","ปกติ")),IF(ROUND(I142,1)&lt;20,"ขาด/เสี่ยงขาด",IF(ROUND(I142,1)&gt;35,"เสี่ยงเกิน/เกิน","ปกติ"))))</f>
        <v>เสี่ยงเกิน/เกิน</v>
      </c>
      <c r="AP142" t="str">
        <f t="shared" si="5"/>
        <v>เสี่ยงเกิน/เกิน</v>
      </c>
    </row>
    <row r="143" spans="1:42">
      <c r="A143" s="2">
        <f>IF(Participant_Data!A143="","",Participant_Data!A143)</f>
        <v>142</v>
      </c>
      <c r="B143" s="2" t="str">
        <f>IF(Participant_Data!B143="","",Participant_Data!B143)</f>
        <v/>
      </c>
      <c r="C143" s="3" t="str">
        <f>IF(Participant_Data!C143="","",Participant_Data!C143)</f>
        <v/>
      </c>
      <c r="D143" s="5"/>
      <c r="E143" s="5">
        <v>144</v>
      </c>
      <c r="F143" s="5">
        <v>55.15</v>
      </c>
      <c r="G143" s="22">
        <f t="shared" si="4"/>
        <v>26.596257716049383</v>
      </c>
      <c r="H143" s="5">
        <v>21.39</v>
      </c>
      <c r="I143" s="5">
        <v>38.799999999999997</v>
      </c>
      <c r="J143" s="5">
        <v>9.5</v>
      </c>
      <c r="K143" s="5">
        <v>32</v>
      </c>
      <c r="L143" s="5">
        <v>1.8</v>
      </c>
      <c r="M143" s="5">
        <v>46.1</v>
      </c>
      <c r="N143" s="5">
        <v>998</v>
      </c>
      <c r="O143" s="5">
        <v>2</v>
      </c>
      <c r="P143" s="5">
        <v>3</v>
      </c>
      <c r="Q143" s="5">
        <v>2</v>
      </c>
      <c r="R143" s="5">
        <v>2</v>
      </c>
      <c r="S143" s="5">
        <v>1</v>
      </c>
      <c r="T143" s="5">
        <v>3</v>
      </c>
      <c r="U143" s="2">
        <v>13</v>
      </c>
      <c r="V143" s="2">
        <v>1</v>
      </c>
      <c r="W143" s="5">
        <v>1</v>
      </c>
      <c r="X143" s="5">
        <v>1</v>
      </c>
      <c r="Y143" s="5">
        <v>1</v>
      </c>
      <c r="Z143" s="5">
        <v>2</v>
      </c>
      <c r="AA143" s="5">
        <v>0.5</v>
      </c>
      <c r="AB143" s="5">
        <v>1</v>
      </c>
      <c r="AC143" s="5">
        <v>1</v>
      </c>
      <c r="AD143" s="5">
        <v>2</v>
      </c>
      <c r="AE143" s="5">
        <v>1</v>
      </c>
      <c r="AF143" s="5">
        <v>2</v>
      </c>
      <c r="AG143" s="5">
        <v>1</v>
      </c>
      <c r="AH143" s="5">
        <v>1</v>
      </c>
      <c r="AI143" s="2">
        <v>14.5</v>
      </c>
      <c r="AJ143" s="2">
        <v>27.5</v>
      </c>
      <c r="AK143" s="2">
        <v>1</v>
      </c>
      <c r="AL143" s="2">
        <v>28.5</v>
      </c>
      <c r="AM143" s="2">
        <v>33.5</v>
      </c>
      <c r="AN143" t="str">
        <f>IF(OR(G143="",Participant_Data!E143=""),"",IF(Participant_Data!E143&lt;70,IF(ROUND(G143,1)&lt;18.5,"ขาด/เสี่ยงขาด",IF(ROUND(G143,1)&gt;=25,"เสี่ยงเกิน/เกิน","ปกติ")),IF(ROUND(G143,1)&lt;20,"ขาด/เสี่ยงขาด",IF(ROUND(G143,1)&gt;=25,"เสี่ยงเกิน/เกิน","ปกติ"))))</f>
        <v>เสี่ยงเกิน/เกิน</v>
      </c>
      <c r="AO143" t="str">
        <f>IF(OR(I143="",Participant_Data!G143=""),"",IF(Participant_Data!G143=1,IF(ROUND(I143,1)&lt;15,"ขาด/เสี่ยงขาด",IF(ROUND(I143,1)&gt;25,"เสี่ยงเกิน/เกิน","ปกติ")),IF(ROUND(I143,1)&lt;20,"ขาด/เสี่ยงขาด",IF(ROUND(I143,1)&gt;35,"เสี่ยงเกิน/เกิน","ปกติ"))))</f>
        <v>เสี่ยงเกิน/เกิน</v>
      </c>
      <c r="AP143" t="str">
        <f t="shared" si="5"/>
        <v>เสี่ยงเกิน/เกิน</v>
      </c>
    </row>
    <row r="144" spans="1:42">
      <c r="A144" s="2">
        <f>IF(Participant_Data!A144="","",Participant_Data!A144)</f>
        <v>143</v>
      </c>
      <c r="B144" s="2" t="str">
        <f>IF(Participant_Data!B144="","",Participant_Data!B144)</f>
        <v/>
      </c>
      <c r="C144" s="3" t="str">
        <f>IF(Participant_Data!C144="","",Participant_Data!C144)</f>
        <v/>
      </c>
      <c r="D144" s="5"/>
      <c r="E144" s="5">
        <v>167</v>
      </c>
      <c r="F144" s="5">
        <v>46.9</v>
      </c>
      <c r="G144" s="22">
        <f t="shared" si="4"/>
        <v>16.816666069059487</v>
      </c>
      <c r="H144" s="5">
        <v>7.5</v>
      </c>
      <c r="I144" s="5">
        <v>16</v>
      </c>
      <c r="J144" s="5">
        <v>7.5</v>
      </c>
      <c r="K144" s="5">
        <v>37.35</v>
      </c>
      <c r="L144" s="5">
        <v>2.1</v>
      </c>
      <c r="M144" s="5">
        <v>46.7</v>
      </c>
      <c r="N144" s="5">
        <v>1040</v>
      </c>
      <c r="O144" s="5">
        <v>2</v>
      </c>
      <c r="P144" s="5">
        <v>2</v>
      </c>
      <c r="Q144" s="5">
        <v>2</v>
      </c>
      <c r="R144" s="5">
        <v>2</v>
      </c>
      <c r="S144" s="5">
        <v>1</v>
      </c>
      <c r="T144" s="5">
        <v>0</v>
      </c>
      <c r="U144" s="2">
        <v>9</v>
      </c>
      <c r="V144" s="2">
        <v>2</v>
      </c>
      <c r="W144" s="5">
        <v>1</v>
      </c>
      <c r="X144" s="5">
        <v>1</v>
      </c>
      <c r="Y144" s="5">
        <v>1</v>
      </c>
      <c r="Z144" s="5">
        <v>2</v>
      </c>
      <c r="AA144" s="5">
        <v>0.5</v>
      </c>
      <c r="AB144" s="5">
        <v>0</v>
      </c>
      <c r="AC144" s="5">
        <v>1</v>
      </c>
      <c r="AD144" s="5">
        <v>2</v>
      </c>
      <c r="AE144" s="5">
        <v>2</v>
      </c>
      <c r="AF144" s="5">
        <v>2</v>
      </c>
      <c r="AG144" s="5">
        <v>1</v>
      </c>
      <c r="AH144" s="5">
        <v>0</v>
      </c>
      <c r="AI144" s="2">
        <v>13.5</v>
      </c>
      <c r="AJ144" s="2">
        <v>22.5</v>
      </c>
      <c r="AK144" s="2">
        <v>2</v>
      </c>
      <c r="AL144" s="2">
        <v>22.5</v>
      </c>
      <c r="AM144" s="2">
        <v>27.2</v>
      </c>
      <c r="AN144" t="str">
        <f>IF(OR(G144="",Participant_Data!E144=""),"",IF(Participant_Data!E144&lt;70,IF(ROUND(G144,1)&lt;18.5,"ขาด/เสี่ยงขาด",IF(ROUND(G144,1)&gt;=25,"เสี่ยงเกิน/เกิน","ปกติ")),IF(ROUND(G144,1)&lt;20,"ขาด/เสี่ยงขาด",IF(ROUND(G144,1)&gt;=25,"เสี่ยงเกิน/เกิน","ปกติ"))))</f>
        <v>ขาด/เสี่ยงขาด</v>
      </c>
      <c r="AO144" t="str">
        <f>IF(OR(I144="",Participant_Data!G144=""),"",IF(Participant_Data!G144=1,IF(ROUND(I144,1)&lt;15,"ขาด/เสี่ยงขาด",IF(ROUND(I144,1)&gt;25,"เสี่ยงเกิน/เกิน","ปกติ")),IF(ROUND(I144,1)&lt;20,"ขาด/เสี่ยงขาด",IF(ROUND(I144,1)&gt;35,"เสี่ยงเกิน/เกิน","ปกติ"))))</f>
        <v>ปกติ</v>
      </c>
      <c r="AP144" t="str">
        <f t="shared" si="5"/>
        <v>ขาด/เสี่ยงขาด</v>
      </c>
    </row>
    <row r="145" spans="1:42">
      <c r="A145" s="2">
        <f>IF(Participant_Data!A145="","",Participant_Data!A145)</f>
        <v>144</v>
      </c>
      <c r="B145" s="2" t="str">
        <f>IF(Participant_Data!B145="","",Participant_Data!B145)</f>
        <v/>
      </c>
      <c r="C145" s="3" t="str">
        <f>IF(Participant_Data!C145="","",Participant_Data!C145)</f>
        <v/>
      </c>
      <c r="D145" s="5"/>
      <c r="E145" s="5">
        <v>170</v>
      </c>
      <c r="F145" s="5">
        <v>82.45</v>
      </c>
      <c r="G145" s="22">
        <f t="shared" si="4"/>
        <v>28.529411764705888</v>
      </c>
      <c r="H145" s="5">
        <v>21.27</v>
      </c>
      <c r="I145" s="5">
        <v>25.8</v>
      </c>
      <c r="J145" s="5">
        <v>19.5</v>
      </c>
      <c r="K145" s="5">
        <v>58.05</v>
      </c>
      <c r="L145" s="5">
        <v>3.2</v>
      </c>
      <c r="M145" s="5">
        <v>40.1</v>
      </c>
      <c r="N145" s="5">
        <v>1689</v>
      </c>
      <c r="O145" s="5">
        <v>2</v>
      </c>
      <c r="P145" s="5">
        <v>3</v>
      </c>
      <c r="Q145" s="5">
        <v>2</v>
      </c>
      <c r="R145" s="5">
        <v>2</v>
      </c>
      <c r="S145" s="5">
        <v>2</v>
      </c>
      <c r="T145" s="5">
        <v>3</v>
      </c>
      <c r="U145" s="2">
        <v>14</v>
      </c>
      <c r="V145" s="2">
        <v>1</v>
      </c>
      <c r="W145" s="5">
        <v>1</v>
      </c>
      <c r="X145" s="5">
        <v>1</v>
      </c>
      <c r="Y145" s="5">
        <v>1</v>
      </c>
      <c r="Z145" s="5">
        <v>2</v>
      </c>
      <c r="AA145" s="5">
        <v>0.5</v>
      </c>
      <c r="AB145" s="5">
        <v>1</v>
      </c>
      <c r="AC145" s="5">
        <v>1</v>
      </c>
      <c r="AD145" s="5">
        <v>2</v>
      </c>
      <c r="AE145" s="5">
        <v>1</v>
      </c>
      <c r="AF145" s="5">
        <v>1</v>
      </c>
      <c r="AG145" s="5">
        <v>1</v>
      </c>
      <c r="AH145" s="5">
        <v>1</v>
      </c>
      <c r="AI145" s="2">
        <v>13.5</v>
      </c>
      <c r="AJ145" s="2">
        <v>27.5</v>
      </c>
      <c r="AK145" s="2">
        <v>1</v>
      </c>
      <c r="AL145" s="2">
        <v>27</v>
      </c>
      <c r="AM145" s="2">
        <v>39.799999999999997</v>
      </c>
      <c r="AN145" t="str">
        <f>IF(OR(G145="",Participant_Data!E145=""),"",IF(Participant_Data!E145&lt;70,IF(ROUND(G145,1)&lt;18.5,"ขาด/เสี่ยงขาด",IF(ROUND(G145,1)&gt;=25,"เสี่ยงเกิน/เกิน","ปกติ")),IF(ROUND(G145,1)&lt;20,"ขาด/เสี่ยงขาด",IF(ROUND(G145,1)&gt;=25,"เสี่ยงเกิน/เกิน","ปกติ"))))</f>
        <v>เสี่ยงเกิน/เกิน</v>
      </c>
      <c r="AO145" t="str">
        <f>IF(OR(I145="",Participant_Data!G145=""),"",IF(Participant_Data!G145=1,IF(ROUND(I145,1)&lt;15,"ขาด/เสี่ยงขาด",IF(ROUND(I145,1)&gt;25,"เสี่ยงเกิน/เกิน","ปกติ")),IF(ROUND(I145,1)&lt;20,"ขาด/เสี่ยงขาด",IF(ROUND(I145,1)&gt;35,"เสี่ยงเกิน/เกิน","ปกติ"))))</f>
        <v>ปกติ</v>
      </c>
      <c r="AP145" t="str">
        <f t="shared" si="5"/>
        <v>เสี่ยงเกิน/เกิน</v>
      </c>
    </row>
    <row r="146" spans="1:42">
      <c r="A146" s="2">
        <f>IF(Participant_Data!A146="","",Participant_Data!A146)</f>
        <v>145</v>
      </c>
      <c r="B146" s="2" t="str">
        <f>IF(Participant_Data!B146="","",Participant_Data!B146)</f>
        <v/>
      </c>
      <c r="C146" s="3" t="str">
        <f>IF(Participant_Data!C146="","",Participant_Data!C146)</f>
        <v/>
      </c>
      <c r="D146" s="5"/>
      <c r="E146" s="5">
        <v>149</v>
      </c>
      <c r="F146" s="5">
        <v>45.15</v>
      </c>
      <c r="G146" s="22">
        <f t="shared" si="4"/>
        <v>20.336921760281069</v>
      </c>
      <c r="H146" s="5">
        <v>11.29</v>
      </c>
      <c r="I146" s="5">
        <v>25</v>
      </c>
      <c r="J146" s="5">
        <v>6</v>
      </c>
      <c r="K146" s="5">
        <v>32.049999999999997</v>
      </c>
      <c r="L146" s="5">
        <v>1.8</v>
      </c>
      <c r="M146" s="5">
        <v>54.5</v>
      </c>
      <c r="N146" s="5">
        <v>945</v>
      </c>
      <c r="O146" s="5">
        <v>2</v>
      </c>
      <c r="P146" s="5">
        <v>3</v>
      </c>
      <c r="Q146" s="5">
        <v>2</v>
      </c>
      <c r="R146" s="5">
        <v>2</v>
      </c>
      <c r="S146" s="5">
        <v>1</v>
      </c>
      <c r="T146" s="5">
        <v>1</v>
      </c>
      <c r="U146" s="2">
        <v>11</v>
      </c>
      <c r="V146" s="2">
        <v>2</v>
      </c>
      <c r="W146" s="5">
        <v>1</v>
      </c>
      <c r="X146" s="5">
        <v>1</v>
      </c>
      <c r="Y146" s="5">
        <v>1</v>
      </c>
      <c r="Z146" s="5">
        <v>2</v>
      </c>
      <c r="AA146" s="5">
        <v>0.5</v>
      </c>
      <c r="AB146" s="5">
        <v>0</v>
      </c>
      <c r="AC146" s="5">
        <v>1</v>
      </c>
      <c r="AD146" s="5">
        <v>2</v>
      </c>
      <c r="AE146" s="5">
        <v>0</v>
      </c>
      <c r="AF146" s="5">
        <v>1</v>
      </c>
      <c r="AG146" s="5">
        <v>1</v>
      </c>
      <c r="AH146" s="5">
        <v>1</v>
      </c>
      <c r="AI146" s="2">
        <v>11.5</v>
      </c>
      <c r="AJ146" s="2">
        <v>22.5</v>
      </c>
      <c r="AK146" s="2">
        <v>2</v>
      </c>
      <c r="AL146" s="2">
        <v>24</v>
      </c>
      <c r="AM146" s="2">
        <v>32.4</v>
      </c>
      <c r="AN146" t="str">
        <f>IF(OR(G146="",Participant_Data!E146=""),"",IF(Participant_Data!E146&lt;70,IF(ROUND(G146,1)&lt;18.5,"ขาด/เสี่ยงขาด",IF(ROUND(G146,1)&gt;=25,"เสี่ยงเกิน/เกิน","ปกติ")),IF(ROUND(G146,1)&lt;20,"ขาด/เสี่ยงขาด",IF(ROUND(G146,1)&gt;=25,"เสี่ยงเกิน/เกิน","ปกติ"))))</f>
        <v>ปกติ</v>
      </c>
      <c r="AO146" t="str">
        <f>IF(OR(I146="",Participant_Data!G146=""),"",IF(Participant_Data!G146=1,IF(ROUND(I146,1)&lt;15,"ขาด/เสี่ยงขาด",IF(ROUND(I146,1)&gt;25,"เสี่ยงเกิน/เกิน","ปกติ")),IF(ROUND(I146,1)&lt;20,"ขาด/เสี่ยงขาด",IF(ROUND(I146,1)&gt;35,"เสี่ยงเกิน/เกิน","ปกติ"))))</f>
        <v>ปกติ</v>
      </c>
      <c r="AP146" t="str">
        <f t="shared" si="5"/>
        <v>ปกติ</v>
      </c>
    </row>
    <row r="147" spans="1:42">
      <c r="A147" s="2">
        <f>IF(Participant_Data!A147="","",Participant_Data!A147)</f>
        <v>146</v>
      </c>
      <c r="B147" s="2" t="str">
        <f>IF(Participant_Data!B147="","",Participant_Data!B147)</f>
        <v/>
      </c>
      <c r="C147" s="3" t="str">
        <f>IF(Participant_Data!C147="","",Participant_Data!C147)</f>
        <v/>
      </c>
      <c r="D147" s="5"/>
      <c r="E147" s="5">
        <v>147</v>
      </c>
      <c r="F147" s="5">
        <v>39.25</v>
      </c>
      <c r="G147" s="22">
        <f t="shared" si="4"/>
        <v>18.163728076264523</v>
      </c>
      <c r="H147" s="5">
        <v>12.13</v>
      </c>
      <c r="I147" s="5">
        <v>30.9</v>
      </c>
      <c r="J147" s="5">
        <v>5.5</v>
      </c>
      <c r="K147" s="5">
        <v>25.9</v>
      </c>
      <c r="L147" s="5">
        <v>1.2</v>
      </c>
      <c r="M147" s="5">
        <v>39.5</v>
      </c>
      <c r="N147" s="5">
        <v>778</v>
      </c>
      <c r="O147" s="5">
        <v>2</v>
      </c>
      <c r="P147" s="5">
        <v>0</v>
      </c>
      <c r="Q147" s="5">
        <v>2</v>
      </c>
      <c r="R147" s="5">
        <v>2</v>
      </c>
      <c r="S147" s="5">
        <v>2</v>
      </c>
      <c r="T147" s="5">
        <v>0</v>
      </c>
      <c r="U147" s="2">
        <v>8</v>
      </c>
      <c r="V147" s="2">
        <v>2</v>
      </c>
      <c r="W147" s="5">
        <v>1</v>
      </c>
      <c r="X147" s="5">
        <v>1</v>
      </c>
      <c r="Y147" s="5">
        <v>1</v>
      </c>
      <c r="Z147" s="5">
        <v>2</v>
      </c>
      <c r="AA147" s="5">
        <v>0.5</v>
      </c>
      <c r="AB147" s="5">
        <v>1</v>
      </c>
      <c r="AC147" s="5">
        <v>1</v>
      </c>
      <c r="AD147" s="5">
        <v>2</v>
      </c>
      <c r="AE147" s="5">
        <v>2</v>
      </c>
      <c r="AF147" s="5">
        <v>1</v>
      </c>
      <c r="AG147" s="5">
        <v>0.5</v>
      </c>
      <c r="AH147" s="5">
        <v>0</v>
      </c>
      <c r="AI147" s="2">
        <v>13</v>
      </c>
      <c r="AJ147" s="2">
        <v>21</v>
      </c>
      <c r="AK147" s="2">
        <v>2</v>
      </c>
      <c r="AL147" s="2">
        <v>21</v>
      </c>
      <c r="AM147" s="2">
        <v>26.5</v>
      </c>
      <c r="AN147" t="str">
        <f>IF(OR(G147="",Participant_Data!E147=""),"",IF(Participant_Data!E147&lt;70,IF(ROUND(G147,1)&lt;18.5,"ขาด/เสี่ยงขาด",IF(ROUND(G147,1)&gt;=25,"เสี่ยงเกิน/เกิน","ปกติ")),IF(ROUND(G147,1)&lt;20,"ขาด/เสี่ยงขาด",IF(ROUND(G147,1)&gt;=25,"เสี่ยงเกิน/เกิน","ปกติ"))))</f>
        <v>ขาด/เสี่ยงขาด</v>
      </c>
      <c r="AO147" t="str">
        <f>IF(OR(I147="",Participant_Data!G147=""),"",IF(Participant_Data!G147=1,IF(ROUND(I147,1)&lt;15,"ขาด/เสี่ยงขาด",IF(ROUND(I147,1)&gt;25,"เสี่ยงเกิน/เกิน","ปกติ")),IF(ROUND(I147,1)&lt;20,"ขาด/เสี่ยงขาด",IF(ROUND(I147,1)&gt;35,"เสี่ยงเกิน/เกิน","ปกติ"))))</f>
        <v>ปกติ</v>
      </c>
      <c r="AP147" t="str">
        <f t="shared" si="5"/>
        <v>ขาด/เสี่ยงขาด</v>
      </c>
    </row>
    <row r="148" spans="1:42">
      <c r="A148" s="2">
        <f>IF(Participant_Data!A148="","",Participant_Data!A148)</f>
        <v>147</v>
      </c>
      <c r="B148" s="2" t="str">
        <f>IF(Participant_Data!B148="","",Participant_Data!B148)</f>
        <v/>
      </c>
      <c r="C148" s="3" t="str">
        <f>IF(Participant_Data!C148="","",Participant_Data!C148)</f>
        <v/>
      </c>
      <c r="D148" s="5"/>
      <c r="E148" s="5">
        <v>150</v>
      </c>
      <c r="F148" s="5">
        <v>56.05</v>
      </c>
      <c r="G148" s="22">
        <f t="shared" si="4"/>
        <v>24.911111111111111</v>
      </c>
      <c r="H148" s="5">
        <v>19.73</v>
      </c>
      <c r="I148" s="5">
        <v>35.200000000000003</v>
      </c>
      <c r="J148" s="5">
        <v>8.5</v>
      </c>
      <c r="K148" s="5">
        <v>34.299999999999997</v>
      </c>
      <c r="L148" s="5">
        <v>2</v>
      </c>
      <c r="M148" s="5">
        <v>46.1</v>
      </c>
      <c r="N148" s="5">
        <v>1057</v>
      </c>
      <c r="O148" s="5">
        <v>2</v>
      </c>
      <c r="P148" s="5">
        <v>3</v>
      </c>
      <c r="Q148" s="5">
        <v>2</v>
      </c>
      <c r="R148" s="5">
        <v>2</v>
      </c>
      <c r="S148" s="5">
        <v>0</v>
      </c>
      <c r="T148" s="5">
        <v>3</v>
      </c>
      <c r="U148" s="2">
        <v>12</v>
      </c>
      <c r="V148" s="2">
        <v>1</v>
      </c>
      <c r="W148" s="5">
        <v>1</v>
      </c>
      <c r="X148" s="5">
        <v>1</v>
      </c>
      <c r="Y148" s="5">
        <v>1</v>
      </c>
      <c r="Z148" s="5">
        <v>1</v>
      </c>
      <c r="AA148" s="5">
        <v>0.5</v>
      </c>
      <c r="AB148" s="5">
        <v>1</v>
      </c>
      <c r="AC148" s="5">
        <v>1</v>
      </c>
      <c r="AD148" s="5">
        <v>2</v>
      </c>
      <c r="AE148" s="5">
        <v>2</v>
      </c>
      <c r="AF148" s="5">
        <v>2</v>
      </c>
      <c r="AG148" s="5">
        <v>1</v>
      </c>
      <c r="AH148" s="5">
        <v>1</v>
      </c>
      <c r="AI148" s="2">
        <v>14.5</v>
      </c>
      <c r="AJ148" s="2">
        <v>26.5</v>
      </c>
      <c r="AK148" s="2">
        <v>1</v>
      </c>
      <c r="AL148" s="2">
        <v>29</v>
      </c>
      <c r="AM148" s="2">
        <v>35</v>
      </c>
      <c r="AN148" t="str">
        <f>IF(OR(G148="",Participant_Data!E148=""),"",IF(Participant_Data!E148&lt;70,IF(ROUND(G148,1)&lt;18.5,"ขาด/เสี่ยงขาด",IF(ROUND(G148,1)&gt;=25,"เสี่ยงเกิน/เกิน","ปกติ")),IF(ROUND(G148,1)&lt;20,"ขาด/เสี่ยงขาด",IF(ROUND(G148,1)&gt;=25,"เสี่ยงเกิน/เกิน","ปกติ"))))</f>
        <v>ปกติ</v>
      </c>
      <c r="AO148" t="str">
        <f>IF(OR(I148="",Participant_Data!G148=""),"",IF(Participant_Data!G148=1,IF(ROUND(I148,1)&lt;15,"ขาด/เสี่ยงขาด",IF(ROUND(I148,1)&gt;25,"เสี่ยงเกิน/เกิน","ปกติ")),IF(ROUND(I148,1)&lt;20,"ขาด/เสี่ยงขาด",IF(ROUND(I148,1)&gt;35,"เสี่ยงเกิน/เกิน","ปกติ"))))</f>
        <v>เสี่ยงเกิน/เกิน</v>
      </c>
      <c r="AP148" t="str">
        <f t="shared" si="5"/>
        <v>เสี่ยงเกิน/เกิน</v>
      </c>
    </row>
    <row r="149" spans="1:42">
      <c r="A149" s="2">
        <f>IF(Participant_Data!A149="","",Participant_Data!A149)</f>
        <v>148</v>
      </c>
      <c r="B149" s="2" t="str">
        <f>IF(Participant_Data!B149="","",Participant_Data!B149)</f>
        <v/>
      </c>
      <c r="C149" s="3" t="str">
        <f>IF(Participant_Data!C149="","",Participant_Data!C149)</f>
        <v/>
      </c>
      <c r="D149" s="5"/>
      <c r="E149" s="5">
        <v>156</v>
      </c>
      <c r="F149" s="5">
        <v>39.450000000000003</v>
      </c>
      <c r="G149" s="22">
        <f t="shared" si="4"/>
        <v>16.210552268244577</v>
      </c>
      <c r="H149" s="5">
        <v>7.81</v>
      </c>
      <c r="I149" s="5">
        <v>19.8</v>
      </c>
      <c r="J149" s="5">
        <v>2.5</v>
      </c>
      <c r="K149" s="5">
        <v>33</v>
      </c>
      <c r="L149" s="5">
        <v>1.6</v>
      </c>
      <c r="M149" s="5">
        <v>51.5</v>
      </c>
      <c r="N149" s="5">
        <v>872</v>
      </c>
      <c r="O149" s="5">
        <v>2</v>
      </c>
      <c r="P149" s="5">
        <v>3</v>
      </c>
      <c r="Q149" s="5">
        <v>2</v>
      </c>
      <c r="R149" s="5">
        <v>2</v>
      </c>
      <c r="S149" s="5">
        <v>2</v>
      </c>
      <c r="T149" s="5">
        <v>0</v>
      </c>
      <c r="U149" s="2">
        <v>11</v>
      </c>
      <c r="V149" s="2">
        <v>2</v>
      </c>
      <c r="W149" s="5">
        <v>1</v>
      </c>
      <c r="X149" s="5">
        <v>1</v>
      </c>
      <c r="Y149" s="5">
        <v>1</v>
      </c>
      <c r="Z149" s="5">
        <v>2</v>
      </c>
      <c r="AA149" s="5">
        <v>0.5</v>
      </c>
      <c r="AB149" s="5">
        <v>1</v>
      </c>
      <c r="AC149" s="5">
        <v>1</v>
      </c>
      <c r="AD149" s="5">
        <v>2</v>
      </c>
      <c r="AE149" s="5">
        <v>2</v>
      </c>
      <c r="AF149" s="5">
        <v>1</v>
      </c>
      <c r="AG149" s="5">
        <v>0</v>
      </c>
      <c r="AH149" s="5">
        <v>0</v>
      </c>
      <c r="AI149" s="2">
        <v>12.5</v>
      </c>
      <c r="AJ149" s="2">
        <v>23.5</v>
      </c>
      <c r="AK149" s="2">
        <v>2</v>
      </c>
      <c r="AL149" s="2">
        <v>20.5</v>
      </c>
      <c r="AM149" s="2">
        <v>30</v>
      </c>
      <c r="AN149" t="str">
        <f>IF(OR(G149="",Participant_Data!E149=""),"",IF(Participant_Data!E149&lt;70,IF(ROUND(G149,1)&lt;18.5,"ขาด/เสี่ยงขาด",IF(ROUND(G149,1)&gt;=25,"เสี่ยงเกิน/เกิน","ปกติ")),IF(ROUND(G149,1)&lt;20,"ขาด/เสี่ยงขาด",IF(ROUND(G149,1)&gt;=25,"เสี่ยงเกิน/เกิน","ปกติ"))))</f>
        <v>ขาด/เสี่ยงขาด</v>
      </c>
      <c r="AO149" t="str">
        <f>IF(OR(I149="",Participant_Data!G149=""),"",IF(Participant_Data!G149=1,IF(ROUND(I149,1)&lt;15,"ขาด/เสี่ยงขาด",IF(ROUND(I149,1)&gt;25,"เสี่ยงเกิน/เกิน","ปกติ")),IF(ROUND(I149,1)&lt;20,"ขาด/เสี่ยงขาด",IF(ROUND(I149,1)&gt;35,"เสี่ยงเกิน/เกิน","ปกติ"))))</f>
        <v>ขาด/เสี่ยงขาด</v>
      </c>
      <c r="AP149" t="str">
        <f t="shared" si="5"/>
        <v>ขาด/เสี่ยงขาด</v>
      </c>
    </row>
    <row r="150" spans="1:42">
      <c r="A150" s="2">
        <f>IF(Participant_Data!A150="","",Participant_Data!A150)</f>
        <v>149</v>
      </c>
      <c r="B150" s="2" t="str">
        <f>IF(Participant_Data!B150="","",Participant_Data!B150)</f>
        <v/>
      </c>
      <c r="C150" s="3" t="str">
        <f>IF(Participant_Data!C150="","",Participant_Data!C150)</f>
        <v/>
      </c>
      <c r="D150" s="5"/>
      <c r="E150" s="5">
        <v>152</v>
      </c>
      <c r="F150" s="5">
        <v>42.3</v>
      </c>
      <c r="G150" s="22">
        <f t="shared" si="4"/>
        <v>18.308518005540165</v>
      </c>
      <c r="H150" s="5">
        <v>11.34</v>
      </c>
      <c r="I150" s="5">
        <v>26.8</v>
      </c>
      <c r="J150" s="5">
        <v>4.5</v>
      </c>
      <c r="K150" s="5">
        <v>29.4</v>
      </c>
      <c r="L150" s="5">
        <v>1.6</v>
      </c>
      <c r="M150" s="5">
        <v>48.4</v>
      </c>
      <c r="N150" s="5">
        <v>877</v>
      </c>
      <c r="O150" s="5">
        <v>2</v>
      </c>
      <c r="P150" s="5">
        <v>3</v>
      </c>
      <c r="Q150" s="5">
        <v>2</v>
      </c>
      <c r="R150" s="5">
        <v>2</v>
      </c>
      <c r="S150" s="5">
        <v>0</v>
      </c>
      <c r="T150" s="5">
        <v>0</v>
      </c>
      <c r="U150" s="2">
        <v>9</v>
      </c>
      <c r="V150" s="2">
        <v>2</v>
      </c>
      <c r="W150" s="5">
        <v>1</v>
      </c>
      <c r="X150" s="5">
        <v>1</v>
      </c>
      <c r="Y150" s="5">
        <v>1</v>
      </c>
      <c r="Z150" s="5">
        <v>2</v>
      </c>
      <c r="AA150" s="5">
        <v>0.5</v>
      </c>
      <c r="AB150" s="5">
        <v>1</v>
      </c>
      <c r="AC150" s="5">
        <v>1</v>
      </c>
      <c r="AD150" s="5">
        <v>2</v>
      </c>
      <c r="AE150" s="5">
        <v>1</v>
      </c>
      <c r="AF150" s="5">
        <v>1</v>
      </c>
      <c r="AG150" s="5">
        <v>0</v>
      </c>
      <c r="AH150" s="5">
        <v>0</v>
      </c>
      <c r="AI150" s="2">
        <v>11.5</v>
      </c>
      <c r="AJ150" s="2">
        <v>20.5</v>
      </c>
      <c r="AK150" s="2">
        <v>2</v>
      </c>
      <c r="AL150" s="2">
        <v>20.5</v>
      </c>
      <c r="AM150" s="2">
        <v>29</v>
      </c>
      <c r="AN150" t="str">
        <f>IF(OR(G150="",Participant_Data!E150=""),"",IF(Participant_Data!E150&lt;70,IF(ROUND(G150,1)&lt;18.5,"ขาด/เสี่ยงขาด",IF(ROUND(G150,1)&gt;=25,"เสี่ยงเกิน/เกิน","ปกติ")),IF(ROUND(G150,1)&lt;20,"ขาด/เสี่ยงขาด",IF(ROUND(G150,1)&gt;=25,"เสี่ยงเกิน/เกิน","ปกติ"))))</f>
        <v>ขาด/เสี่ยงขาด</v>
      </c>
      <c r="AO150" t="str">
        <f>IF(OR(I150="",Participant_Data!G150=""),"",IF(Participant_Data!G150=1,IF(ROUND(I150,1)&lt;15,"ขาด/เสี่ยงขาด",IF(ROUND(I150,1)&gt;25,"เสี่ยงเกิน/เกิน","ปกติ")),IF(ROUND(I150,1)&lt;20,"ขาด/เสี่ยงขาด",IF(ROUND(I150,1)&gt;35,"เสี่ยงเกิน/เกิน","ปกติ"))))</f>
        <v>ปกติ</v>
      </c>
      <c r="AP150" t="str">
        <f t="shared" si="5"/>
        <v>ขาด/เสี่ยงขาด</v>
      </c>
    </row>
    <row r="151" spans="1:42">
      <c r="A151" s="2">
        <f>IF(Participant_Data!A151="","",Participant_Data!A151)</f>
        <v>150</v>
      </c>
      <c r="B151" s="2" t="str">
        <f>IF(Participant_Data!B151="","",Participant_Data!B151)</f>
        <v/>
      </c>
      <c r="C151" s="3" t="str">
        <f>IF(Participant_Data!C151="","",Participant_Data!C151)</f>
        <v/>
      </c>
      <c r="D151" s="5"/>
      <c r="E151" s="5">
        <v>158</v>
      </c>
      <c r="F151" s="5">
        <v>54.3</v>
      </c>
      <c r="G151" s="22">
        <f t="shared" si="4"/>
        <v>21.751321903541093</v>
      </c>
      <c r="H151" s="5">
        <v>19.010000000000002</v>
      </c>
      <c r="I151" s="5">
        <v>35</v>
      </c>
      <c r="J151" s="5">
        <v>7</v>
      </c>
      <c r="K151" s="5">
        <v>33.35</v>
      </c>
      <c r="L151" s="5">
        <v>1.9</v>
      </c>
      <c r="M151" s="5">
        <v>39.299999999999997</v>
      </c>
      <c r="N151" s="5">
        <v>1028</v>
      </c>
      <c r="O151" s="5">
        <v>2</v>
      </c>
      <c r="P151" s="5">
        <v>3</v>
      </c>
      <c r="Q151" s="5">
        <v>2</v>
      </c>
      <c r="R151" s="5">
        <v>2</v>
      </c>
      <c r="S151" s="5">
        <v>2</v>
      </c>
      <c r="T151" s="5">
        <v>2</v>
      </c>
      <c r="U151" s="2">
        <v>13</v>
      </c>
      <c r="V151" s="2">
        <v>1</v>
      </c>
      <c r="W151" s="5">
        <v>1</v>
      </c>
      <c r="X151" s="5">
        <v>1</v>
      </c>
      <c r="Y151" s="5">
        <v>1</v>
      </c>
      <c r="Z151" s="5">
        <v>2</v>
      </c>
      <c r="AA151" s="5">
        <v>0</v>
      </c>
      <c r="AB151" s="5">
        <v>1</v>
      </c>
      <c r="AC151" s="5">
        <v>1</v>
      </c>
      <c r="AD151" s="5">
        <v>2</v>
      </c>
      <c r="AE151" s="5">
        <v>2</v>
      </c>
      <c r="AF151" s="5">
        <v>2</v>
      </c>
      <c r="AG151" s="5">
        <v>1</v>
      </c>
      <c r="AH151" s="5">
        <v>0</v>
      </c>
      <c r="AI151" s="2">
        <v>14</v>
      </c>
      <c r="AJ151" s="2">
        <v>27</v>
      </c>
      <c r="AK151" s="2">
        <v>1</v>
      </c>
      <c r="AL151" s="2">
        <v>25.5</v>
      </c>
      <c r="AM151" s="2">
        <v>30.5</v>
      </c>
      <c r="AN151" t="str">
        <f>IF(OR(G151="",Participant_Data!E151=""),"",IF(Participant_Data!E151&lt;70,IF(ROUND(G151,1)&lt;18.5,"ขาด/เสี่ยงขาด",IF(ROUND(G151,1)&gt;=25,"เสี่ยงเกิน/เกิน","ปกติ")),IF(ROUND(G151,1)&lt;20,"ขาด/เสี่ยงขาด",IF(ROUND(G151,1)&gt;=25,"เสี่ยงเกิน/เกิน","ปกติ"))))</f>
        <v>ปกติ</v>
      </c>
      <c r="AO151" t="str">
        <f>IF(OR(I151="",Participant_Data!G151=""),"",IF(Participant_Data!G151=1,IF(ROUND(I151,1)&lt;15,"ขาด/เสี่ยงขาด",IF(ROUND(I151,1)&gt;25,"เสี่ยงเกิน/เกิน","ปกติ")),IF(ROUND(I151,1)&lt;20,"ขาด/เสี่ยงขาด",IF(ROUND(I151,1)&gt;35,"เสี่ยงเกิน/เกิน","ปกติ"))))</f>
        <v>ปกติ</v>
      </c>
      <c r="AP151" t="str">
        <f t="shared" si="5"/>
        <v>ปกติ</v>
      </c>
    </row>
    <row r="152" spans="1:42">
      <c r="A152" s="2">
        <f>IF(Participant_Data!A152="","",Participant_Data!A152)</f>
        <v>151</v>
      </c>
      <c r="B152" s="2" t="str">
        <f>IF(Participant_Data!B152="","",Participant_Data!B152)</f>
        <v/>
      </c>
      <c r="C152" s="3" t="str">
        <f>IF(Participant_Data!C152="","",Participant_Data!C152)</f>
        <v/>
      </c>
      <c r="D152" s="5"/>
      <c r="E152" s="5">
        <v>149</v>
      </c>
      <c r="F152" s="5">
        <v>54.1</v>
      </c>
      <c r="G152" s="22">
        <f t="shared" si="4"/>
        <v>24.368271699472999</v>
      </c>
      <c r="H152" s="5">
        <v>20.34</v>
      </c>
      <c r="I152" s="5">
        <v>37.6</v>
      </c>
      <c r="J152" s="5">
        <v>8</v>
      </c>
      <c r="K152" s="5">
        <v>31.95</v>
      </c>
      <c r="L152" s="5">
        <v>1.8</v>
      </c>
      <c r="M152" s="5">
        <v>40.6</v>
      </c>
      <c r="N152" s="5">
        <v>994</v>
      </c>
      <c r="O152" s="5">
        <v>2</v>
      </c>
      <c r="P152" s="5">
        <v>3</v>
      </c>
      <c r="Q152" s="5">
        <v>2</v>
      </c>
      <c r="R152" s="5">
        <v>2</v>
      </c>
      <c r="S152" s="5">
        <v>1</v>
      </c>
      <c r="T152" s="5">
        <v>3</v>
      </c>
      <c r="U152" s="2">
        <v>13</v>
      </c>
      <c r="V152" s="2">
        <v>1</v>
      </c>
      <c r="W152" s="5">
        <v>1</v>
      </c>
      <c r="X152" s="5">
        <v>1</v>
      </c>
      <c r="Y152" s="5">
        <v>1</v>
      </c>
      <c r="Z152" s="5">
        <v>1</v>
      </c>
      <c r="AA152" s="5">
        <v>0.5</v>
      </c>
      <c r="AB152" s="5">
        <v>1</v>
      </c>
      <c r="AC152" s="5">
        <v>0.5</v>
      </c>
      <c r="AD152" s="5">
        <v>2</v>
      </c>
      <c r="AE152" s="5">
        <v>2</v>
      </c>
      <c r="AF152" s="5">
        <v>1</v>
      </c>
      <c r="AG152" s="5">
        <v>1</v>
      </c>
      <c r="AH152" s="5">
        <v>1</v>
      </c>
      <c r="AI152" s="2">
        <v>13</v>
      </c>
      <c r="AJ152" s="2">
        <v>26</v>
      </c>
      <c r="AK152" s="2">
        <v>1</v>
      </c>
      <c r="AL152" s="2">
        <v>25</v>
      </c>
      <c r="AM152" s="2">
        <v>34</v>
      </c>
      <c r="AN152" t="str">
        <f>IF(OR(G152="",Participant_Data!E152=""),"",IF(Participant_Data!E152&lt;70,IF(ROUND(G152,1)&lt;18.5,"ขาด/เสี่ยงขาด",IF(ROUND(G152,1)&gt;=25,"เสี่ยงเกิน/เกิน","ปกติ")),IF(ROUND(G152,1)&lt;20,"ขาด/เสี่ยงขาด",IF(ROUND(G152,1)&gt;=25,"เสี่ยงเกิน/เกิน","ปกติ"))))</f>
        <v>ปกติ</v>
      </c>
      <c r="AO152" t="str">
        <f>IF(OR(I152="",Participant_Data!G152=""),"",IF(Participant_Data!G152=1,IF(ROUND(I152,1)&lt;15,"ขาด/เสี่ยงขาด",IF(ROUND(I152,1)&gt;25,"เสี่ยงเกิน/เกิน","ปกติ")),IF(ROUND(I152,1)&lt;20,"ขาด/เสี่ยงขาด",IF(ROUND(I152,1)&gt;35,"เสี่ยงเกิน/เกิน","ปกติ"))))</f>
        <v>เสี่ยงเกิน/เกิน</v>
      </c>
      <c r="AP152" t="str">
        <f t="shared" si="5"/>
        <v>เสี่ยงเกิน/เกิน</v>
      </c>
    </row>
    <row r="153" spans="1:42">
      <c r="A153" s="2">
        <f>IF(Participant_Data!A153="","",Participant_Data!A153)</f>
        <v>152</v>
      </c>
      <c r="B153" s="2" t="str">
        <f>IF(Participant_Data!B153="","",Participant_Data!B153)</f>
        <v/>
      </c>
      <c r="C153" s="3" t="str">
        <f>IF(Participant_Data!C153="","",Participant_Data!C153)</f>
        <v/>
      </c>
      <c r="D153" s="5"/>
      <c r="E153" s="5">
        <v>155</v>
      </c>
      <c r="F153" s="5">
        <v>53.4</v>
      </c>
      <c r="G153" s="22">
        <f t="shared" si="4"/>
        <v>22.226847034339226</v>
      </c>
      <c r="H153" s="5">
        <v>16.66</v>
      </c>
      <c r="I153" s="5">
        <v>31.2</v>
      </c>
      <c r="J153" s="5">
        <v>7.5</v>
      </c>
      <c r="K153" s="5">
        <v>34.700000000000003</v>
      </c>
      <c r="L153" s="5">
        <v>2.1</v>
      </c>
      <c r="M153" s="5">
        <v>49.3</v>
      </c>
      <c r="N153" s="5">
        <v>1050</v>
      </c>
      <c r="O153" s="5">
        <v>2</v>
      </c>
      <c r="P153" s="5">
        <v>2</v>
      </c>
      <c r="Q153" s="5">
        <v>2</v>
      </c>
      <c r="R153" s="5">
        <v>2</v>
      </c>
      <c r="S153" s="5">
        <v>1</v>
      </c>
      <c r="T153" s="5">
        <v>2</v>
      </c>
      <c r="U153" s="2">
        <v>11</v>
      </c>
      <c r="V153" s="2">
        <v>2</v>
      </c>
      <c r="W153" s="5">
        <v>1</v>
      </c>
      <c r="X153" s="5">
        <v>0</v>
      </c>
      <c r="Y153" s="5">
        <v>1</v>
      </c>
      <c r="Z153" s="5">
        <v>2</v>
      </c>
      <c r="AA153" s="5">
        <v>0.5</v>
      </c>
      <c r="AB153" s="5">
        <v>1</v>
      </c>
      <c r="AC153" s="5">
        <v>1</v>
      </c>
      <c r="AD153" s="5">
        <v>2</v>
      </c>
      <c r="AE153" s="5">
        <v>1</v>
      </c>
      <c r="AF153" s="5">
        <v>0</v>
      </c>
      <c r="AG153" s="5">
        <v>1</v>
      </c>
      <c r="AH153" s="5">
        <v>0</v>
      </c>
      <c r="AI153" s="2">
        <v>10.5</v>
      </c>
      <c r="AJ153" s="2">
        <v>21.5</v>
      </c>
      <c r="AK153" s="2">
        <v>2</v>
      </c>
      <c r="AL153" s="2">
        <v>25.5</v>
      </c>
      <c r="AM153" s="2">
        <v>30.5</v>
      </c>
      <c r="AN153" t="str">
        <f>IF(OR(G153="",Participant_Data!E153=""),"",IF(Participant_Data!E153&lt;70,IF(ROUND(G153,1)&lt;18.5,"ขาด/เสี่ยงขาด",IF(ROUND(G153,1)&gt;=25,"เสี่ยงเกิน/เกิน","ปกติ")),IF(ROUND(G153,1)&lt;20,"ขาด/เสี่ยงขาด",IF(ROUND(G153,1)&gt;=25,"เสี่ยงเกิน/เกิน","ปกติ"))))</f>
        <v>ปกติ</v>
      </c>
      <c r="AO153" t="str">
        <f>IF(OR(I153="",Participant_Data!G153=""),"",IF(Participant_Data!G153=1,IF(ROUND(I153,1)&lt;15,"ขาด/เสี่ยงขาด",IF(ROUND(I153,1)&gt;25,"เสี่ยงเกิน/เกิน","ปกติ")),IF(ROUND(I153,1)&lt;20,"ขาด/เสี่ยงขาด",IF(ROUND(I153,1)&gt;35,"เสี่ยงเกิน/เกิน","ปกติ"))))</f>
        <v>ปกติ</v>
      </c>
      <c r="AP153" t="str">
        <f t="shared" si="5"/>
        <v>ปกติ</v>
      </c>
    </row>
    <row r="154" spans="1:42">
      <c r="A154" s="2">
        <f>IF(Participant_Data!A154="","",Participant_Data!A154)</f>
        <v>153</v>
      </c>
      <c r="B154" s="2" t="str">
        <f>IF(Participant_Data!B154="","",Participant_Data!B154)</f>
        <v/>
      </c>
      <c r="C154" s="3" t="str">
        <f>IF(Participant_Data!C154="","",Participant_Data!C154)</f>
        <v/>
      </c>
      <c r="D154" s="5"/>
      <c r="E154" s="5">
        <v>152</v>
      </c>
      <c r="F154" s="5">
        <v>83</v>
      </c>
      <c r="G154" s="22">
        <f t="shared" si="4"/>
        <v>35.924515235457065</v>
      </c>
      <c r="H154" s="5">
        <v>34.61</v>
      </c>
      <c r="I154" s="5">
        <v>41.7</v>
      </c>
      <c r="J154" s="5">
        <v>14</v>
      </c>
      <c r="K154" s="5">
        <v>45.35</v>
      </c>
      <c r="L154" s="5">
        <v>3.1</v>
      </c>
      <c r="M154" s="5">
        <v>38</v>
      </c>
      <c r="N154" s="5">
        <v>1475</v>
      </c>
      <c r="O154" s="5">
        <v>2</v>
      </c>
      <c r="P154" s="5">
        <v>3</v>
      </c>
      <c r="Q154" s="5">
        <v>2</v>
      </c>
      <c r="R154" s="5">
        <v>2</v>
      </c>
      <c r="S154" s="5">
        <v>1</v>
      </c>
      <c r="T154" s="5">
        <v>3</v>
      </c>
      <c r="U154" s="2">
        <v>13</v>
      </c>
      <c r="V154" s="2">
        <v>1</v>
      </c>
      <c r="W154" s="5">
        <v>1</v>
      </c>
      <c r="X154" s="5">
        <v>1</v>
      </c>
      <c r="Y154" s="5">
        <v>1</v>
      </c>
      <c r="Z154" s="5">
        <v>1</v>
      </c>
      <c r="AA154" s="5">
        <v>0.5</v>
      </c>
      <c r="AB154" s="5">
        <v>1</v>
      </c>
      <c r="AC154" s="5">
        <v>1</v>
      </c>
      <c r="AD154" s="5">
        <v>2</v>
      </c>
      <c r="AE154" s="5">
        <v>2</v>
      </c>
      <c r="AF154" s="5">
        <v>0</v>
      </c>
      <c r="AG154" s="5">
        <v>1</v>
      </c>
      <c r="AH154" s="5">
        <v>1</v>
      </c>
      <c r="AI154" s="2">
        <v>12.5</v>
      </c>
      <c r="AJ154" s="2">
        <v>25.5</v>
      </c>
      <c r="AK154" s="2">
        <v>1</v>
      </c>
      <c r="AL154" s="2">
        <v>31</v>
      </c>
      <c r="AM154" s="2">
        <v>44</v>
      </c>
      <c r="AN154" t="str">
        <f>IF(OR(G154="",Participant_Data!E154=""),"",IF(Participant_Data!E154&lt;70,IF(ROUND(G154,1)&lt;18.5,"ขาด/เสี่ยงขาด",IF(ROUND(G154,1)&gt;=25,"เสี่ยงเกิน/เกิน","ปกติ")),IF(ROUND(G154,1)&lt;20,"ขาด/เสี่ยงขาด",IF(ROUND(G154,1)&gt;=25,"เสี่ยงเกิน/เกิน","ปกติ"))))</f>
        <v>เสี่ยงเกิน/เกิน</v>
      </c>
      <c r="AO154" t="str">
        <f>IF(OR(I154="",Participant_Data!G154=""),"",IF(Participant_Data!G154=1,IF(ROUND(I154,1)&lt;15,"ขาด/เสี่ยงขาด",IF(ROUND(I154,1)&gt;25,"เสี่ยงเกิน/เกิน","ปกติ")),IF(ROUND(I154,1)&lt;20,"ขาด/เสี่ยงขาด",IF(ROUND(I154,1)&gt;35,"เสี่ยงเกิน/เกิน","ปกติ"))))</f>
        <v>เสี่ยงเกิน/เกิน</v>
      </c>
      <c r="AP154" t="str">
        <f t="shared" si="5"/>
        <v>เสี่ยงเกิน/เกิน</v>
      </c>
    </row>
    <row r="155" spans="1:42">
      <c r="A155" s="2">
        <f>IF(Participant_Data!A155="","",Participant_Data!A155)</f>
        <v>154</v>
      </c>
      <c r="B155" s="2" t="str">
        <f>IF(Participant_Data!B155="","",Participant_Data!B155)</f>
        <v/>
      </c>
      <c r="C155" s="3" t="str">
        <f>IF(Participant_Data!C155="","",Participant_Data!C155)</f>
        <v/>
      </c>
      <c r="D155" s="5"/>
      <c r="E155" s="5">
        <v>165</v>
      </c>
      <c r="F155" s="5">
        <v>64.55</v>
      </c>
      <c r="G155" s="22">
        <f t="shared" si="4"/>
        <v>23.709825528007347</v>
      </c>
      <c r="H155" s="5">
        <v>9.6199999999999992</v>
      </c>
      <c r="I155" s="5">
        <v>14.9</v>
      </c>
      <c r="J155" s="5">
        <v>13</v>
      </c>
      <c r="K155" s="5">
        <v>52.05</v>
      </c>
      <c r="L155" s="5">
        <v>2.9</v>
      </c>
      <c r="M155" s="5">
        <v>52.7</v>
      </c>
      <c r="N155" s="5">
        <v>1473</v>
      </c>
      <c r="O155" s="5">
        <v>2</v>
      </c>
      <c r="P155" s="5">
        <v>3</v>
      </c>
      <c r="Q155" s="5">
        <v>2</v>
      </c>
      <c r="R155" s="5">
        <v>0</v>
      </c>
      <c r="S155" s="5">
        <v>2</v>
      </c>
      <c r="T155" s="5">
        <v>3</v>
      </c>
      <c r="U155" s="2">
        <v>12</v>
      </c>
      <c r="V155" s="2">
        <v>1</v>
      </c>
      <c r="W155" s="5">
        <v>1</v>
      </c>
      <c r="X155" s="5">
        <v>0</v>
      </c>
      <c r="Y155" s="5">
        <v>1</v>
      </c>
      <c r="Z155" s="5">
        <v>2</v>
      </c>
      <c r="AA155" s="5">
        <v>0.5</v>
      </c>
      <c r="AB155" s="5">
        <v>1</v>
      </c>
      <c r="AC155" s="5">
        <v>1</v>
      </c>
      <c r="AD155" s="5">
        <v>2</v>
      </c>
      <c r="AE155" s="5">
        <v>2</v>
      </c>
      <c r="AF155" s="5">
        <v>0.5</v>
      </c>
      <c r="AG155" s="5">
        <v>1</v>
      </c>
      <c r="AH155" s="5">
        <v>1</v>
      </c>
      <c r="AI155" s="2">
        <v>13</v>
      </c>
      <c r="AJ155" s="2">
        <v>25</v>
      </c>
      <c r="AK155" s="2">
        <v>1</v>
      </c>
      <c r="AL155" s="2">
        <v>27</v>
      </c>
      <c r="AM155" s="2">
        <v>35</v>
      </c>
      <c r="AN155" t="str">
        <f>IF(OR(G155="",Participant_Data!E155=""),"",IF(Participant_Data!E155&lt;70,IF(ROUND(G155,1)&lt;18.5,"ขาด/เสี่ยงขาด",IF(ROUND(G155,1)&gt;=25,"เสี่ยงเกิน/เกิน","ปกติ")),IF(ROUND(G155,1)&lt;20,"ขาด/เสี่ยงขาด",IF(ROUND(G155,1)&gt;=25,"เสี่ยงเกิน/เกิน","ปกติ"))))</f>
        <v>ปกติ</v>
      </c>
      <c r="AO155" t="str">
        <f>IF(OR(I155="",Participant_Data!G155=""),"",IF(Participant_Data!G155=1,IF(ROUND(I155,1)&lt;15,"ขาด/เสี่ยงขาด",IF(ROUND(I155,1)&gt;25,"เสี่ยงเกิน/เกิน","ปกติ")),IF(ROUND(I155,1)&lt;20,"ขาด/เสี่ยงขาด",IF(ROUND(I155,1)&gt;35,"เสี่ยงเกิน/เกิน","ปกติ"))))</f>
        <v>ขาด/เสี่ยงขาด</v>
      </c>
      <c r="AP155" t="str">
        <f t="shared" si="5"/>
        <v>ขาด/เสี่ยงขาด</v>
      </c>
    </row>
    <row r="156" spans="1:42">
      <c r="A156" s="2">
        <f>IF(Participant_Data!A156="","",Participant_Data!A156)</f>
        <v>155</v>
      </c>
      <c r="B156" s="2" t="str">
        <f>IF(Participant_Data!B156="","",Participant_Data!B156)</f>
        <v/>
      </c>
      <c r="C156" s="3" t="str">
        <f>IF(Participant_Data!C156="","",Participant_Data!C156)</f>
        <v/>
      </c>
      <c r="D156" s="5"/>
      <c r="E156" s="5">
        <v>160</v>
      </c>
      <c r="F156" s="5">
        <v>67</v>
      </c>
      <c r="G156" s="22">
        <f t="shared" si="4"/>
        <v>26.171874999999996</v>
      </c>
      <c r="H156" s="5">
        <v>20.64</v>
      </c>
      <c r="I156" s="5">
        <v>30.8</v>
      </c>
      <c r="J156" s="5">
        <v>18</v>
      </c>
      <c r="K156" s="5">
        <v>43.95</v>
      </c>
      <c r="L156" s="5">
        <v>2.4</v>
      </c>
      <c r="M156" s="5">
        <v>39.1</v>
      </c>
      <c r="N156" s="5">
        <v>1256</v>
      </c>
      <c r="O156" s="5">
        <v>2</v>
      </c>
      <c r="P156" s="5">
        <v>3</v>
      </c>
      <c r="Q156" s="5">
        <v>2</v>
      </c>
      <c r="R156" s="5">
        <v>0</v>
      </c>
      <c r="S156" s="5">
        <v>2</v>
      </c>
      <c r="T156" s="5">
        <v>3</v>
      </c>
      <c r="U156" s="2">
        <v>12</v>
      </c>
      <c r="V156" s="2">
        <v>1</v>
      </c>
      <c r="W156" s="5">
        <v>1</v>
      </c>
      <c r="X156" s="5">
        <v>0</v>
      </c>
      <c r="Y156" s="5">
        <v>1</v>
      </c>
      <c r="Z156" s="5">
        <v>2</v>
      </c>
      <c r="AA156" s="5">
        <v>0.5</v>
      </c>
      <c r="AB156" s="5">
        <v>1</v>
      </c>
      <c r="AC156" s="5">
        <v>1</v>
      </c>
      <c r="AD156" s="5">
        <v>2</v>
      </c>
      <c r="AE156" s="5">
        <v>1</v>
      </c>
      <c r="AF156" s="5">
        <v>2</v>
      </c>
      <c r="AG156" s="5">
        <v>1</v>
      </c>
      <c r="AH156" s="5">
        <v>0</v>
      </c>
      <c r="AI156" s="2">
        <v>12.5</v>
      </c>
      <c r="AJ156" s="2">
        <v>24.5</v>
      </c>
      <c r="AK156" s="2">
        <v>1</v>
      </c>
      <c r="AL156" s="2">
        <v>29</v>
      </c>
      <c r="AM156" s="2">
        <v>29</v>
      </c>
      <c r="AN156" t="str">
        <f>IF(OR(G156="",Participant_Data!E156=""),"",IF(Participant_Data!E156&lt;70,IF(ROUND(G156,1)&lt;18.5,"ขาด/เสี่ยงขาด",IF(ROUND(G156,1)&gt;=25,"เสี่ยงเกิน/เกิน","ปกติ")),IF(ROUND(G156,1)&lt;20,"ขาด/เสี่ยงขาด",IF(ROUND(G156,1)&gt;=25,"เสี่ยงเกิน/เกิน","ปกติ"))))</f>
        <v>เสี่ยงเกิน/เกิน</v>
      </c>
      <c r="AO156" t="str">
        <f>IF(OR(I156="",Participant_Data!G156=""),"",IF(Participant_Data!G156=1,IF(ROUND(I156,1)&lt;15,"ขาด/เสี่ยงขาด",IF(ROUND(I156,1)&gt;25,"เสี่ยงเกิน/เกิน","ปกติ")),IF(ROUND(I156,1)&lt;20,"ขาด/เสี่ยงขาด",IF(ROUND(I156,1)&gt;35,"เสี่ยงเกิน/เกิน","ปกติ"))))</f>
        <v>เสี่ยงเกิน/เกิน</v>
      </c>
      <c r="AP156" t="str">
        <f t="shared" si="5"/>
        <v>เสี่ยงเกิน/เกิน</v>
      </c>
    </row>
    <row r="157" spans="1:42">
      <c r="A157" s="2">
        <f>IF(Participant_Data!A157="","",Participant_Data!A157)</f>
        <v>156</v>
      </c>
      <c r="B157" s="2" t="str">
        <f>IF(Participant_Data!B157="","",Participant_Data!B157)</f>
        <v/>
      </c>
      <c r="C157" s="3" t="str">
        <f>IF(Participant_Data!C157="","",Participant_Data!C157)</f>
        <v/>
      </c>
      <c r="D157" s="5"/>
      <c r="E157" s="5">
        <v>152</v>
      </c>
      <c r="F157" s="5">
        <v>64.7</v>
      </c>
      <c r="G157" s="22">
        <f t="shared" si="4"/>
        <v>28.003808864265928</v>
      </c>
      <c r="H157" s="5">
        <v>18.82</v>
      </c>
      <c r="I157" s="5">
        <v>27.8</v>
      </c>
      <c r="J157" s="5">
        <v>19</v>
      </c>
      <c r="K157" s="5">
        <v>44.3</v>
      </c>
      <c r="L157" s="5">
        <v>2.5</v>
      </c>
      <c r="M157" s="5">
        <v>28.1</v>
      </c>
      <c r="N157" s="5">
        <v>1258</v>
      </c>
      <c r="O157" s="5">
        <v>0</v>
      </c>
      <c r="P157" s="5">
        <v>3</v>
      </c>
      <c r="Q157" s="5">
        <v>2</v>
      </c>
      <c r="R157" s="5">
        <v>2</v>
      </c>
      <c r="S157" s="5">
        <v>1</v>
      </c>
      <c r="T157" s="5">
        <v>3</v>
      </c>
      <c r="U157" s="2">
        <v>11</v>
      </c>
      <c r="V157" s="2">
        <v>2</v>
      </c>
      <c r="W157" s="5">
        <v>1</v>
      </c>
      <c r="X157" s="5">
        <v>1</v>
      </c>
      <c r="Y157" s="5">
        <v>1</v>
      </c>
      <c r="Z157" s="5">
        <v>1</v>
      </c>
      <c r="AA157" s="5">
        <v>0</v>
      </c>
      <c r="AB157" s="5">
        <v>1</v>
      </c>
      <c r="AC157" s="5">
        <v>0</v>
      </c>
      <c r="AD157" s="5">
        <v>2</v>
      </c>
      <c r="AE157" s="5">
        <v>1</v>
      </c>
      <c r="AF157" s="5">
        <v>0.5</v>
      </c>
      <c r="AG157" s="5">
        <v>1</v>
      </c>
      <c r="AH157" s="5">
        <v>1</v>
      </c>
      <c r="AI157" s="2">
        <v>10.5</v>
      </c>
      <c r="AJ157" s="2">
        <v>21.5</v>
      </c>
      <c r="AK157" s="2">
        <v>2</v>
      </c>
      <c r="AL157" s="2">
        <v>27.5</v>
      </c>
      <c r="AM157" s="2">
        <v>35</v>
      </c>
      <c r="AN157" t="str">
        <f>IF(OR(G157="",Participant_Data!E157=""),"",IF(Participant_Data!E157&lt;70,IF(ROUND(G157,1)&lt;18.5,"ขาด/เสี่ยงขาด",IF(ROUND(G157,1)&gt;=25,"เสี่ยงเกิน/เกิน","ปกติ")),IF(ROUND(G157,1)&lt;20,"ขาด/เสี่ยงขาด",IF(ROUND(G157,1)&gt;=25,"เสี่ยงเกิน/เกิน","ปกติ"))))</f>
        <v>เสี่ยงเกิน/เกิน</v>
      </c>
      <c r="AO157" t="str">
        <f>IF(OR(I157="",Participant_Data!G157=""),"",IF(Participant_Data!G157=1,IF(ROUND(I157,1)&lt;15,"ขาด/เสี่ยงขาด",IF(ROUND(I157,1)&gt;25,"เสี่ยงเกิน/เกิน","ปกติ")),IF(ROUND(I157,1)&lt;20,"ขาด/เสี่ยงขาด",IF(ROUND(I157,1)&gt;35,"เสี่ยงเกิน/เกิน","ปกติ"))))</f>
        <v>เสี่ยงเกิน/เกิน</v>
      </c>
      <c r="AP157" t="str">
        <f t="shared" si="5"/>
        <v>เสี่ยงเกิน/เกิน</v>
      </c>
    </row>
    <row r="158" spans="1:42">
      <c r="A158" s="2">
        <f>IF(Participant_Data!A158="","",Participant_Data!A158)</f>
        <v>157</v>
      </c>
      <c r="B158" s="2" t="str">
        <f>IF(Participant_Data!B158="","",Participant_Data!B158)</f>
        <v/>
      </c>
      <c r="C158" s="3" t="str">
        <f>IF(Participant_Data!C158="","",Participant_Data!C158)</f>
        <v/>
      </c>
      <c r="D158" s="5"/>
      <c r="E158" s="5">
        <v>144</v>
      </c>
      <c r="F158" s="5">
        <v>69.2</v>
      </c>
      <c r="G158" s="22">
        <f t="shared" si="4"/>
        <v>33.371913580246918</v>
      </c>
      <c r="H158" s="5">
        <v>31.49</v>
      </c>
      <c r="I158" s="5">
        <v>45.5</v>
      </c>
      <c r="J158" s="5">
        <v>12.5</v>
      </c>
      <c r="K158" s="5">
        <v>35.6</v>
      </c>
      <c r="L158" s="5">
        <v>2.1</v>
      </c>
      <c r="M158" s="5">
        <v>33.9</v>
      </c>
      <c r="N158" s="5">
        <v>1158</v>
      </c>
      <c r="O158" s="5">
        <v>2</v>
      </c>
      <c r="P158" s="5">
        <v>3</v>
      </c>
      <c r="Q158" s="5">
        <v>2</v>
      </c>
      <c r="R158" s="5">
        <v>2</v>
      </c>
      <c r="S158" s="5">
        <v>2</v>
      </c>
      <c r="T158" s="5">
        <v>3</v>
      </c>
      <c r="U158" s="2">
        <v>14</v>
      </c>
      <c r="V158" s="2">
        <v>1</v>
      </c>
      <c r="W158" s="5">
        <v>1</v>
      </c>
      <c r="X158" s="5">
        <v>1</v>
      </c>
      <c r="Y158" s="5">
        <v>1</v>
      </c>
      <c r="Z158" s="5">
        <v>2</v>
      </c>
      <c r="AA158" s="5">
        <v>0</v>
      </c>
      <c r="AB158" s="5">
        <v>0</v>
      </c>
      <c r="AC158" s="5">
        <v>0.5</v>
      </c>
      <c r="AD158" s="5">
        <v>2</v>
      </c>
      <c r="AE158" s="5">
        <v>2</v>
      </c>
      <c r="AF158" s="5">
        <v>1</v>
      </c>
      <c r="AG158" s="5">
        <v>1</v>
      </c>
      <c r="AH158" s="5">
        <v>1</v>
      </c>
      <c r="AI158" s="2">
        <v>12.5</v>
      </c>
      <c r="AJ158" s="2">
        <v>26.5</v>
      </c>
      <c r="AK158" s="2">
        <v>1</v>
      </c>
      <c r="AL158" s="2">
        <v>32</v>
      </c>
      <c r="AM158" s="2">
        <v>40</v>
      </c>
      <c r="AN158" t="str">
        <f>IF(OR(G158="",Participant_Data!E158=""),"",IF(Participant_Data!E158&lt;70,IF(ROUND(G158,1)&lt;18.5,"ขาด/เสี่ยงขาด",IF(ROUND(G158,1)&gt;=25,"เสี่ยงเกิน/เกิน","ปกติ")),IF(ROUND(G158,1)&lt;20,"ขาด/เสี่ยงขาด",IF(ROUND(G158,1)&gt;=25,"เสี่ยงเกิน/เกิน","ปกติ"))))</f>
        <v>เสี่ยงเกิน/เกิน</v>
      </c>
      <c r="AO158" t="str">
        <f>IF(OR(I158="",Participant_Data!G158=""),"",IF(Participant_Data!G158=1,IF(ROUND(I158,1)&lt;15,"ขาด/เสี่ยงขาด",IF(ROUND(I158,1)&gt;25,"เสี่ยงเกิน/เกิน","ปกติ")),IF(ROUND(I158,1)&lt;20,"ขาด/เสี่ยงขาด",IF(ROUND(I158,1)&gt;35,"เสี่ยงเกิน/เกิน","ปกติ"))))</f>
        <v>เสี่ยงเกิน/เกิน</v>
      </c>
      <c r="AP158" t="str">
        <f t="shared" si="5"/>
        <v>เสี่ยงเกิน/เกิน</v>
      </c>
    </row>
    <row r="159" spans="1:42">
      <c r="A159" s="2">
        <f>IF(Participant_Data!A159="","",Participant_Data!A159)</f>
        <v>158</v>
      </c>
      <c r="B159" s="2" t="str">
        <f>IF(Participant_Data!B159="","",Participant_Data!B159)</f>
        <v/>
      </c>
      <c r="C159" s="3" t="str">
        <f>IF(Participant_Data!C159="","",Participant_Data!C159)</f>
        <v/>
      </c>
      <c r="D159" s="5"/>
      <c r="E159" s="5">
        <v>162</v>
      </c>
      <c r="F159" s="5">
        <v>59.95</v>
      </c>
      <c r="G159" s="22">
        <f t="shared" si="4"/>
        <v>22.8433165675964</v>
      </c>
      <c r="H159" s="5">
        <v>12.59</v>
      </c>
      <c r="I159" s="5">
        <v>21</v>
      </c>
      <c r="J159" s="5">
        <v>14.5</v>
      </c>
      <c r="K159" s="5">
        <v>44.85</v>
      </c>
      <c r="L159" s="5">
        <v>2.5</v>
      </c>
      <c r="M159" s="5">
        <v>52.4</v>
      </c>
      <c r="N159" s="5">
        <v>1264</v>
      </c>
      <c r="O159" s="5">
        <v>2</v>
      </c>
      <c r="P159" s="5">
        <v>3</v>
      </c>
      <c r="Q159" s="5">
        <v>2</v>
      </c>
      <c r="R159" s="5">
        <v>2</v>
      </c>
      <c r="S159" s="5">
        <v>1</v>
      </c>
      <c r="T159" s="5">
        <v>2</v>
      </c>
      <c r="U159" s="2">
        <v>12</v>
      </c>
      <c r="V159" s="2">
        <v>1</v>
      </c>
      <c r="W159" s="5">
        <v>1</v>
      </c>
      <c r="X159" s="5">
        <v>1</v>
      </c>
      <c r="Y159" s="5">
        <v>1</v>
      </c>
      <c r="Z159" s="5">
        <v>1</v>
      </c>
      <c r="AA159" s="5">
        <v>0.5</v>
      </c>
      <c r="AB159" s="5">
        <v>1</v>
      </c>
      <c r="AC159" s="5">
        <v>1</v>
      </c>
      <c r="AD159" s="5">
        <v>1</v>
      </c>
      <c r="AE159" s="5">
        <v>2</v>
      </c>
      <c r="AF159" s="5">
        <v>0.5</v>
      </c>
      <c r="AG159" s="5">
        <v>1</v>
      </c>
      <c r="AH159" s="5">
        <v>1</v>
      </c>
      <c r="AI159" s="2">
        <v>12</v>
      </c>
      <c r="AJ159" s="2">
        <v>24</v>
      </c>
      <c r="AK159" s="2">
        <v>1</v>
      </c>
      <c r="AL159" s="2">
        <v>27.5</v>
      </c>
      <c r="AM159" s="2">
        <v>36</v>
      </c>
      <c r="AN159" t="str">
        <f>IF(OR(G159="",Participant_Data!E159=""),"",IF(Participant_Data!E159&lt;70,IF(ROUND(G159,1)&lt;18.5,"ขาด/เสี่ยงขาด",IF(ROUND(G159,1)&gt;=25,"เสี่ยงเกิน/เกิน","ปกติ")),IF(ROUND(G159,1)&lt;20,"ขาด/เสี่ยงขาด",IF(ROUND(G159,1)&gt;=25,"เสี่ยงเกิน/เกิน","ปกติ"))))</f>
        <v>ปกติ</v>
      </c>
      <c r="AO159" t="str">
        <f>IF(OR(I159="",Participant_Data!G159=""),"",IF(Participant_Data!G159=1,IF(ROUND(I159,1)&lt;15,"ขาด/เสี่ยงขาด",IF(ROUND(I159,1)&gt;25,"เสี่ยงเกิน/เกิน","ปกติ")),IF(ROUND(I159,1)&lt;20,"ขาด/เสี่ยงขาด",IF(ROUND(I159,1)&gt;35,"เสี่ยงเกิน/เกิน","ปกติ"))))</f>
        <v>ปกติ</v>
      </c>
      <c r="AP159" t="str">
        <f t="shared" si="5"/>
        <v>ปกติ</v>
      </c>
    </row>
    <row r="160" spans="1:42">
      <c r="A160" s="2">
        <f>IF(Participant_Data!A160="","",Participant_Data!A160)</f>
        <v>159</v>
      </c>
      <c r="B160" s="2" t="str">
        <f>IF(Participant_Data!B160="","",Participant_Data!B160)</f>
        <v/>
      </c>
      <c r="C160" s="3" t="str">
        <f>IF(Participant_Data!C160="","",Participant_Data!C160)</f>
        <v/>
      </c>
      <c r="D160" s="5"/>
      <c r="E160" s="5">
        <v>165</v>
      </c>
      <c r="F160" s="5">
        <v>67.95</v>
      </c>
      <c r="G160" s="22">
        <f t="shared" si="4"/>
        <v>24.958677685950416</v>
      </c>
      <c r="H160" s="5">
        <v>15.22</v>
      </c>
      <c r="I160" s="5">
        <v>22.4</v>
      </c>
      <c r="J160" s="5">
        <v>15.5</v>
      </c>
      <c r="K160" s="5">
        <v>49.95</v>
      </c>
      <c r="L160" s="5">
        <v>2.7</v>
      </c>
      <c r="M160" s="5">
        <v>54.2</v>
      </c>
      <c r="N160" s="5">
        <v>1426</v>
      </c>
      <c r="O160" s="5">
        <v>2</v>
      </c>
      <c r="P160" s="5">
        <v>2</v>
      </c>
      <c r="Q160" s="5">
        <v>2</v>
      </c>
      <c r="R160" s="5">
        <v>2</v>
      </c>
      <c r="S160" s="5">
        <v>1</v>
      </c>
      <c r="T160" s="5">
        <v>3</v>
      </c>
      <c r="U160" s="2">
        <v>12</v>
      </c>
      <c r="V160" s="2">
        <v>1</v>
      </c>
      <c r="W160" s="5">
        <v>1</v>
      </c>
      <c r="X160" s="5">
        <v>1</v>
      </c>
      <c r="Y160" s="5">
        <v>1</v>
      </c>
      <c r="Z160" s="5">
        <v>2</v>
      </c>
      <c r="AA160" s="5">
        <v>1</v>
      </c>
      <c r="AB160" s="5">
        <v>1</v>
      </c>
      <c r="AC160" s="5">
        <v>1</v>
      </c>
      <c r="AD160" s="5">
        <v>2</v>
      </c>
      <c r="AE160" s="5">
        <v>2</v>
      </c>
      <c r="AF160" s="5">
        <v>2</v>
      </c>
      <c r="AG160" s="5">
        <v>1</v>
      </c>
      <c r="AH160" s="5">
        <v>1</v>
      </c>
      <c r="AI160" s="2">
        <v>16</v>
      </c>
      <c r="AJ160" s="2">
        <v>28</v>
      </c>
      <c r="AK160" s="2">
        <v>1</v>
      </c>
      <c r="AL160" s="2">
        <v>30</v>
      </c>
      <c r="AM160" s="2">
        <v>34</v>
      </c>
      <c r="AN160" t="str">
        <f>IF(OR(G160="",Participant_Data!E160=""),"",IF(Participant_Data!E160&lt;70,IF(ROUND(G160,1)&lt;18.5,"ขาด/เสี่ยงขาด",IF(ROUND(G160,1)&gt;=25,"เสี่ยงเกิน/เกิน","ปกติ")),IF(ROUND(G160,1)&lt;20,"ขาด/เสี่ยงขาด",IF(ROUND(G160,1)&gt;=25,"เสี่ยงเกิน/เกิน","ปกติ"))))</f>
        <v>เสี่ยงเกิน/เกิน</v>
      </c>
      <c r="AO160" t="str">
        <f>IF(OR(I160="",Participant_Data!G160=""),"",IF(Participant_Data!G160=1,IF(ROUND(I160,1)&lt;15,"ขาด/เสี่ยงขาด",IF(ROUND(I160,1)&gt;25,"เสี่ยงเกิน/เกิน","ปกติ")),IF(ROUND(I160,1)&lt;20,"ขาด/เสี่ยงขาด",IF(ROUND(I160,1)&gt;35,"เสี่ยงเกิน/เกิน","ปกติ"))))</f>
        <v>ปกติ</v>
      </c>
      <c r="AP160" t="str">
        <f t="shared" si="5"/>
        <v>เสี่ยงเกิน/เกิน</v>
      </c>
    </row>
    <row r="161" spans="1:42">
      <c r="A161" s="2">
        <f>IF(Participant_Data!A161="","",Participant_Data!A161)</f>
        <v>160</v>
      </c>
      <c r="B161" s="2" t="str">
        <f>IF(Participant_Data!B161="","",Participant_Data!B161)</f>
        <v/>
      </c>
      <c r="C161" s="3" t="str">
        <f>IF(Participant_Data!C161="","",Participant_Data!C161)</f>
        <v/>
      </c>
      <c r="D161" s="5"/>
      <c r="E161" s="5">
        <v>155</v>
      </c>
      <c r="F161" s="5">
        <v>56.2</v>
      </c>
      <c r="G161" s="22">
        <f t="shared" si="4"/>
        <v>23.392299687825179</v>
      </c>
      <c r="H161" s="5">
        <v>18.71</v>
      </c>
      <c r="I161" s="5">
        <v>33.33</v>
      </c>
      <c r="J161" s="5">
        <v>8</v>
      </c>
      <c r="K161" s="5">
        <v>35.35</v>
      </c>
      <c r="L161" s="5">
        <v>2.1</v>
      </c>
      <c r="M161" s="5">
        <v>36.6</v>
      </c>
      <c r="N161" s="5">
        <v>1082</v>
      </c>
      <c r="O161" s="5">
        <v>2</v>
      </c>
      <c r="P161" s="5">
        <v>0</v>
      </c>
      <c r="Q161" s="5">
        <v>2</v>
      </c>
      <c r="R161" s="5">
        <v>2</v>
      </c>
      <c r="S161" s="5">
        <v>2</v>
      </c>
      <c r="T161" s="5">
        <v>3</v>
      </c>
      <c r="U161" s="2">
        <v>11</v>
      </c>
      <c r="V161" s="2">
        <v>2</v>
      </c>
      <c r="W161" s="5">
        <v>1</v>
      </c>
      <c r="X161" s="5">
        <v>1</v>
      </c>
      <c r="Y161" s="5">
        <v>1</v>
      </c>
      <c r="Z161" s="5">
        <v>2</v>
      </c>
      <c r="AA161" s="5">
        <v>0</v>
      </c>
      <c r="AB161" s="5">
        <v>1</v>
      </c>
      <c r="AC161" s="5">
        <v>1</v>
      </c>
      <c r="AD161" s="5">
        <v>2</v>
      </c>
      <c r="AE161" s="5">
        <v>2</v>
      </c>
      <c r="AF161" s="5">
        <v>1</v>
      </c>
      <c r="AG161" s="5">
        <v>1</v>
      </c>
      <c r="AH161" s="5">
        <v>0</v>
      </c>
      <c r="AI161" s="2">
        <v>13</v>
      </c>
      <c r="AJ161" s="2">
        <v>24</v>
      </c>
      <c r="AK161" s="2">
        <v>1</v>
      </c>
      <c r="AL161" s="2">
        <v>24</v>
      </c>
      <c r="AM161" s="2">
        <v>28</v>
      </c>
      <c r="AN161" t="str">
        <f>IF(OR(G161="",Participant_Data!E161=""),"",IF(Participant_Data!E161&lt;70,IF(ROUND(G161,1)&lt;18.5,"ขาด/เสี่ยงขาด",IF(ROUND(G161,1)&gt;=25,"เสี่ยงเกิน/เกิน","ปกติ")),IF(ROUND(G161,1)&lt;20,"ขาด/เสี่ยงขาด",IF(ROUND(G161,1)&gt;=25,"เสี่ยงเกิน/เกิน","ปกติ"))))</f>
        <v>ปกติ</v>
      </c>
      <c r="AO161" t="str">
        <f>IF(OR(I161="",Participant_Data!G161=""),"",IF(Participant_Data!G161=1,IF(ROUND(I161,1)&lt;15,"ขาด/เสี่ยงขาด",IF(ROUND(I161,1)&gt;25,"เสี่ยงเกิน/เกิน","ปกติ")),IF(ROUND(I161,1)&lt;20,"ขาด/เสี่ยงขาด",IF(ROUND(I161,1)&gt;35,"เสี่ยงเกิน/เกิน","ปกติ"))))</f>
        <v>ปกติ</v>
      </c>
      <c r="AP161" t="str">
        <f t="shared" si="5"/>
        <v>ปกติ</v>
      </c>
    </row>
    <row r="162" spans="1:42">
      <c r="A162" s="2">
        <f>IF(Participant_Data!A162="","",Participant_Data!A162)</f>
        <v>161</v>
      </c>
      <c r="B162" s="2" t="str">
        <f>IF(Participant_Data!B162="","",Participant_Data!B162)</f>
        <v/>
      </c>
      <c r="C162" s="3" t="str">
        <f>IF(Participant_Data!C162="","",Participant_Data!C162)</f>
        <v/>
      </c>
      <c r="D162" s="5"/>
      <c r="E162" s="5">
        <v>155</v>
      </c>
      <c r="F162" s="5">
        <v>59.6</v>
      </c>
      <c r="G162" s="22">
        <f t="shared" si="4"/>
        <v>24.80749219562955</v>
      </c>
      <c r="H162" s="5">
        <v>14.78</v>
      </c>
      <c r="I162" s="5">
        <v>39.299999999999997</v>
      </c>
      <c r="J162" s="5">
        <v>8.5</v>
      </c>
      <c r="K162" s="5">
        <v>34.15</v>
      </c>
      <c r="L162" s="5">
        <v>2</v>
      </c>
      <c r="M162" s="5">
        <v>39.200000000000003</v>
      </c>
      <c r="N162" s="5">
        <v>1072</v>
      </c>
      <c r="O162" s="5">
        <v>2</v>
      </c>
      <c r="P162" s="5">
        <v>3</v>
      </c>
      <c r="Q162" s="5">
        <v>2</v>
      </c>
      <c r="R162" s="5">
        <v>2</v>
      </c>
      <c r="S162" s="5">
        <v>2</v>
      </c>
      <c r="T162" s="5">
        <v>3</v>
      </c>
      <c r="U162" s="2">
        <v>14</v>
      </c>
      <c r="V162" s="2">
        <v>1</v>
      </c>
      <c r="W162" s="5">
        <v>1</v>
      </c>
      <c r="X162" s="5">
        <v>1</v>
      </c>
      <c r="Y162" s="5">
        <v>1</v>
      </c>
      <c r="Z162" s="5">
        <v>2</v>
      </c>
      <c r="AA162" s="5">
        <v>0</v>
      </c>
      <c r="AB162" s="5">
        <v>1</v>
      </c>
      <c r="AC162" s="5">
        <v>0.5</v>
      </c>
      <c r="AD162" s="5">
        <v>2</v>
      </c>
      <c r="AE162" s="5">
        <v>1</v>
      </c>
      <c r="AF162" s="5">
        <v>1</v>
      </c>
      <c r="AG162" s="5">
        <v>1</v>
      </c>
      <c r="AH162" s="5">
        <v>1</v>
      </c>
      <c r="AI162" s="2">
        <v>12.5</v>
      </c>
      <c r="AJ162" s="2">
        <v>26.5</v>
      </c>
      <c r="AK162" s="2">
        <v>1</v>
      </c>
      <c r="AL162" s="2">
        <v>28</v>
      </c>
      <c r="AM162" s="2">
        <v>36.5</v>
      </c>
      <c r="AN162" t="str">
        <f>IF(OR(G162="",Participant_Data!E162=""),"",IF(Participant_Data!E162&lt;70,IF(ROUND(G162,1)&lt;18.5,"ขาด/เสี่ยงขาด",IF(ROUND(G162,1)&gt;=25,"เสี่ยงเกิน/เกิน","ปกติ")),IF(ROUND(G162,1)&lt;20,"ขาด/เสี่ยงขาด",IF(ROUND(G162,1)&gt;=25,"เสี่ยงเกิน/เกิน","ปกติ"))))</f>
        <v>ปกติ</v>
      </c>
      <c r="AO162" t="str">
        <f>IF(OR(I162="",Participant_Data!G162=""),"",IF(Participant_Data!G162=1,IF(ROUND(I162,1)&lt;15,"ขาด/เสี่ยงขาด",IF(ROUND(I162,1)&gt;25,"เสี่ยงเกิน/เกิน","ปกติ")),IF(ROUND(I162,1)&lt;20,"ขาด/เสี่ยงขาด",IF(ROUND(I162,1)&gt;35,"เสี่ยงเกิน/เกิน","ปกติ"))))</f>
        <v>เสี่ยงเกิน/เกิน</v>
      </c>
      <c r="AP162" t="str">
        <f t="shared" si="5"/>
        <v>เสี่ยงเกิน/เกิน</v>
      </c>
    </row>
    <row r="163" spans="1:42">
      <c r="A163" s="2">
        <f>IF(Participant_Data!A163="","",Participant_Data!A163)</f>
        <v>162</v>
      </c>
      <c r="B163" s="2" t="str">
        <f>IF(Participant_Data!B163="","",Participant_Data!B163)</f>
        <v/>
      </c>
      <c r="C163" s="3" t="str">
        <f>IF(Participant_Data!C163="","",Participant_Data!C163)</f>
        <v/>
      </c>
      <c r="D163" s="5"/>
      <c r="E163" s="5">
        <v>160</v>
      </c>
      <c r="F163" s="5">
        <v>72.650000000000006</v>
      </c>
      <c r="G163" s="22">
        <f t="shared" si="4"/>
        <v>28.378906249999996</v>
      </c>
      <c r="H163" s="5">
        <v>30.8</v>
      </c>
      <c r="I163" s="5">
        <v>42.4</v>
      </c>
      <c r="J163" s="5">
        <v>10.5</v>
      </c>
      <c r="K163" s="5">
        <v>39.35</v>
      </c>
      <c r="L163" s="5">
        <v>2.5</v>
      </c>
      <c r="M163" s="5">
        <v>32.200000000000003</v>
      </c>
      <c r="N163" s="5">
        <v>1268</v>
      </c>
      <c r="O163" s="5">
        <v>2</v>
      </c>
      <c r="P163" s="5">
        <v>3</v>
      </c>
      <c r="Q163" s="5">
        <v>2</v>
      </c>
      <c r="R163" s="5">
        <v>0</v>
      </c>
      <c r="S163" s="5">
        <v>1</v>
      </c>
      <c r="T163" s="5">
        <v>3</v>
      </c>
      <c r="U163" s="2">
        <v>11</v>
      </c>
      <c r="V163" s="2">
        <v>2</v>
      </c>
      <c r="W163" s="5">
        <v>1</v>
      </c>
      <c r="X163" s="5">
        <v>0</v>
      </c>
      <c r="Y163" s="5">
        <v>1</v>
      </c>
      <c r="Z163" s="5">
        <v>2</v>
      </c>
      <c r="AA163" s="5">
        <v>0.5</v>
      </c>
      <c r="AB163" s="5">
        <v>1</v>
      </c>
      <c r="AC163" s="5">
        <v>1</v>
      </c>
      <c r="AD163" s="5">
        <v>2</v>
      </c>
      <c r="AE163" s="5">
        <v>1</v>
      </c>
      <c r="AF163" s="5">
        <v>1</v>
      </c>
      <c r="AG163" s="5">
        <v>1</v>
      </c>
      <c r="AH163" s="5">
        <v>1</v>
      </c>
      <c r="AI163" s="2">
        <v>12.5</v>
      </c>
      <c r="AJ163" s="2">
        <v>23.5</v>
      </c>
      <c r="AK163" s="2">
        <v>2</v>
      </c>
      <c r="AL163" s="2">
        <v>30</v>
      </c>
      <c r="AM163" s="2">
        <v>36.5</v>
      </c>
      <c r="AN163" t="str">
        <f>IF(OR(G163="",Participant_Data!E163=""),"",IF(Participant_Data!E163&lt;70,IF(ROUND(G163,1)&lt;18.5,"ขาด/เสี่ยงขาด",IF(ROUND(G163,1)&gt;=25,"เสี่ยงเกิน/เกิน","ปกติ")),IF(ROUND(G163,1)&lt;20,"ขาด/เสี่ยงขาด",IF(ROUND(G163,1)&gt;=25,"เสี่ยงเกิน/เกิน","ปกติ"))))</f>
        <v>เสี่ยงเกิน/เกิน</v>
      </c>
      <c r="AO163" t="str">
        <f>IF(OR(I163="",Participant_Data!G163=""),"",IF(Participant_Data!G163=1,IF(ROUND(I163,1)&lt;15,"ขาด/เสี่ยงขาด",IF(ROUND(I163,1)&gt;25,"เสี่ยงเกิน/เกิน","ปกติ")),IF(ROUND(I163,1)&lt;20,"ขาด/เสี่ยงขาด",IF(ROUND(I163,1)&gt;35,"เสี่ยงเกิน/เกิน","ปกติ"))))</f>
        <v>เสี่ยงเกิน/เกิน</v>
      </c>
      <c r="AP163" t="str">
        <f t="shared" si="5"/>
        <v>เสี่ยงเกิน/เกิน</v>
      </c>
    </row>
    <row r="164" spans="1:42">
      <c r="A164" s="2">
        <f>IF(Participant_Data!A164="","",Participant_Data!A164)</f>
        <v>163</v>
      </c>
      <c r="B164" s="2" t="str">
        <f>IF(Participant_Data!B164="","",Participant_Data!B164)</f>
        <v/>
      </c>
      <c r="C164" s="3" t="str">
        <f>IF(Participant_Data!C164="","",Participant_Data!C164)</f>
        <v/>
      </c>
      <c r="D164" s="5"/>
      <c r="E164" s="5">
        <v>150</v>
      </c>
      <c r="F164" s="5">
        <v>56.75</v>
      </c>
      <c r="G164" s="22">
        <f t="shared" si="4"/>
        <v>25.222222222222221</v>
      </c>
      <c r="H164" s="5">
        <v>14.3</v>
      </c>
      <c r="I164" s="5">
        <v>36.4</v>
      </c>
      <c r="J164" s="5">
        <v>9</v>
      </c>
      <c r="K164" s="5">
        <v>34.15</v>
      </c>
      <c r="L164" s="5">
        <v>2</v>
      </c>
      <c r="M164" s="5">
        <v>45.4</v>
      </c>
      <c r="N164" s="5">
        <v>1053</v>
      </c>
      <c r="O164" s="5">
        <v>2</v>
      </c>
      <c r="P164" s="5">
        <v>3</v>
      </c>
      <c r="Q164" s="5">
        <v>2</v>
      </c>
      <c r="R164" s="5">
        <v>2</v>
      </c>
      <c r="S164" s="5">
        <v>2</v>
      </c>
      <c r="T164" s="5">
        <v>3</v>
      </c>
      <c r="U164" s="2">
        <v>14</v>
      </c>
      <c r="V164" s="2">
        <v>1</v>
      </c>
      <c r="W164" s="5">
        <v>1</v>
      </c>
      <c r="X164" s="5">
        <v>1</v>
      </c>
      <c r="Y164" s="5">
        <v>1</v>
      </c>
      <c r="Z164" s="5">
        <v>2</v>
      </c>
      <c r="AA164" s="5">
        <v>1</v>
      </c>
      <c r="AB164" s="5">
        <v>1</v>
      </c>
      <c r="AC164" s="5">
        <v>1</v>
      </c>
      <c r="AD164" s="5">
        <v>2</v>
      </c>
      <c r="AE164" s="5">
        <v>2</v>
      </c>
      <c r="AF164" s="5">
        <v>0.5</v>
      </c>
      <c r="AG164" s="5">
        <v>1</v>
      </c>
      <c r="AH164" s="5">
        <v>0</v>
      </c>
      <c r="AI164" s="2">
        <v>13.5</v>
      </c>
      <c r="AJ164" s="2">
        <v>27.5</v>
      </c>
      <c r="AK164" s="2">
        <v>1</v>
      </c>
      <c r="AL164" s="2">
        <v>26.5</v>
      </c>
      <c r="AM164" s="2">
        <v>29.5</v>
      </c>
      <c r="AN164" t="str">
        <f>IF(OR(G164="",Participant_Data!E164=""),"",IF(Participant_Data!E164&lt;70,IF(ROUND(G164,1)&lt;18.5,"ขาด/เสี่ยงขาด",IF(ROUND(G164,1)&gt;=25,"เสี่ยงเกิน/เกิน","ปกติ")),IF(ROUND(G164,1)&lt;20,"ขาด/เสี่ยงขาด",IF(ROUND(G164,1)&gt;=25,"เสี่ยงเกิน/เกิน","ปกติ"))))</f>
        <v>เสี่ยงเกิน/เกิน</v>
      </c>
      <c r="AO164" t="str">
        <f>IF(OR(I164="",Participant_Data!G164=""),"",IF(Participant_Data!G164=1,IF(ROUND(I164,1)&lt;15,"ขาด/เสี่ยงขาด",IF(ROUND(I164,1)&gt;25,"เสี่ยงเกิน/เกิน","ปกติ")),IF(ROUND(I164,1)&lt;20,"ขาด/เสี่ยงขาด",IF(ROUND(I164,1)&gt;35,"เสี่ยงเกิน/เกิน","ปกติ"))))</f>
        <v>เสี่ยงเกิน/เกิน</v>
      </c>
      <c r="AP164" t="str">
        <f t="shared" si="5"/>
        <v>เสี่ยงเกิน/เกิน</v>
      </c>
    </row>
    <row r="165" spans="1:42">
      <c r="A165" s="2">
        <f>IF(Participant_Data!A165="","",Participant_Data!A165)</f>
        <v>164</v>
      </c>
      <c r="B165" s="2" t="str">
        <f>IF(Participant_Data!B165="","",Participant_Data!B165)</f>
        <v/>
      </c>
      <c r="C165" s="3" t="str">
        <f>IF(Participant_Data!C165="","",Participant_Data!C165)</f>
        <v/>
      </c>
      <c r="D165" s="5"/>
      <c r="E165" s="5">
        <v>148</v>
      </c>
      <c r="F165" s="5">
        <v>70.5</v>
      </c>
      <c r="G165" s="22">
        <f t="shared" si="4"/>
        <v>32.185902118334553</v>
      </c>
      <c r="H165" s="5">
        <v>11.43</v>
      </c>
      <c r="I165" s="5">
        <v>25.8</v>
      </c>
      <c r="J165" s="5">
        <v>12</v>
      </c>
      <c r="K165" s="5">
        <v>31.15</v>
      </c>
      <c r="L165" s="5">
        <v>1.8</v>
      </c>
      <c r="M165" s="5">
        <v>40.299999999999997</v>
      </c>
      <c r="N165" s="5">
        <v>884</v>
      </c>
      <c r="O165" s="5">
        <v>1</v>
      </c>
      <c r="P165" s="5">
        <v>1</v>
      </c>
      <c r="Q165" s="5">
        <v>2</v>
      </c>
      <c r="R165" s="5">
        <v>0</v>
      </c>
      <c r="S165" s="5">
        <v>1</v>
      </c>
      <c r="T165" s="5">
        <v>1</v>
      </c>
      <c r="U165" s="2">
        <v>6</v>
      </c>
      <c r="V165" s="2">
        <v>3</v>
      </c>
      <c r="W165" s="5">
        <v>1</v>
      </c>
      <c r="X165" s="5">
        <v>1</v>
      </c>
      <c r="Y165" s="5">
        <v>1</v>
      </c>
      <c r="Z165" s="5">
        <v>0</v>
      </c>
      <c r="AA165" s="5">
        <v>0</v>
      </c>
      <c r="AB165" s="5">
        <v>0</v>
      </c>
      <c r="AC165" s="5">
        <v>0.5</v>
      </c>
      <c r="AD165" s="5">
        <v>2</v>
      </c>
      <c r="AE165" s="5">
        <v>0</v>
      </c>
      <c r="AF165" s="5">
        <v>0.5</v>
      </c>
      <c r="AG165" s="5">
        <v>0.5</v>
      </c>
      <c r="AH165" s="5">
        <v>0</v>
      </c>
      <c r="AI165" s="2">
        <v>6.5</v>
      </c>
      <c r="AJ165" s="2">
        <v>12.5</v>
      </c>
      <c r="AK165" s="2">
        <v>3</v>
      </c>
      <c r="AL165" s="2">
        <v>21.5</v>
      </c>
      <c r="AM165" s="2">
        <v>30</v>
      </c>
      <c r="AN165" t="str">
        <f>IF(OR(G165="",Participant_Data!E165=""),"",IF(Participant_Data!E165&lt;70,IF(ROUND(G165,1)&lt;18.5,"ขาด/เสี่ยงขาด",IF(ROUND(G165,1)&gt;=25,"เสี่ยงเกิน/เกิน","ปกติ")),IF(ROUND(G165,1)&lt;20,"ขาด/เสี่ยงขาด",IF(ROUND(G165,1)&gt;=25,"เสี่ยงเกิน/เกิน","ปกติ"))))</f>
        <v>เสี่ยงเกิน/เกิน</v>
      </c>
      <c r="AO165" t="str">
        <f>IF(OR(I165="",Participant_Data!G165=""),"",IF(Participant_Data!G165=1,IF(ROUND(I165,1)&lt;15,"ขาด/เสี่ยงขาด",IF(ROUND(I165,1)&gt;25,"เสี่ยงเกิน/เกิน","ปกติ")),IF(ROUND(I165,1)&lt;20,"ขาด/เสี่ยงขาด",IF(ROUND(I165,1)&gt;35,"เสี่ยงเกิน/เกิน","ปกติ"))))</f>
        <v>เสี่ยงเกิน/เกิน</v>
      </c>
      <c r="AP165" t="str">
        <f t="shared" si="5"/>
        <v>เสี่ยงเกิน/เกิน</v>
      </c>
    </row>
    <row r="166" spans="1:42">
      <c r="A166" s="2">
        <f>IF(Participant_Data!A166="","",Participant_Data!A166)</f>
        <v>165</v>
      </c>
      <c r="B166" s="2" t="str">
        <f>IF(Participant_Data!B166="","",Participant_Data!B166)</f>
        <v/>
      </c>
      <c r="C166" s="3" t="str">
        <f>IF(Participant_Data!C166="","",Participant_Data!C166)</f>
        <v/>
      </c>
      <c r="D166" s="5"/>
      <c r="E166" s="5">
        <v>150</v>
      </c>
      <c r="F166" s="5">
        <v>60.85</v>
      </c>
      <c r="G166" s="22">
        <f t="shared" si="4"/>
        <v>27.044444444444444</v>
      </c>
      <c r="H166" s="5">
        <v>24.52</v>
      </c>
      <c r="I166" s="5">
        <v>40.299999999999997</v>
      </c>
      <c r="J166" s="5">
        <v>10</v>
      </c>
      <c r="K166" s="5">
        <v>34.299999999999997</v>
      </c>
      <c r="L166" s="5">
        <v>2</v>
      </c>
      <c r="M166" s="5">
        <v>40.299999999999997</v>
      </c>
      <c r="N166" s="5">
        <v>1080</v>
      </c>
      <c r="O166" s="5">
        <v>2</v>
      </c>
      <c r="P166" s="5">
        <v>3</v>
      </c>
      <c r="Q166" s="5">
        <v>2</v>
      </c>
      <c r="R166" s="5">
        <v>2</v>
      </c>
      <c r="S166" s="5">
        <v>2</v>
      </c>
      <c r="T166" s="5">
        <v>3</v>
      </c>
      <c r="U166" s="2">
        <v>14</v>
      </c>
      <c r="V166" s="2">
        <v>1</v>
      </c>
      <c r="W166" s="5">
        <v>1</v>
      </c>
      <c r="X166" s="5">
        <v>1</v>
      </c>
      <c r="Y166" s="5">
        <v>1</v>
      </c>
      <c r="Z166" s="5">
        <v>2</v>
      </c>
      <c r="AA166" s="5">
        <v>0.5</v>
      </c>
      <c r="AB166" s="5">
        <v>1</v>
      </c>
      <c r="AC166" s="5">
        <v>1</v>
      </c>
      <c r="AD166" s="5">
        <v>2</v>
      </c>
      <c r="AE166" s="5">
        <v>2</v>
      </c>
      <c r="AF166" s="5">
        <v>2</v>
      </c>
      <c r="AG166" s="5">
        <v>1</v>
      </c>
      <c r="AH166" s="5">
        <v>1</v>
      </c>
      <c r="AI166" s="2">
        <v>15.5</v>
      </c>
      <c r="AJ166" s="2">
        <v>29.5</v>
      </c>
      <c r="AK166" s="2">
        <v>1</v>
      </c>
      <c r="AL166" s="2">
        <v>29.5</v>
      </c>
      <c r="AM166" s="2">
        <v>36</v>
      </c>
      <c r="AN166" t="str">
        <f>IF(OR(G166="",Participant_Data!E166=""),"",IF(Participant_Data!E166&lt;70,IF(ROUND(G166,1)&lt;18.5,"ขาด/เสี่ยงขาด",IF(ROUND(G166,1)&gt;=25,"เสี่ยงเกิน/เกิน","ปกติ")),IF(ROUND(G166,1)&lt;20,"ขาด/เสี่ยงขาด",IF(ROUND(G166,1)&gt;=25,"เสี่ยงเกิน/เกิน","ปกติ"))))</f>
        <v>เสี่ยงเกิน/เกิน</v>
      </c>
      <c r="AO166" t="str">
        <f>IF(OR(I166="",Participant_Data!G166=""),"",IF(Participant_Data!G166=1,IF(ROUND(I166,1)&lt;15,"ขาด/เสี่ยงขาด",IF(ROUND(I166,1)&gt;25,"เสี่ยงเกิน/เกิน","ปกติ")),IF(ROUND(I166,1)&lt;20,"ขาด/เสี่ยงขาด",IF(ROUND(I166,1)&gt;35,"เสี่ยงเกิน/เกิน","ปกติ"))))</f>
        <v>เสี่ยงเกิน/เกิน</v>
      </c>
      <c r="AP166" t="str">
        <f t="shared" si="5"/>
        <v>เสี่ยงเกิน/เกิน</v>
      </c>
    </row>
    <row r="167" spans="1:42">
      <c r="A167" s="2">
        <f>IF(Participant_Data!A167="","",Participant_Data!A167)</f>
        <v>166</v>
      </c>
      <c r="B167" s="2" t="str">
        <f>IF(Participant_Data!B167="","",Participant_Data!B167)</f>
        <v/>
      </c>
      <c r="C167" s="3" t="str">
        <f>IF(Participant_Data!C167="","",Participant_Data!C167)</f>
        <v/>
      </c>
      <c r="D167" s="5"/>
      <c r="E167" s="5">
        <v>150</v>
      </c>
      <c r="F167" s="5">
        <v>54.65</v>
      </c>
      <c r="G167" s="22">
        <f t="shared" si="4"/>
        <v>24.288888888888888</v>
      </c>
      <c r="H167" s="5">
        <v>20</v>
      </c>
      <c r="I167" s="5">
        <v>36.6</v>
      </c>
      <c r="J167" s="5">
        <v>8.5</v>
      </c>
      <c r="K167" s="5">
        <v>32.75</v>
      </c>
      <c r="L167" s="5">
        <v>1.9</v>
      </c>
      <c r="M167" s="5">
        <v>40.6</v>
      </c>
      <c r="N167" s="5">
        <v>1012</v>
      </c>
      <c r="O167" s="5">
        <v>2</v>
      </c>
      <c r="P167" s="5">
        <v>3</v>
      </c>
      <c r="Q167" s="5">
        <v>2</v>
      </c>
      <c r="R167" s="5">
        <v>2</v>
      </c>
      <c r="S167" s="5">
        <v>2</v>
      </c>
      <c r="T167" s="5">
        <v>3</v>
      </c>
      <c r="U167" s="2">
        <v>14</v>
      </c>
      <c r="V167" s="2">
        <v>1</v>
      </c>
      <c r="W167" s="5">
        <v>1</v>
      </c>
      <c r="X167" s="5">
        <v>1</v>
      </c>
      <c r="Y167" s="5">
        <v>1</v>
      </c>
      <c r="Z167" s="5">
        <v>2</v>
      </c>
      <c r="AA167" s="5">
        <v>0.5</v>
      </c>
      <c r="AB167" s="5">
        <v>1</v>
      </c>
      <c r="AC167" s="5">
        <v>1</v>
      </c>
      <c r="AD167" s="5">
        <v>2</v>
      </c>
      <c r="AE167" s="5">
        <v>2</v>
      </c>
      <c r="AF167" s="5">
        <v>0</v>
      </c>
      <c r="AG167" s="5">
        <v>1</v>
      </c>
      <c r="AH167" s="5">
        <v>1</v>
      </c>
      <c r="AI167" s="2">
        <v>13.5</v>
      </c>
      <c r="AJ167" s="2">
        <v>27.5</v>
      </c>
      <c r="AK167" s="2">
        <v>1</v>
      </c>
      <c r="AL167" s="2">
        <v>27</v>
      </c>
      <c r="AM167" s="2">
        <v>33</v>
      </c>
      <c r="AN167" t="str">
        <f>IF(OR(G167="",Participant_Data!E167=""),"",IF(Participant_Data!E167&lt;70,IF(ROUND(G167,1)&lt;18.5,"ขาด/เสี่ยงขาด",IF(ROUND(G167,1)&gt;=25,"เสี่ยงเกิน/เกิน","ปกติ")),IF(ROUND(G167,1)&lt;20,"ขาด/เสี่ยงขาด",IF(ROUND(G167,1)&gt;=25,"เสี่ยงเกิน/เกิน","ปกติ"))))</f>
        <v>ปกติ</v>
      </c>
      <c r="AO167" t="str">
        <f>IF(OR(I167="",Participant_Data!G167=""),"",IF(Participant_Data!G167=1,IF(ROUND(I167,1)&lt;15,"ขาด/เสี่ยงขาด",IF(ROUND(I167,1)&gt;25,"เสี่ยงเกิน/เกิน","ปกติ")),IF(ROUND(I167,1)&lt;20,"ขาด/เสี่ยงขาด",IF(ROUND(I167,1)&gt;35,"เสี่ยงเกิน/เกิน","ปกติ"))))</f>
        <v>เสี่ยงเกิน/เกิน</v>
      </c>
      <c r="AP167" t="str">
        <f t="shared" si="5"/>
        <v>เสี่ยงเกิน/เกิน</v>
      </c>
    </row>
    <row r="168" spans="1:42">
      <c r="A168" s="2">
        <f>IF(Participant_Data!A168="","",Participant_Data!A168)</f>
        <v>167</v>
      </c>
      <c r="B168" s="2" t="str">
        <f>IF(Participant_Data!B168="","",Participant_Data!B168)</f>
        <v/>
      </c>
      <c r="C168" s="3" t="str">
        <f>IF(Participant_Data!C168="","",Participant_Data!C168)</f>
        <v/>
      </c>
      <c r="D168" s="5"/>
      <c r="E168" s="5">
        <v>143</v>
      </c>
      <c r="F168" s="5">
        <v>40.65</v>
      </c>
      <c r="G168" s="22">
        <f t="shared" si="4"/>
        <v>19.878722675925474</v>
      </c>
      <c r="H168" s="5">
        <v>10.24</v>
      </c>
      <c r="I168" s="5">
        <v>25.2</v>
      </c>
      <c r="J168" s="5">
        <v>5.5</v>
      </c>
      <c r="K168" s="5">
        <v>28.9</v>
      </c>
      <c r="L168" s="5">
        <v>1.5</v>
      </c>
      <c r="M168" s="5">
        <v>43.8</v>
      </c>
      <c r="N168" s="5">
        <v>852</v>
      </c>
      <c r="O168" s="5">
        <v>2</v>
      </c>
      <c r="P168" s="5">
        <v>2</v>
      </c>
      <c r="Q168" s="5">
        <v>2</v>
      </c>
      <c r="R168" s="5">
        <v>2</v>
      </c>
      <c r="S168" s="5">
        <v>1</v>
      </c>
      <c r="T168" s="5">
        <v>1</v>
      </c>
      <c r="U168" s="2">
        <v>10</v>
      </c>
      <c r="V168" s="2">
        <v>2</v>
      </c>
      <c r="W168" s="5">
        <v>1</v>
      </c>
      <c r="X168" s="5">
        <v>1</v>
      </c>
      <c r="Y168" s="5">
        <v>1</v>
      </c>
      <c r="Z168" s="5">
        <v>2</v>
      </c>
      <c r="AA168" s="5">
        <v>1</v>
      </c>
      <c r="AB168" s="5">
        <v>1</v>
      </c>
      <c r="AC168" s="5">
        <v>1</v>
      </c>
      <c r="AD168" s="5">
        <v>2</v>
      </c>
      <c r="AE168" s="5">
        <v>2</v>
      </c>
      <c r="AF168" s="5">
        <v>1</v>
      </c>
      <c r="AG168" s="5">
        <v>1</v>
      </c>
      <c r="AH168" s="5">
        <v>1</v>
      </c>
      <c r="AI168" s="2">
        <v>15</v>
      </c>
      <c r="AJ168" s="2">
        <v>25</v>
      </c>
      <c r="AK168" s="2">
        <v>1</v>
      </c>
      <c r="AL168" s="2">
        <v>23</v>
      </c>
      <c r="AM168" s="2">
        <v>33</v>
      </c>
      <c r="AN168" t="str">
        <f>IF(OR(G168="",Participant_Data!E168=""),"",IF(Participant_Data!E168&lt;70,IF(ROUND(G168,1)&lt;18.5,"ขาด/เสี่ยงขาด",IF(ROUND(G168,1)&gt;=25,"เสี่ยงเกิน/เกิน","ปกติ")),IF(ROUND(G168,1)&lt;20,"ขาด/เสี่ยงขาด",IF(ROUND(G168,1)&gt;=25,"เสี่ยงเกิน/เกิน","ปกติ"))))</f>
        <v>ขาด/เสี่ยงขาด</v>
      </c>
      <c r="AO168" t="str">
        <f>IF(OR(I168="",Participant_Data!G168=""),"",IF(Participant_Data!G168=1,IF(ROUND(I168,1)&lt;15,"ขาด/เสี่ยงขาด",IF(ROUND(I168,1)&gt;25,"เสี่ยงเกิน/เกิน","ปกติ")),IF(ROUND(I168,1)&lt;20,"ขาด/เสี่ยงขาด",IF(ROUND(I168,1)&gt;35,"เสี่ยงเกิน/เกิน","ปกติ"))))</f>
        <v>ปกติ</v>
      </c>
      <c r="AP168" t="str">
        <f t="shared" si="5"/>
        <v>ขาด/เสี่ยงขาด</v>
      </c>
    </row>
    <row r="169" spans="1:42">
      <c r="A169" s="2">
        <f>IF(Participant_Data!A169="","",Participant_Data!A169)</f>
        <v>168</v>
      </c>
      <c r="B169" s="2" t="str">
        <f>IF(Participant_Data!B169="","",Participant_Data!B169)</f>
        <v/>
      </c>
      <c r="C169" s="3" t="str">
        <f>IF(Participant_Data!C169="","",Participant_Data!C169)</f>
        <v/>
      </c>
      <c r="D169" s="5"/>
      <c r="E169" s="5">
        <v>165</v>
      </c>
      <c r="F169" s="5">
        <v>76.400000000000006</v>
      </c>
      <c r="G169" s="22">
        <f t="shared" si="4"/>
        <v>28.062442607897157</v>
      </c>
      <c r="H169" s="5">
        <v>19.329999999999998</v>
      </c>
      <c r="I169" s="5">
        <v>25.3</v>
      </c>
      <c r="J169" s="5">
        <v>18</v>
      </c>
      <c r="K169" s="5">
        <v>54.1</v>
      </c>
      <c r="L169" s="5">
        <v>3</v>
      </c>
      <c r="M169" s="5">
        <v>45.8</v>
      </c>
      <c r="N169" s="5">
        <v>1563</v>
      </c>
      <c r="O169" s="5">
        <v>2</v>
      </c>
      <c r="P169" s="5">
        <v>3</v>
      </c>
      <c r="Q169" s="5">
        <v>2</v>
      </c>
      <c r="R169" s="5">
        <v>2</v>
      </c>
      <c r="S169" s="5">
        <v>2</v>
      </c>
      <c r="T169" s="5">
        <v>3</v>
      </c>
      <c r="U169" s="2">
        <v>14</v>
      </c>
      <c r="V169" s="2">
        <v>1</v>
      </c>
      <c r="W169" s="5">
        <v>1</v>
      </c>
      <c r="X169" s="5">
        <v>1</v>
      </c>
      <c r="Y169" s="5">
        <v>1</v>
      </c>
      <c r="Z169" s="5">
        <v>1</v>
      </c>
      <c r="AA169" s="5">
        <v>0.5</v>
      </c>
      <c r="AB169" s="5">
        <v>1</v>
      </c>
      <c r="AC169" s="5">
        <v>1</v>
      </c>
      <c r="AD169" s="5">
        <v>2</v>
      </c>
      <c r="AE169" s="5">
        <v>2</v>
      </c>
      <c r="AF169" s="5">
        <v>0</v>
      </c>
      <c r="AG169" s="5">
        <v>1</v>
      </c>
      <c r="AH169" s="5">
        <v>1</v>
      </c>
      <c r="AI169" s="2">
        <v>12.5</v>
      </c>
      <c r="AJ169" s="2">
        <v>26.5</v>
      </c>
      <c r="AK169" s="2">
        <v>1</v>
      </c>
      <c r="AL169" s="2">
        <v>31</v>
      </c>
      <c r="AM169" s="2">
        <v>34</v>
      </c>
      <c r="AN169" t="str">
        <f>IF(OR(G169="",Participant_Data!E169=""),"",IF(Participant_Data!E169&lt;70,IF(ROUND(G169,1)&lt;18.5,"ขาด/เสี่ยงขาด",IF(ROUND(G169,1)&gt;=25,"เสี่ยงเกิน/เกิน","ปกติ")),IF(ROUND(G169,1)&lt;20,"ขาด/เสี่ยงขาด",IF(ROUND(G169,1)&gt;=25,"เสี่ยงเกิน/เกิน","ปกติ"))))</f>
        <v>เสี่ยงเกิน/เกิน</v>
      </c>
      <c r="AO169" t="str">
        <f>IF(OR(I169="",Participant_Data!G169=""),"",IF(Participant_Data!G169=1,IF(ROUND(I169,1)&lt;15,"ขาด/เสี่ยงขาด",IF(ROUND(I169,1)&gt;25,"เสี่ยงเกิน/เกิน","ปกติ")),IF(ROUND(I169,1)&lt;20,"ขาด/เสี่ยงขาด",IF(ROUND(I169,1)&gt;35,"เสี่ยงเกิน/เกิน","ปกติ"))))</f>
        <v>เสี่ยงเกิน/เกิน</v>
      </c>
      <c r="AP169" t="str">
        <f t="shared" si="5"/>
        <v>เสี่ยงเกิน/เกิน</v>
      </c>
    </row>
    <row r="170" spans="1:42">
      <c r="A170" s="2">
        <f>IF(Participant_Data!A170="","",Participant_Data!A170)</f>
        <v>169</v>
      </c>
      <c r="B170" s="2" t="str">
        <f>IF(Participant_Data!B170="","",Participant_Data!B170)</f>
        <v/>
      </c>
      <c r="C170" s="3" t="str">
        <f>IF(Participant_Data!C170="","",Participant_Data!C170)</f>
        <v/>
      </c>
      <c r="D170" s="5"/>
      <c r="E170" s="5">
        <v>150</v>
      </c>
      <c r="F170" s="5">
        <v>35</v>
      </c>
      <c r="G170" s="22">
        <f t="shared" si="4"/>
        <v>15.555555555555555</v>
      </c>
      <c r="H170" s="5">
        <v>4.2300000000000004</v>
      </c>
      <c r="I170" s="5">
        <v>12.1</v>
      </c>
      <c r="J170" s="5">
        <v>1</v>
      </c>
      <c r="K170" s="5">
        <v>29.25</v>
      </c>
      <c r="L170" s="5">
        <v>1.5</v>
      </c>
      <c r="M170" s="5">
        <v>59.3</v>
      </c>
      <c r="N170" s="5">
        <v>836</v>
      </c>
      <c r="O170" s="5">
        <v>2</v>
      </c>
      <c r="P170" s="5">
        <v>3</v>
      </c>
      <c r="Q170" s="5">
        <v>2</v>
      </c>
      <c r="R170" s="5">
        <v>2</v>
      </c>
      <c r="S170" s="5">
        <v>1</v>
      </c>
      <c r="T170" s="5">
        <v>0</v>
      </c>
      <c r="U170" s="2">
        <v>10</v>
      </c>
      <c r="V170" s="2">
        <v>2</v>
      </c>
      <c r="W170" s="5">
        <v>1</v>
      </c>
      <c r="X170" s="5">
        <v>1</v>
      </c>
      <c r="Y170" s="5">
        <v>1</v>
      </c>
      <c r="Z170" s="5">
        <v>1</v>
      </c>
      <c r="AA170" s="5">
        <v>0.5</v>
      </c>
      <c r="AB170" s="5">
        <v>1</v>
      </c>
      <c r="AC170" s="5">
        <v>1</v>
      </c>
      <c r="AD170" s="5">
        <v>2</v>
      </c>
      <c r="AE170" s="5">
        <v>2</v>
      </c>
      <c r="AF170" s="5">
        <v>1</v>
      </c>
      <c r="AG170" s="5">
        <v>0</v>
      </c>
      <c r="AH170" s="5">
        <v>0</v>
      </c>
      <c r="AI170" s="2">
        <v>11.5</v>
      </c>
      <c r="AJ170" s="2">
        <v>21.5</v>
      </c>
      <c r="AK170" s="2">
        <v>2</v>
      </c>
      <c r="AL170" s="2">
        <v>20</v>
      </c>
      <c r="AM170" s="2">
        <v>27</v>
      </c>
      <c r="AN170" t="str">
        <f>IF(OR(G170="",Participant_Data!E170=""),"",IF(Participant_Data!E170&lt;70,IF(ROUND(G170,1)&lt;18.5,"ขาด/เสี่ยงขาด",IF(ROUND(G170,1)&gt;=25,"เสี่ยงเกิน/เกิน","ปกติ")),IF(ROUND(G170,1)&lt;20,"ขาด/เสี่ยงขาด",IF(ROUND(G170,1)&gt;=25,"เสี่ยงเกิน/เกิน","ปกติ"))))</f>
        <v>ขาด/เสี่ยงขาด</v>
      </c>
      <c r="AO170" t="str">
        <f>IF(OR(I170="",Participant_Data!G170=""),"",IF(Participant_Data!G170=1,IF(ROUND(I170,1)&lt;15,"ขาด/เสี่ยงขาด",IF(ROUND(I170,1)&gt;25,"เสี่ยงเกิน/เกิน","ปกติ")),IF(ROUND(I170,1)&lt;20,"ขาด/เสี่ยงขาด",IF(ROUND(I170,1)&gt;35,"เสี่ยงเกิน/เกิน","ปกติ"))))</f>
        <v>ขาด/เสี่ยงขาด</v>
      </c>
      <c r="AP170" t="str">
        <f t="shared" si="5"/>
        <v>ขาด/เสี่ยงขาด</v>
      </c>
    </row>
    <row r="171" spans="1:42">
      <c r="A171" s="2">
        <f>IF(Participant_Data!A171="","",Participant_Data!A171)</f>
        <v>170</v>
      </c>
      <c r="B171" s="2" t="str">
        <f>IF(Participant_Data!B171="","",Participant_Data!B171)</f>
        <v/>
      </c>
      <c r="C171" s="3" t="str">
        <f>IF(Participant_Data!C171="","",Participant_Data!C171)</f>
        <v/>
      </c>
      <c r="D171" s="5"/>
      <c r="E171" s="5">
        <v>160</v>
      </c>
      <c r="F171" s="5">
        <v>69.849999999999994</v>
      </c>
      <c r="G171" s="22">
        <f t="shared" si="4"/>
        <v>27.285156249999993</v>
      </c>
      <c r="H171" s="5">
        <v>26.12</v>
      </c>
      <c r="I171" s="5">
        <v>37.4</v>
      </c>
      <c r="J171" s="5">
        <v>9.5</v>
      </c>
      <c r="K171" s="5">
        <v>41.1</v>
      </c>
      <c r="L171" s="5">
        <v>2.7</v>
      </c>
      <c r="M171" s="5">
        <v>44.3</v>
      </c>
      <c r="N171" s="5">
        <v>1297</v>
      </c>
      <c r="O171" s="5">
        <v>2</v>
      </c>
      <c r="P171" s="5">
        <v>3</v>
      </c>
      <c r="Q171" s="5">
        <v>2</v>
      </c>
      <c r="R171" s="5">
        <v>2</v>
      </c>
      <c r="S171" s="5">
        <v>2</v>
      </c>
      <c r="T171" s="5">
        <v>3</v>
      </c>
      <c r="U171" s="2">
        <v>14</v>
      </c>
      <c r="V171" s="2">
        <v>1</v>
      </c>
      <c r="W171" s="5">
        <v>1</v>
      </c>
      <c r="X171" s="5">
        <v>1</v>
      </c>
      <c r="Y171" s="5">
        <v>1</v>
      </c>
      <c r="Z171" s="5">
        <v>1</v>
      </c>
      <c r="AA171" s="5">
        <v>0.5</v>
      </c>
      <c r="AB171" s="5">
        <v>1</v>
      </c>
      <c r="AC171" s="5">
        <v>1</v>
      </c>
      <c r="AD171" s="5">
        <v>2</v>
      </c>
      <c r="AE171" s="5">
        <v>2</v>
      </c>
      <c r="AF171" s="5">
        <v>1</v>
      </c>
      <c r="AG171" s="5">
        <v>1</v>
      </c>
      <c r="AH171" s="5">
        <v>1</v>
      </c>
      <c r="AI171" s="2">
        <v>13.5</v>
      </c>
      <c r="AJ171" s="2">
        <v>27.5</v>
      </c>
      <c r="AK171" s="2">
        <v>1</v>
      </c>
      <c r="AL171" s="2">
        <v>31</v>
      </c>
      <c r="AM171" s="2">
        <v>37</v>
      </c>
      <c r="AN171" t="str">
        <f>IF(OR(G171="",Participant_Data!E171=""),"",IF(Participant_Data!E171&lt;70,IF(ROUND(G171,1)&lt;18.5,"ขาด/เสี่ยงขาด",IF(ROUND(G171,1)&gt;=25,"เสี่ยงเกิน/เกิน","ปกติ")),IF(ROUND(G171,1)&lt;20,"ขาด/เสี่ยงขาด",IF(ROUND(G171,1)&gt;=25,"เสี่ยงเกิน/เกิน","ปกติ"))))</f>
        <v>เสี่ยงเกิน/เกิน</v>
      </c>
      <c r="AO171" t="str">
        <f>IF(OR(I171="",Participant_Data!G171=""),"",IF(Participant_Data!G171=1,IF(ROUND(I171,1)&lt;15,"ขาด/เสี่ยงขาด",IF(ROUND(I171,1)&gt;25,"เสี่ยงเกิน/เกิน","ปกติ")),IF(ROUND(I171,1)&lt;20,"ขาด/เสี่ยงขาด",IF(ROUND(I171,1)&gt;35,"เสี่ยงเกิน/เกิน","ปกติ"))))</f>
        <v>เสี่ยงเกิน/เกิน</v>
      </c>
      <c r="AP171" t="str">
        <f t="shared" si="5"/>
        <v>เสี่ยงเกิน/เกิน</v>
      </c>
    </row>
    <row r="172" spans="1:42">
      <c r="A172" s="2">
        <f>IF(Participant_Data!A172="","",Participant_Data!A172)</f>
        <v>171</v>
      </c>
      <c r="B172" s="2" t="str">
        <f>IF(Participant_Data!B172="","",Participant_Data!B172)</f>
        <v/>
      </c>
      <c r="C172" s="3" t="str">
        <f>IF(Participant_Data!C172="","",Participant_Data!C172)</f>
        <v/>
      </c>
      <c r="D172" s="5"/>
      <c r="E172" s="5">
        <v>157</v>
      </c>
      <c r="F172" s="5">
        <v>46.95</v>
      </c>
      <c r="G172" s="22">
        <f t="shared" si="4"/>
        <v>19.047425859061221</v>
      </c>
      <c r="H172" s="5">
        <v>9.06</v>
      </c>
      <c r="I172" s="5">
        <v>19.3</v>
      </c>
      <c r="J172" s="5">
        <v>4.5</v>
      </c>
      <c r="K172" s="5">
        <v>35.75</v>
      </c>
      <c r="L172" s="5">
        <v>2.2000000000000002</v>
      </c>
      <c r="M172" s="5">
        <v>54.6</v>
      </c>
      <c r="N172" s="5">
        <v>1040</v>
      </c>
      <c r="O172" s="5">
        <v>1</v>
      </c>
      <c r="P172" s="5">
        <v>1</v>
      </c>
      <c r="Q172" s="5">
        <v>2</v>
      </c>
      <c r="R172" s="5">
        <v>0</v>
      </c>
      <c r="S172" s="5">
        <v>2</v>
      </c>
      <c r="T172" s="5">
        <v>3</v>
      </c>
      <c r="U172" s="2">
        <v>9</v>
      </c>
      <c r="V172" s="2">
        <v>2</v>
      </c>
      <c r="W172" s="5">
        <v>1</v>
      </c>
      <c r="X172" s="5">
        <v>0</v>
      </c>
      <c r="Y172" s="5">
        <v>1</v>
      </c>
      <c r="Z172" s="5">
        <v>1</v>
      </c>
      <c r="AA172" s="5">
        <v>0.5</v>
      </c>
      <c r="AB172" s="5">
        <v>0</v>
      </c>
      <c r="AC172" s="5">
        <v>1</v>
      </c>
      <c r="AD172" s="5">
        <v>2</v>
      </c>
      <c r="AE172" s="5">
        <v>1</v>
      </c>
      <c r="AF172" s="5">
        <v>0.5</v>
      </c>
      <c r="AG172" s="5">
        <v>0.5</v>
      </c>
      <c r="AH172" s="5">
        <v>1</v>
      </c>
      <c r="AI172" s="2">
        <v>9.5</v>
      </c>
      <c r="AJ172" s="2">
        <v>18.5</v>
      </c>
      <c r="AK172" s="2">
        <v>2</v>
      </c>
      <c r="AL172" s="2">
        <v>22</v>
      </c>
      <c r="AM172" s="2">
        <v>32</v>
      </c>
      <c r="AN172" t="str">
        <f>IF(OR(G172="",Participant_Data!E172=""),"",IF(Participant_Data!E172&lt;70,IF(ROUND(G172,1)&lt;18.5,"ขาด/เสี่ยงขาด",IF(ROUND(G172,1)&gt;=25,"เสี่ยงเกิน/เกิน","ปกติ")),IF(ROUND(G172,1)&lt;20,"ขาด/เสี่ยงขาด",IF(ROUND(G172,1)&gt;=25,"เสี่ยงเกิน/เกิน","ปกติ"))))</f>
        <v>ขาด/เสี่ยงขาด</v>
      </c>
      <c r="AO172" t="str">
        <f>IF(OR(I172="",Participant_Data!G172=""),"",IF(Participant_Data!G172=1,IF(ROUND(I172,1)&lt;15,"ขาด/เสี่ยงขาด",IF(ROUND(I172,1)&gt;25,"เสี่ยงเกิน/เกิน","ปกติ")),IF(ROUND(I172,1)&lt;20,"ขาด/เสี่ยงขาด",IF(ROUND(I172,1)&gt;35,"เสี่ยงเกิน/เกิน","ปกติ"))))</f>
        <v>ขาด/เสี่ยงขาด</v>
      </c>
      <c r="AP172" t="str">
        <f t="shared" si="5"/>
        <v>ขาด/เสี่ยงขาด</v>
      </c>
    </row>
    <row r="173" spans="1:42">
      <c r="A173" s="2">
        <f>IF(Participant_Data!A173="","",Participant_Data!A173)</f>
        <v>172</v>
      </c>
      <c r="B173" s="2" t="str">
        <f>IF(Participant_Data!B173="","",Participant_Data!B173)</f>
        <v/>
      </c>
      <c r="C173" s="3" t="str">
        <f>IF(Participant_Data!C173="","",Participant_Data!C173)</f>
        <v/>
      </c>
      <c r="D173" s="5"/>
      <c r="E173" s="5">
        <v>145</v>
      </c>
      <c r="F173" s="5">
        <v>42.8</v>
      </c>
      <c r="G173" s="22">
        <f t="shared" si="4"/>
        <v>20.356718192627824</v>
      </c>
      <c r="H173" s="5">
        <v>12.03</v>
      </c>
      <c r="I173" s="5">
        <v>28.1</v>
      </c>
      <c r="J173" s="5">
        <v>5.5</v>
      </c>
      <c r="K173" s="5">
        <v>29.25</v>
      </c>
      <c r="L173" s="5">
        <v>1.5</v>
      </c>
      <c r="M173" s="5">
        <v>50.2</v>
      </c>
      <c r="N173" s="5">
        <v>874</v>
      </c>
      <c r="O173" s="5">
        <v>2</v>
      </c>
      <c r="P173" s="5">
        <v>3</v>
      </c>
      <c r="Q173" s="5">
        <v>2</v>
      </c>
      <c r="R173" s="5">
        <v>2</v>
      </c>
      <c r="S173" s="5">
        <v>1</v>
      </c>
      <c r="T173" s="5">
        <v>1</v>
      </c>
      <c r="U173" s="2">
        <v>11</v>
      </c>
      <c r="V173" s="2">
        <v>2</v>
      </c>
      <c r="W173" s="5">
        <v>1</v>
      </c>
      <c r="X173" s="5">
        <v>1</v>
      </c>
      <c r="Y173" s="5">
        <v>1</v>
      </c>
      <c r="Z173" s="5">
        <v>2</v>
      </c>
      <c r="AA173" s="5">
        <v>0.5</v>
      </c>
      <c r="AB173" s="5">
        <v>1</v>
      </c>
      <c r="AC173" s="5">
        <v>1</v>
      </c>
      <c r="AD173" s="5">
        <v>2</v>
      </c>
      <c r="AE173" s="5">
        <v>1</v>
      </c>
      <c r="AF173" s="5">
        <v>1</v>
      </c>
      <c r="AG173" s="5">
        <v>1</v>
      </c>
      <c r="AH173" s="5">
        <v>1</v>
      </c>
      <c r="AI173" s="2">
        <v>13.5</v>
      </c>
      <c r="AJ173" s="2">
        <v>24.5</v>
      </c>
      <c r="AK173" s="2">
        <v>1</v>
      </c>
      <c r="AL173" s="2">
        <v>23</v>
      </c>
      <c r="AM173" s="2">
        <v>31.5</v>
      </c>
      <c r="AN173" t="str">
        <f>IF(OR(G173="",Participant_Data!E173=""),"",IF(Participant_Data!E173&lt;70,IF(ROUND(G173,1)&lt;18.5,"ขาด/เสี่ยงขาด",IF(ROUND(G173,1)&gt;=25,"เสี่ยงเกิน/เกิน","ปกติ")),IF(ROUND(G173,1)&lt;20,"ขาด/เสี่ยงขาด",IF(ROUND(G173,1)&gt;=25,"เสี่ยงเกิน/เกิน","ปกติ"))))</f>
        <v>ปกติ</v>
      </c>
      <c r="AO173" t="str">
        <f>IF(OR(I173="",Participant_Data!G173=""),"",IF(Participant_Data!G173=1,IF(ROUND(I173,1)&lt;15,"ขาด/เสี่ยงขาด",IF(ROUND(I173,1)&gt;25,"เสี่ยงเกิน/เกิน","ปกติ")),IF(ROUND(I173,1)&lt;20,"ขาด/เสี่ยงขาด",IF(ROUND(I173,1)&gt;35,"เสี่ยงเกิน/เกิน","ปกติ"))))</f>
        <v>ปกติ</v>
      </c>
      <c r="AP173" t="str">
        <f t="shared" si="5"/>
        <v>ปกติ</v>
      </c>
    </row>
    <row r="174" spans="1:42">
      <c r="A174" s="2">
        <f>IF(Participant_Data!A174="","",Participant_Data!A174)</f>
        <v>173</v>
      </c>
      <c r="B174" s="2" t="str">
        <f>IF(Participant_Data!B174="","",Participant_Data!B174)</f>
        <v/>
      </c>
      <c r="C174" s="3" t="str">
        <f>IF(Participant_Data!C174="","",Participant_Data!C174)</f>
        <v/>
      </c>
      <c r="D174" s="5"/>
      <c r="E174" s="5">
        <v>175</v>
      </c>
      <c r="F174" s="5">
        <v>65.5</v>
      </c>
      <c r="G174" s="22">
        <f t="shared" si="4"/>
        <v>21.387755102040817</v>
      </c>
      <c r="H174" s="5">
        <v>17.2</v>
      </c>
      <c r="I174" s="5">
        <v>26.2</v>
      </c>
      <c r="J174" s="5">
        <v>14.5</v>
      </c>
      <c r="K174" s="5">
        <v>45.9</v>
      </c>
      <c r="L174" s="5">
        <v>2.5</v>
      </c>
      <c r="M174" s="5">
        <v>39.4</v>
      </c>
      <c r="N174" s="5">
        <v>1308</v>
      </c>
      <c r="O174" s="5">
        <v>2</v>
      </c>
      <c r="P174" s="5">
        <v>3</v>
      </c>
      <c r="Q174" s="5">
        <v>2</v>
      </c>
      <c r="R174" s="5">
        <v>2</v>
      </c>
      <c r="S174" s="5">
        <v>2</v>
      </c>
      <c r="T174" s="5">
        <v>2</v>
      </c>
      <c r="U174" s="2">
        <v>13</v>
      </c>
      <c r="V174" s="2">
        <v>1</v>
      </c>
      <c r="W174" s="5">
        <v>1</v>
      </c>
      <c r="X174" s="5">
        <v>1</v>
      </c>
      <c r="Y174" s="5">
        <v>1</v>
      </c>
      <c r="Z174" s="5">
        <v>2</v>
      </c>
      <c r="AA174" s="5">
        <v>1</v>
      </c>
      <c r="AB174" s="5">
        <v>1</v>
      </c>
      <c r="AC174" s="5">
        <v>1</v>
      </c>
      <c r="AD174" s="5">
        <v>2</v>
      </c>
      <c r="AE174" s="5">
        <v>2</v>
      </c>
      <c r="AF174" s="5">
        <v>0.5</v>
      </c>
      <c r="AG174" s="5">
        <v>1</v>
      </c>
      <c r="AH174" s="5">
        <v>0</v>
      </c>
      <c r="AI174" s="2">
        <v>13.5</v>
      </c>
      <c r="AJ174" s="2">
        <v>26.5</v>
      </c>
      <c r="AK174" s="2">
        <v>1</v>
      </c>
      <c r="AL174" s="2">
        <v>27</v>
      </c>
      <c r="AM174" s="2">
        <v>30</v>
      </c>
      <c r="AN174" t="str">
        <f>IF(OR(G174="",Participant_Data!E174=""),"",IF(Participant_Data!E174&lt;70,IF(ROUND(G174,1)&lt;18.5,"ขาด/เสี่ยงขาด",IF(ROUND(G174,1)&gt;=25,"เสี่ยงเกิน/เกิน","ปกติ")),IF(ROUND(G174,1)&lt;20,"ขาด/เสี่ยงขาด",IF(ROUND(G174,1)&gt;=25,"เสี่ยงเกิน/เกิน","ปกติ"))))</f>
        <v>ปกติ</v>
      </c>
      <c r="AO174" t="str">
        <f>IF(OR(I174="",Participant_Data!G174=""),"",IF(Participant_Data!G174=1,IF(ROUND(I174,1)&lt;15,"ขาด/เสี่ยงขาด",IF(ROUND(I174,1)&gt;25,"เสี่ยงเกิน/เกิน","ปกติ")),IF(ROUND(I174,1)&lt;20,"ขาด/เสี่ยงขาด",IF(ROUND(I174,1)&gt;35,"เสี่ยงเกิน/เกิน","ปกติ"))))</f>
        <v>เสี่ยงเกิน/เกิน</v>
      </c>
      <c r="AP174" t="str">
        <f t="shared" si="5"/>
        <v>เสี่ยงเกิน/เกิน</v>
      </c>
    </row>
    <row r="175" spans="1:42">
      <c r="A175" s="2">
        <f>IF(Participant_Data!A175="","",Participant_Data!A175)</f>
        <v>174</v>
      </c>
      <c r="B175" s="2" t="str">
        <f>IF(Participant_Data!B175="","",Participant_Data!B175)</f>
        <v/>
      </c>
      <c r="C175" s="3" t="str">
        <f>IF(Participant_Data!C175="","",Participant_Data!C175)</f>
        <v/>
      </c>
      <c r="D175" s="5"/>
      <c r="E175" s="5">
        <v>157</v>
      </c>
      <c r="F175" s="5">
        <v>64.099999999999994</v>
      </c>
      <c r="G175" s="22">
        <f t="shared" si="4"/>
        <v>26.005111769240127</v>
      </c>
      <c r="H175" s="5">
        <v>15.51</v>
      </c>
      <c r="I175" s="5">
        <v>24.2</v>
      </c>
      <c r="J175" s="5">
        <v>17.5</v>
      </c>
      <c r="K175" s="5">
        <v>46.1</v>
      </c>
      <c r="L175" s="5">
        <v>2.5</v>
      </c>
      <c r="M175" s="5">
        <v>50.2</v>
      </c>
      <c r="N175" s="5">
        <v>1305</v>
      </c>
      <c r="O175" s="5">
        <v>2</v>
      </c>
      <c r="P175" s="5">
        <v>3</v>
      </c>
      <c r="Q175" s="5">
        <v>2</v>
      </c>
      <c r="R175" s="5">
        <v>2</v>
      </c>
      <c r="S175" s="5">
        <v>2</v>
      </c>
      <c r="T175" s="5">
        <v>3</v>
      </c>
      <c r="U175" s="2">
        <v>14</v>
      </c>
      <c r="V175" s="2">
        <v>1</v>
      </c>
      <c r="W175" s="5">
        <v>1</v>
      </c>
      <c r="X175" s="5">
        <v>1</v>
      </c>
      <c r="Y175" s="5">
        <v>1</v>
      </c>
      <c r="Z175" s="5">
        <v>2</v>
      </c>
      <c r="AA175" s="5">
        <v>0.5</v>
      </c>
      <c r="AB175" s="5">
        <v>1</v>
      </c>
      <c r="AC175" s="5">
        <v>1</v>
      </c>
      <c r="AD175" s="5">
        <v>2</v>
      </c>
      <c r="AE175" s="5">
        <v>2</v>
      </c>
      <c r="AF175" s="5">
        <v>0.5</v>
      </c>
      <c r="AG175" s="5">
        <v>1</v>
      </c>
      <c r="AH175" s="5">
        <v>1</v>
      </c>
      <c r="AI175" s="2">
        <v>14</v>
      </c>
      <c r="AJ175" s="2">
        <v>28</v>
      </c>
      <c r="AK175" s="2">
        <v>1</v>
      </c>
      <c r="AL175" s="2">
        <v>28</v>
      </c>
      <c r="AM175" s="2">
        <v>35</v>
      </c>
      <c r="AN175" t="str">
        <f>IF(OR(G175="",Participant_Data!E175=""),"",IF(Participant_Data!E175&lt;70,IF(ROUND(G175,1)&lt;18.5,"ขาด/เสี่ยงขาด",IF(ROUND(G175,1)&gt;=25,"เสี่ยงเกิน/เกิน","ปกติ")),IF(ROUND(G175,1)&lt;20,"ขาด/เสี่ยงขาด",IF(ROUND(G175,1)&gt;=25,"เสี่ยงเกิน/เกิน","ปกติ"))))</f>
        <v>เสี่ยงเกิน/เกิน</v>
      </c>
      <c r="AO175" t="str">
        <f>IF(OR(I175="",Participant_Data!G175=""),"",IF(Participant_Data!G175=1,IF(ROUND(I175,1)&lt;15,"ขาด/เสี่ยงขาด",IF(ROUND(I175,1)&gt;25,"เสี่ยงเกิน/เกิน","ปกติ")),IF(ROUND(I175,1)&lt;20,"ขาด/เสี่ยงขาด",IF(ROUND(I175,1)&gt;35,"เสี่ยงเกิน/เกิน","ปกติ"))))</f>
        <v>ปกติ</v>
      </c>
      <c r="AP175" t="str">
        <f t="shared" si="5"/>
        <v>เสี่ยงเกิน/เกิน</v>
      </c>
    </row>
    <row r="176" spans="1:42">
      <c r="A176" s="2">
        <f>IF(Participant_Data!A176="","",Participant_Data!A176)</f>
        <v>175</v>
      </c>
      <c r="B176" s="2" t="str">
        <f>IF(Participant_Data!B176="","",Participant_Data!B176)</f>
        <v/>
      </c>
      <c r="C176" s="3" t="str">
        <f>IF(Participant_Data!C176="","",Participant_Data!C176)</f>
        <v/>
      </c>
      <c r="D176" s="5"/>
      <c r="E176" s="5">
        <v>155</v>
      </c>
      <c r="F176" s="5">
        <v>45.35</v>
      </c>
      <c r="G176" s="22">
        <f t="shared" si="4"/>
        <v>18.876170655567115</v>
      </c>
      <c r="H176" s="5">
        <v>13.24</v>
      </c>
      <c r="I176" s="5">
        <v>29.2</v>
      </c>
      <c r="J176" s="5">
        <v>5</v>
      </c>
      <c r="K176" s="5">
        <v>30.45</v>
      </c>
      <c r="L176" s="5">
        <v>1.7</v>
      </c>
      <c r="M176" s="5">
        <v>46.6</v>
      </c>
      <c r="N176" s="5">
        <v>915</v>
      </c>
      <c r="O176" s="5">
        <v>2</v>
      </c>
      <c r="P176" s="5">
        <v>3</v>
      </c>
      <c r="Q176" s="5">
        <v>2</v>
      </c>
      <c r="R176" s="5">
        <v>2</v>
      </c>
      <c r="S176" s="5">
        <v>1</v>
      </c>
      <c r="T176" s="5">
        <v>0</v>
      </c>
      <c r="U176" s="2">
        <v>10</v>
      </c>
      <c r="V176" s="2">
        <v>2</v>
      </c>
      <c r="W176" s="5">
        <v>1</v>
      </c>
      <c r="X176" s="5">
        <v>0</v>
      </c>
      <c r="Y176" s="5">
        <v>1</v>
      </c>
      <c r="Z176" s="5">
        <v>2</v>
      </c>
      <c r="AA176" s="5">
        <v>1</v>
      </c>
      <c r="AB176" s="5">
        <v>1</v>
      </c>
      <c r="AC176" s="5">
        <v>0.5</v>
      </c>
      <c r="AD176" s="5">
        <v>2</v>
      </c>
      <c r="AE176" s="5">
        <v>1</v>
      </c>
      <c r="AF176" s="5">
        <v>2</v>
      </c>
      <c r="AG176" s="5">
        <v>1</v>
      </c>
      <c r="AH176" s="5">
        <v>0</v>
      </c>
      <c r="AI176" s="2">
        <v>12.5</v>
      </c>
      <c r="AJ176" s="2">
        <v>22.5</v>
      </c>
      <c r="AK176" s="2">
        <v>2</v>
      </c>
      <c r="AL176" s="2">
        <v>22</v>
      </c>
      <c r="AM176" s="2">
        <v>28.5</v>
      </c>
      <c r="AN176" t="str">
        <f>IF(OR(G176="",Participant_Data!E176=""),"",IF(Participant_Data!E176&lt;70,IF(ROUND(G176,1)&lt;18.5,"ขาด/เสี่ยงขาด",IF(ROUND(G176,1)&gt;=25,"เสี่ยงเกิน/เกิน","ปกติ")),IF(ROUND(G176,1)&lt;20,"ขาด/เสี่ยงขาด",IF(ROUND(G176,1)&gt;=25,"เสี่ยงเกิน/เกิน","ปกติ"))))</f>
        <v>ขาด/เสี่ยงขาด</v>
      </c>
      <c r="AO176" t="str">
        <f>IF(OR(I176="",Participant_Data!G176=""),"",IF(Participant_Data!G176=1,IF(ROUND(I176,1)&lt;15,"ขาด/เสี่ยงขาด",IF(ROUND(I176,1)&gt;25,"เสี่ยงเกิน/เกิน","ปกติ")),IF(ROUND(I176,1)&lt;20,"ขาด/เสี่ยงขาด",IF(ROUND(I176,1)&gt;35,"เสี่ยงเกิน/เกิน","ปกติ"))))</f>
        <v>ปกติ</v>
      </c>
      <c r="AP176" t="str">
        <f t="shared" si="5"/>
        <v>ขาด/เสี่ยงขาด</v>
      </c>
    </row>
    <row r="177" spans="1:42">
      <c r="A177" s="2">
        <f>IF(Participant_Data!A177="","",Participant_Data!A177)</f>
        <v>176</v>
      </c>
      <c r="B177" s="2" t="str">
        <f>IF(Participant_Data!B177="","",Participant_Data!B177)</f>
        <v/>
      </c>
      <c r="C177" s="3" t="str">
        <f>IF(Participant_Data!C177="","",Participant_Data!C177)</f>
        <v/>
      </c>
      <c r="D177" s="5"/>
      <c r="E177" s="5">
        <v>155</v>
      </c>
      <c r="F177" s="5">
        <v>71.2</v>
      </c>
      <c r="G177" s="22">
        <f t="shared" si="4"/>
        <v>29.635796045785636</v>
      </c>
      <c r="H177" s="5">
        <v>28.48</v>
      </c>
      <c r="I177" s="5">
        <v>40</v>
      </c>
      <c r="J177" s="5">
        <v>11</v>
      </c>
      <c r="K177" s="5">
        <v>40.1</v>
      </c>
      <c r="L177" s="5">
        <v>2.6</v>
      </c>
      <c r="M177" s="5">
        <v>43.3</v>
      </c>
      <c r="N177" s="5">
        <v>1279</v>
      </c>
      <c r="O177" s="5">
        <v>2</v>
      </c>
      <c r="P177" s="5">
        <v>2</v>
      </c>
      <c r="Q177" s="5">
        <v>2</v>
      </c>
      <c r="R177" s="5">
        <v>0</v>
      </c>
      <c r="S177" s="5">
        <v>2</v>
      </c>
      <c r="T177" s="5">
        <v>3</v>
      </c>
      <c r="U177" s="2">
        <v>11</v>
      </c>
      <c r="V177" s="2">
        <v>2</v>
      </c>
      <c r="W177" s="5">
        <v>1</v>
      </c>
      <c r="X177" s="5">
        <v>1</v>
      </c>
      <c r="Y177" s="5">
        <v>1</v>
      </c>
      <c r="Z177" s="5">
        <v>2</v>
      </c>
      <c r="AA177" s="5">
        <v>0.5</v>
      </c>
      <c r="AB177" s="5">
        <v>1</v>
      </c>
      <c r="AC177" s="5">
        <v>1</v>
      </c>
      <c r="AD177" s="5">
        <v>2</v>
      </c>
      <c r="AE177" s="5">
        <v>1</v>
      </c>
      <c r="AF177" s="5">
        <v>2</v>
      </c>
      <c r="AG177" s="5">
        <v>1</v>
      </c>
      <c r="AH177" s="5">
        <v>1</v>
      </c>
      <c r="AI177" s="2">
        <v>14.5</v>
      </c>
      <c r="AJ177" s="2">
        <v>25.5</v>
      </c>
      <c r="AK177" s="2">
        <v>1</v>
      </c>
      <c r="AL177" s="2">
        <v>32</v>
      </c>
      <c r="AM177" s="2">
        <v>41</v>
      </c>
      <c r="AN177" t="str">
        <f>IF(OR(G177="",Participant_Data!E177=""),"",IF(Participant_Data!E177&lt;70,IF(ROUND(G177,1)&lt;18.5,"ขาด/เสี่ยงขาด",IF(ROUND(G177,1)&gt;=25,"เสี่ยงเกิน/เกิน","ปกติ")),IF(ROUND(G177,1)&lt;20,"ขาด/เสี่ยงขาด",IF(ROUND(G177,1)&gt;=25,"เสี่ยงเกิน/เกิน","ปกติ"))))</f>
        <v>เสี่ยงเกิน/เกิน</v>
      </c>
      <c r="AO177" t="str">
        <f>IF(OR(I177="",Participant_Data!G177=""),"",IF(Participant_Data!G177=1,IF(ROUND(I177,1)&lt;15,"ขาด/เสี่ยงขาด",IF(ROUND(I177,1)&gt;25,"เสี่ยงเกิน/เกิน","ปกติ")),IF(ROUND(I177,1)&lt;20,"ขาด/เสี่ยงขาด",IF(ROUND(I177,1)&gt;35,"เสี่ยงเกิน/เกิน","ปกติ"))))</f>
        <v>เสี่ยงเกิน/เกิน</v>
      </c>
      <c r="AP177" t="str">
        <f t="shared" si="5"/>
        <v>เสี่ยงเกิน/เกิน</v>
      </c>
    </row>
    <row r="178" spans="1:42">
      <c r="A178" s="2">
        <f>IF(Participant_Data!A178="","",Participant_Data!A178)</f>
        <v>177</v>
      </c>
      <c r="B178" s="2" t="str">
        <f>IF(Participant_Data!B178="","",Participant_Data!B178)</f>
        <v/>
      </c>
      <c r="C178" s="3" t="str">
        <f>IF(Participant_Data!C178="","",Participant_Data!C178)</f>
        <v/>
      </c>
      <c r="D178" s="5"/>
      <c r="E178" s="5">
        <v>155</v>
      </c>
      <c r="F178" s="5">
        <v>56.95</v>
      </c>
      <c r="G178" s="22">
        <f t="shared" si="4"/>
        <v>23.704474505723205</v>
      </c>
      <c r="H178" s="5">
        <v>20.73</v>
      </c>
      <c r="I178" s="5">
        <v>36.4</v>
      </c>
      <c r="J178" s="5">
        <v>8.5</v>
      </c>
      <c r="K178" s="5">
        <v>34.200000000000003</v>
      </c>
      <c r="L178" s="5">
        <v>2</v>
      </c>
      <c r="M178" s="5">
        <v>37.299999999999997</v>
      </c>
      <c r="N178" s="5">
        <v>1056</v>
      </c>
      <c r="O178" s="5">
        <v>2</v>
      </c>
      <c r="P178" s="5">
        <v>3</v>
      </c>
      <c r="Q178" s="5">
        <v>2</v>
      </c>
      <c r="R178" s="5">
        <v>2</v>
      </c>
      <c r="S178" s="5">
        <v>1</v>
      </c>
      <c r="T178" s="5">
        <v>3</v>
      </c>
      <c r="U178" s="2">
        <v>13</v>
      </c>
      <c r="V178" s="2">
        <v>1</v>
      </c>
      <c r="W178" s="5">
        <v>1</v>
      </c>
      <c r="X178" s="5">
        <v>1</v>
      </c>
      <c r="Y178" s="5">
        <v>1</v>
      </c>
      <c r="Z178" s="5">
        <v>1</v>
      </c>
      <c r="AA178" s="5">
        <v>0.5</v>
      </c>
      <c r="AB178" s="5">
        <v>1</v>
      </c>
      <c r="AC178" s="5">
        <v>1</v>
      </c>
      <c r="AD178" s="5">
        <v>2</v>
      </c>
      <c r="AE178" s="5">
        <v>1</v>
      </c>
      <c r="AF178" s="5">
        <v>1</v>
      </c>
      <c r="AG178" s="5">
        <v>1</v>
      </c>
      <c r="AH178" s="5">
        <v>1</v>
      </c>
      <c r="AI178" s="2">
        <v>12.5</v>
      </c>
      <c r="AJ178" s="2">
        <v>25.5</v>
      </c>
      <c r="AK178" s="2">
        <v>1</v>
      </c>
      <c r="AL178" s="2">
        <v>30</v>
      </c>
      <c r="AM178" s="2">
        <v>32</v>
      </c>
      <c r="AN178" t="str">
        <f>IF(OR(G178="",Participant_Data!E178=""),"",IF(Participant_Data!E178&lt;70,IF(ROUND(G178,1)&lt;18.5,"ขาด/เสี่ยงขาด",IF(ROUND(G178,1)&gt;=25,"เสี่ยงเกิน/เกิน","ปกติ")),IF(ROUND(G178,1)&lt;20,"ขาด/เสี่ยงขาด",IF(ROUND(G178,1)&gt;=25,"เสี่ยงเกิน/เกิน","ปกติ"))))</f>
        <v>ปกติ</v>
      </c>
      <c r="AO178" t="str">
        <f>IF(OR(I178="",Participant_Data!G178=""),"",IF(Participant_Data!G178=1,IF(ROUND(I178,1)&lt;15,"ขาด/เสี่ยงขาด",IF(ROUND(I178,1)&gt;25,"เสี่ยงเกิน/เกิน","ปกติ")),IF(ROUND(I178,1)&lt;20,"ขาด/เสี่ยงขาด",IF(ROUND(I178,1)&gt;35,"เสี่ยงเกิน/เกิน","ปกติ"))))</f>
        <v>เสี่ยงเกิน/เกิน</v>
      </c>
      <c r="AP178" t="str">
        <f t="shared" si="5"/>
        <v>เสี่ยงเกิน/เกิน</v>
      </c>
    </row>
    <row r="179" spans="1:42">
      <c r="A179" s="2">
        <f>IF(Participant_Data!A179="","",Participant_Data!A179)</f>
        <v>178</v>
      </c>
      <c r="B179" s="2" t="str">
        <f>IF(Participant_Data!B179="","",Participant_Data!B179)</f>
        <v/>
      </c>
      <c r="C179" s="3" t="str">
        <f>IF(Participant_Data!C179="","",Participant_Data!C179)</f>
        <v/>
      </c>
      <c r="D179" s="5"/>
      <c r="E179" s="5">
        <v>148</v>
      </c>
      <c r="F179" s="5">
        <v>46.3</v>
      </c>
      <c r="G179" s="22">
        <f t="shared" si="4"/>
        <v>21.137691745799852</v>
      </c>
      <c r="H179" s="5">
        <v>12.55</v>
      </c>
      <c r="I179" s="5">
        <v>27.1</v>
      </c>
      <c r="J179" s="5">
        <v>6</v>
      </c>
      <c r="K179" s="5">
        <v>32</v>
      </c>
      <c r="L179" s="5">
        <v>1.8</v>
      </c>
      <c r="M179" s="5">
        <v>52.1</v>
      </c>
      <c r="N179" s="5">
        <v>952</v>
      </c>
      <c r="O179" s="5">
        <v>2</v>
      </c>
      <c r="P179" s="5">
        <v>3</v>
      </c>
      <c r="Q179" s="5">
        <v>2</v>
      </c>
      <c r="R179" s="5">
        <v>2</v>
      </c>
      <c r="S179" s="5">
        <v>1</v>
      </c>
      <c r="T179" s="5">
        <v>2</v>
      </c>
      <c r="U179" s="2">
        <v>12</v>
      </c>
      <c r="V179" s="2">
        <v>1</v>
      </c>
      <c r="W179" s="5">
        <v>1</v>
      </c>
      <c r="X179" s="5">
        <v>0</v>
      </c>
      <c r="Y179" s="5">
        <v>1</v>
      </c>
      <c r="Z179" s="5">
        <v>1</v>
      </c>
      <c r="AA179" s="5">
        <v>0</v>
      </c>
      <c r="AB179" s="5">
        <v>1</v>
      </c>
      <c r="AC179" s="5">
        <v>1</v>
      </c>
      <c r="AD179" s="5">
        <v>2</v>
      </c>
      <c r="AE179" s="5">
        <v>1</v>
      </c>
      <c r="AF179" s="5">
        <v>2</v>
      </c>
      <c r="AG179" s="5">
        <v>1</v>
      </c>
      <c r="AH179" s="5">
        <v>1</v>
      </c>
      <c r="AI179" s="2">
        <v>12</v>
      </c>
      <c r="AJ179" s="2">
        <v>24</v>
      </c>
      <c r="AK179" s="2">
        <v>1</v>
      </c>
      <c r="AL179" s="2">
        <v>24.5</v>
      </c>
      <c r="AM179" s="2">
        <v>32</v>
      </c>
      <c r="AN179" t="str">
        <f>IF(OR(G179="",Participant_Data!E179=""),"",IF(Participant_Data!E179&lt;70,IF(ROUND(G179,1)&lt;18.5,"ขาด/เสี่ยงขาด",IF(ROUND(G179,1)&gt;=25,"เสี่ยงเกิน/เกิน","ปกติ")),IF(ROUND(G179,1)&lt;20,"ขาด/เสี่ยงขาด",IF(ROUND(G179,1)&gt;=25,"เสี่ยงเกิน/เกิน","ปกติ"))))</f>
        <v>ปกติ</v>
      </c>
      <c r="AO179" t="str">
        <f>IF(OR(I179="",Participant_Data!G179=""),"",IF(Participant_Data!G179=1,IF(ROUND(I179,1)&lt;15,"ขาด/เสี่ยงขาด",IF(ROUND(I179,1)&gt;25,"เสี่ยงเกิน/เกิน","ปกติ")),IF(ROUND(I179,1)&lt;20,"ขาด/เสี่ยงขาด",IF(ROUND(I179,1)&gt;35,"เสี่ยงเกิน/เกิน","ปกติ"))))</f>
        <v>ปกติ</v>
      </c>
      <c r="AP179" t="str">
        <f t="shared" si="5"/>
        <v>ปกติ</v>
      </c>
    </row>
    <row r="180" spans="1:42">
      <c r="A180" s="2">
        <f>IF(Participant_Data!A180="","",Participant_Data!A180)</f>
        <v>179</v>
      </c>
      <c r="B180" s="2" t="str">
        <f>IF(Participant_Data!B180="","",Participant_Data!B180)</f>
        <v/>
      </c>
      <c r="C180" s="3" t="str">
        <f>IF(Participant_Data!C180="","",Participant_Data!C180)</f>
        <v/>
      </c>
      <c r="D180" s="5"/>
      <c r="E180" s="5">
        <v>140</v>
      </c>
      <c r="F180" s="5">
        <v>48.35</v>
      </c>
      <c r="G180" s="22">
        <f t="shared" si="4"/>
        <v>24.66836734693878</v>
      </c>
      <c r="H180" s="5">
        <v>16.440000000000001</v>
      </c>
      <c r="I180" s="5">
        <v>34</v>
      </c>
      <c r="J180" s="5">
        <v>8</v>
      </c>
      <c r="K180" s="5">
        <v>30.3</v>
      </c>
      <c r="L180" s="5">
        <v>1.6</v>
      </c>
      <c r="M180" s="5">
        <v>48.1</v>
      </c>
      <c r="N180" s="5">
        <v>925</v>
      </c>
      <c r="O180" s="5">
        <v>2</v>
      </c>
      <c r="P180" s="5">
        <v>3</v>
      </c>
      <c r="Q180" s="5">
        <v>2</v>
      </c>
      <c r="R180" s="5">
        <v>0</v>
      </c>
      <c r="S180" s="5">
        <v>1</v>
      </c>
      <c r="T180" s="5">
        <v>3</v>
      </c>
      <c r="U180" s="2">
        <v>11</v>
      </c>
      <c r="V180" s="2">
        <v>2</v>
      </c>
      <c r="W180" s="5">
        <v>1</v>
      </c>
      <c r="X180" s="5">
        <v>1</v>
      </c>
      <c r="Y180" s="5">
        <v>1</v>
      </c>
      <c r="Z180" s="5">
        <v>1</v>
      </c>
      <c r="AA180" s="5">
        <v>0</v>
      </c>
      <c r="AB180" s="5">
        <v>1</v>
      </c>
      <c r="AC180" s="5">
        <v>1</v>
      </c>
      <c r="AD180" s="5">
        <v>2</v>
      </c>
      <c r="AE180" s="5">
        <v>0</v>
      </c>
      <c r="AF180" s="5">
        <v>2</v>
      </c>
      <c r="AG180" s="5">
        <v>1</v>
      </c>
      <c r="AH180" s="5">
        <v>1</v>
      </c>
      <c r="AI180" s="2">
        <v>12</v>
      </c>
      <c r="AJ180" s="2">
        <v>23</v>
      </c>
      <c r="AK180" s="2">
        <v>2</v>
      </c>
      <c r="AL180" s="2">
        <v>26.5</v>
      </c>
      <c r="AM180" s="2">
        <v>33</v>
      </c>
      <c r="AN180" t="str">
        <f>IF(OR(G180="",Participant_Data!E180=""),"",IF(Participant_Data!E180&lt;70,IF(ROUND(G180,1)&lt;18.5,"ขาด/เสี่ยงขาด",IF(ROUND(G180,1)&gt;=25,"เสี่ยงเกิน/เกิน","ปกติ")),IF(ROUND(G180,1)&lt;20,"ขาด/เสี่ยงขาด",IF(ROUND(G180,1)&gt;=25,"เสี่ยงเกิน/เกิน","ปกติ"))))</f>
        <v>ปกติ</v>
      </c>
      <c r="AO180" t="str">
        <f>IF(OR(I180="",Participant_Data!G180=""),"",IF(Participant_Data!G180=1,IF(ROUND(I180,1)&lt;15,"ขาด/เสี่ยงขาด",IF(ROUND(I180,1)&gt;25,"เสี่ยงเกิน/เกิน","ปกติ")),IF(ROUND(I180,1)&lt;20,"ขาด/เสี่ยงขาด",IF(ROUND(I180,1)&gt;35,"เสี่ยงเกิน/เกิน","ปกติ"))))</f>
        <v>ปกติ</v>
      </c>
      <c r="AP180" t="str">
        <f t="shared" si="5"/>
        <v>ปกติ</v>
      </c>
    </row>
    <row r="181" spans="1:42">
      <c r="A181" s="2">
        <f>IF(Participant_Data!A181="","",Participant_Data!A181)</f>
        <v>180</v>
      </c>
      <c r="B181" s="2" t="str">
        <f>IF(Participant_Data!B181="","",Participant_Data!B181)</f>
        <v/>
      </c>
      <c r="C181" s="3" t="str">
        <f>IF(Participant_Data!C181="","",Participant_Data!C181)</f>
        <v/>
      </c>
      <c r="D181" s="5"/>
      <c r="E181" s="5">
        <v>144</v>
      </c>
      <c r="F181" s="5">
        <v>39.700000000000003</v>
      </c>
      <c r="G181" s="22">
        <f t="shared" si="4"/>
        <v>19.1454475308642</v>
      </c>
      <c r="H181" s="5">
        <v>9.57</v>
      </c>
      <c r="I181" s="5">
        <v>24.1</v>
      </c>
      <c r="J181" s="5">
        <v>5</v>
      </c>
      <c r="K181" s="5">
        <v>28.65</v>
      </c>
      <c r="L181" s="5">
        <v>1.5</v>
      </c>
      <c r="M181" s="5">
        <v>50.7</v>
      </c>
      <c r="N181" s="5">
        <v>842</v>
      </c>
      <c r="O181" s="5">
        <v>2</v>
      </c>
      <c r="P181" s="5">
        <v>3</v>
      </c>
      <c r="Q181" s="5">
        <v>2</v>
      </c>
      <c r="R181" s="5">
        <v>2</v>
      </c>
      <c r="S181" s="5">
        <v>1</v>
      </c>
      <c r="T181" s="5">
        <v>1</v>
      </c>
      <c r="U181" s="2">
        <v>11</v>
      </c>
      <c r="V181" s="2">
        <v>2</v>
      </c>
      <c r="W181" s="5">
        <v>1</v>
      </c>
      <c r="X181" s="5">
        <v>1</v>
      </c>
      <c r="Y181" s="5">
        <v>1</v>
      </c>
      <c r="Z181" s="5">
        <v>1</v>
      </c>
      <c r="AA181" s="5">
        <v>0.5</v>
      </c>
      <c r="AB181" s="5">
        <v>1</v>
      </c>
      <c r="AC181" s="5">
        <v>1</v>
      </c>
      <c r="AD181" s="5">
        <v>2</v>
      </c>
      <c r="AE181" s="5">
        <v>2</v>
      </c>
      <c r="AF181" s="5">
        <v>1</v>
      </c>
      <c r="AG181" s="5">
        <v>1</v>
      </c>
      <c r="AH181" s="5">
        <v>1</v>
      </c>
      <c r="AI181" s="2">
        <v>13.5</v>
      </c>
      <c r="AJ181" s="2">
        <v>24.5</v>
      </c>
      <c r="AK181" s="2">
        <v>1</v>
      </c>
      <c r="AL181" s="2">
        <v>24.5</v>
      </c>
      <c r="AM181" s="2">
        <v>31.5</v>
      </c>
      <c r="AN181" t="str">
        <f>IF(OR(G181="",Participant_Data!E181=""),"",IF(Participant_Data!E181&lt;70,IF(ROUND(G181,1)&lt;18.5,"ขาด/เสี่ยงขาด",IF(ROUND(G181,1)&gt;=25,"เสี่ยงเกิน/เกิน","ปกติ")),IF(ROUND(G181,1)&lt;20,"ขาด/เสี่ยงขาด",IF(ROUND(G181,1)&gt;=25,"เสี่ยงเกิน/เกิน","ปกติ"))))</f>
        <v>ขาด/เสี่ยงขาด</v>
      </c>
      <c r="AO181" t="str">
        <f>IF(OR(I181="",Participant_Data!G181=""),"",IF(Participant_Data!G181=1,IF(ROUND(I181,1)&lt;15,"ขาด/เสี่ยงขาด",IF(ROUND(I181,1)&gt;25,"เสี่ยงเกิน/เกิน","ปกติ")),IF(ROUND(I181,1)&lt;20,"ขาด/เสี่ยงขาด",IF(ROUND(I181,1)&gt;35,"เสี่ยงเกิน/เกิน","ปกติ"))))</f>
        <v>ปกติ</v>
      </c>
      <c r="AP181" t="str">
        <f t="shared" si="5"/>
        <v>ขาด/เสี่ยงขาด</v>
      </c>
    </row>
    <row r="182" spans="1:42">
      <c r="A182" s="2">
        <f>IF(Participant_Data!A182="","",Participant_Data!A182)</f>
        <v>181</v>
      </c>
      <c r="B182" s="2" t="str">
        <f>IF(Participant_Data!B182="","",Participant_Data!B182)</f>
        <v/>
      </c>
      <c r="C182" s="3" t="str">
        <f>IF(Participant_Data!C182="","",Participant_Data!C182)</f>
        <v/>
      </c>
      <c r="D182" s="5"/>
      <c r="E182" s="5">
        <v>171</v>
      </c>
      <c r="F182" s="5">
        <v>58.75</v>
      </c>
      <c r="G182" s="22">
        <f t="shared" si="4"/>
        <v>20.091652132280021</v>
      </c>
      <c r="H182" s="5">
        <v>8.2799999999999994</v>
      </c>
      <c r="I182" s="5">
        <v>14.1</v>
      </c>
      <c r="J182" s="5">
        <v>11</v>
      </c>
      <c r="K182" s="5">
        <v>47.85</v>
      </c>
      <c r="L182" s="5">
        <v>2.6</v>
      </c>
      <c r="M182" s="5">
        <v>56.2</v>
      </c>
      <c r="N182" s="5">
        <v>1340</v>
      </c>
      <c r="O182" s="5">
        <v>2</v>
      </c>
      <c r="P182" s="5">
        <v>3</v>
      </c>
      <c r="Q182" s="5">
        <v>2</v>
      </c>
      <c r="R182" s="5">
        <v>2</v>
      </c>
      <c r="S182" s="5">
        <v>1</v>
      </c>
      <c r="T182" s="5">
        <v>1</v>
      </c>
      <c r="U182" s="2">
        <v>11</v>
      </c>
      <c r="V182" s="2">
        <v>2</v>
      </c>
      <c r="W182" s="5">
        <v>1</v>
      </c>
      <c r="X182" s="5">
        <v>1</v>
      </c>
      <c r="Y182" s="5">
        <v>1</v>
      </c>
      <c r="Z182" s="5">
        <v>1</v>
      </c>
      <c r="AA182" s="5">
        <v>1</v>
      </c>
      <c r="AB182" s="5">
        <v>0</v>
      </c>
      <c r="AC182" s="5">
        <v>1</v>
      </c>
      <c r="AD182" s="5">
        <v>2</v>
      </c>
      <c r="AE182" s="5">
        <v>2</v>
      </c>
      <c r="AF182" s="5">
        <v>2</v>
      </c>
      <c r="AG182" s="5">
        <v>1</v>
      </c>
      <c r="AH182" s="5">
        <v>1</v>
      </c>
      <c r="AI182" s="2">
        <v>14</v>
      </c>
      <c r="AJ182" s="2">
        <v>25</v>
      </c>
      <c r="AK182" s="2">
        <v>1</v>
      </c>
      <c r="AL182" s="2">
        <v>23</v>
      </c>
      <c r="AM182" s="2">
        <v>33.5</v>
      </c>
      <c r="AN182" t="str">
        <f>IF(OR(G182="",Participant_Data!E182=""),"",IF(Participant_Data!E182&lt;70,IF(ROUND(G182,1)&lt;18.5,"ขาด/เสี่ยงขาด",IF(ROUND(G182,1)&gt;=25,"เสี่ยงเกิน/เกิน","ปกติ")),IF(ROUND(G182,1)&lt;20,"ขาด/เสี่ยงขาด",IF(ROUND(G182,1)&gt;=25,"เสี่ยงเกิน/เกิน","ปกติ"))))</f>
        <v>ปกติ</v>
      </c>
      <c r="AO182" t="str">
        <f>IF(OR(I182="",Participant_Data!G182=""),"",IF(Participant_Data!G182=1,IF(ROUND(I182,1)&lt;15,"ขาด/เสี่ยงขาด",IF(ROUND(I182,1)&gt;25,"เสี่ยงเกิน/เกิน","ปกติ")),IF(ROUND(I182,1)&lt;20,"ขาด/เสี่ยงขาด",IF(ROUND(I182,1)&gt;35,"เสี่ยงเกิน/เกิน","ปกติ"))))</f>
        <v>ขาด/เสี่ยงขาด</v>
      </c>
      <c r="AP182" t="str">
        <f t="shared" si="5"/>
        <v>ขาด/เสี่ยงขาด</v>
      </c>
    </row>
    <row r="183" spans="1:42">
      <c r="A183" s="2">
        <f>IF(Participant_Data!A183="","",Participant_Data!A183)</f>
        <v>182</v>
      </c>
      <c r="B183" s="2" t="str">
        <f>IF(Participant_Data!B183="","",Participant_Data!B183)</f>
        <v/>
      </c>
      <c r="C183" s="3" t="str">
        <f>IF(Participant_Data!C183="","",Participant_Data!C183)</f>
        <v/>
      </c>
      <c r="D183" s="5"/>
      <c r="E183" s="5">
        <v>145</v>
      </c>
      <c r="F183" s="5">
        <v>50.5</v>
      </c>
      <c r="G183" s="22">
        <f t="shared" si="4"/>
        <v>24.019024970273485</v>
      </c>
      <c r="H183" s="5">
        <v>17.93</v>
      </c>
      <c r="I183" s="5">
        <v>35.5</v>
      </c>
      <c r="J183" s="5">
        <v>8</v>
      </c>
      <c r="K183" s="5">
        <v>30.85</v>
      </c>
      <c r="L183" s="5">
        <v>1.7</v>
      </c>
      <c r="M183" s="5">
        <v>20.2</v>
      </c>
      <c r="N183" s="5">
        <v>951</v>
      </c>
      <c r="O183" s="5">
        <v>2</v>
      </c>
      <c r="P183" s="5">
        <v>2</v>
      </c>
      <c r="Q183" s="5">
        <v>1</v>
      </c>
      <c r="R183" s="5">
        <v>2</v>
      </c>
      <c r="S183" s="5">
        <v>1</v>
      </c>
      <c r="T183" s="5">
        <v>3</v>
      </c>
      <c r="U183" s="2">
        <v>11</v>
      </c>
      <c r="V183" s="2">
        <v>2</v>
      </c>
      <c r="W183" s="5">
        <v>1</v>
      </c>
      <c r="X183" s="5">
        <v>0</v>
      </c>
      <c r="Y183" s="5">
        <v>0</v>
      </c>
      <c r="Z183" s="5">
        <v>2</v>
      </c>
      <c r="AA183" s="5">
        <v>0.5</v>
      </c>
      <c r="AB183" s="5">
        <v>1</v>
      </c>
      <c r="AC183" s="5">
        <v>1</v>
      </c>
      <c r="AD183" s="5">
        <v>2</v>
      </c>
      <c r="AE183" s="5">
        <v>2</v>
      </c>
      <c r="AF183" s="5">
        <v>0</v>
      </c>
      <c r="AG183" s="5">
        <v>1</v>
      </c>
      <c r="AH183" s="5">
        <v>0</v>
      </c>
      <c r="AI183" s="2">
        <v>10.5</v>
      </c>
      <c r="AJ183" s="2">
        <v>21.5</v>
      </c>
      <c r="AK183" s="2">
        <v>2</v>
      </c>
      <c r="AL183" s="2">
        <v>24.5</v>
      </c>
      <c r="AM183" s="2">
        <v>26</v>
      </c>
      <c r="AN183" t="str">
        <f>IF(OR(G183="",Participant_Data!E183=""),"",IF(Participant_Data!E183&lt;70,IF(ROUND(G183,1)&lt;18.5,"ขาด/เสี่ยงขาด",IF(ROUND(G183,1)&gt;=25,"เสี่ยงเกิน/เกิน","ปกติ")),IF(ROUND(G183,1)&lt;20,"ขาด/เสี่ยงขาด",IF(ROUND(G183,1)&gt;=25,"เสี่ยงเกิน/เกิน","ปกติ"))))</f>
        <v>ปกติ</v>
      </c>
      <c r="AO183" t="str">
        <f>IF(OR(I183="",Participant_Data!G183=""),"",IF(Participant_Data!G183=1,IF(ROUND(I183,1)&lt;15,"ขาด/เสี่ยงขาด",IF(ROUND(I183,1)&gt;25,"เสี่ยงเกิน/เกิน","ปกติ")),IF(ROUND(I183,1)&lt;20,"ขาด/เสี่ยงขาด",IF(ROUND(I183,1)&gt;35,"เสี่ยงเกิน/เกิน","ปกติ"))))</f>
        <v>เสี่ยงเกิน/เกิน</v>
      </c>
      <c r="AP183" t="str">
        <f t="shared" si="5"/>
        <v>เสี่ยงเกิน/เกิน</v>
      </c>
    </row>
    <row r="184" spans="1:42">
      <c r="A184" s="2">
        <f>IF(Participant_Data!A184="","",Participant_Data!A184)</f>
        <v>183</v>
      </c>
      <c r="B184" s="2" t="str">
        <f>IF(Participant_Data!B184="","",Participant_Data!B184)</f>
        <v/>
      </c>
      <c r="C184" s="3" t="str">
        <f>IF(Participant_Data!C184="","",Participant_Data!C184)</f>
        <v/>
      </c>
      <c r="D184" s="5"/>
      <c r="E184" s="5">
        <v>167</v>
      </c>
      <c r="F184" s="5">
        <v>53.8</v>
      </c>
      <c r="G184" s="22">
        <f t="shared" si="4"/>
        <v>19.290759797769731</v>
      </c>
      <c r="H184" s="5">
        <v>9.85</v>
      </c>
      <c r="I184" s="5">
        <v>18.3</v>
      </c>
      <c r="J184" s="5">
        <v>12</v>
      </c>
      <c r="K184" s="5">
        <v>41.65</v>
      </c>
      <c r="L184" s="5">
        <v>2.2999999999999998</v>
      </c>
      <c r="M184" s="5">
        <v>50.3</v>
      </c>
      <c r="N184" s="5">
        <v>1162</v>
      </c>
      <c r="O184" s="5">
        <v>2</v>
      </c>
      <c r="P184" s="5">
        <v>2</v>
      </c>
      <c r="Q184" s="5">
        <v>2</v>
      </c>
      <c r="R184" s="5">
        <v>2</v>
      </c>
      <c r="S184" s="5">
        <v>1</v>
      </c>
      <c r="T184" s="5">
        <v>1</v>
      </c>
      <c r="U184" s="2">
        <v>10</v>
      </c>
      <c r="V184" s="2">
        <v>2</v>
      </c>
      <c r="W184" s="5">
        <v>1</v>
      </c>
      <c r="X184" s="5">
        <v>1</v>
      </c>
      <c r="Y184" s="5">
        <v>1</v>
      </c>
      <c r="Z184" s="5">
        <v>1</v>
      </c>
      <c r="AA184" s="5">
        <v>0</v>
      </c>
      <c r="AB184" s="5">
        <v>1</v>
      </c>
      <c r="AC184" s="5">
        <v>1</v>
      </c>
      <c r="AD184" s="5">
        <v>2</v>
      </c>
      <c r="AE184" s="5">
        <v>1</v>
      </c>
      <c r="AF184" s="5">
        <v>2</v>
      </c>
      <c r="AG184" s="5">
        <v>1</v>
      </c>
      <c r="AH184" s="5">
        <v>0</v>
      </c>
      <c r="AI184" s="2">
        <v>12</v>
      </c>
      <c r="AJ184" s="2">
        <v>22</v>
      </c>
      <c r="AK184" s="2">
        <v>2</v>
      </c>
      <c r="AL184" s="2">
        <v>25</v>
      </c>
      <c r="AM184" s="2">
        <v>28</v>
      </c>
      <c r="AN184" t="str">
        <f>IF(OR(G184="",Participant_Data!E184=""),"",IF(Participant_Data!E184&lt;70,IF(ROUND(G184,1)&lt;18.5,"ขาด/เสี่ยงขาด",IF(ROUND(G184,1)&gt;=25,"เสี่ยงเกิน/เกิน","ปกติ")),IF(ROUND(G184,1)&lt;20,"ขาด/เสี่ยงขาด",IF(ROUND(G184,1)&gt;=25,"เสี่ยงเกิน/เกิน","ปกติ"))))</f>
        <v>ขาด/เสี่ยงขาด</v>
      </c>
      <c r="AO184" t="str">
        <f>IF(OR(I184="",Participant_Data!G184=""),"",IF(Participant_Data!G184=1,IF(ROUND(I184,1)&lt;15,"ขาด/เสี่ยงขาด",IF(ROUND(I184,1)&gt;25,"เสี่ยงเกิน/เกิน","ปกติ")),IF(ROUND(I184,1)&lt;20,"ขาด/เสี่ยงขาด",IF(ROUND(I184,1)&gt;35,"เสี่ยงเกิน/เกิน","ปกติ"))))</f>
        <v>ปกติ</v>
      </c>
      <c r="AP184" t="str">
        <f t="shared" si="5"/>
        <v>ขาด/เสี่ยงขาด</v>
      </c>
    </row>
    <row r="185" spans="1:42">
      <c r="A185" s="2">
        <f>IF(Participant_Data!A185="","",Participant_Data!A185)</f>
        <v>184</v>
      </c>
      <c r="B185" s="2" t="str">
        <f>IF(Participant_Data!B185="","",Participant_Data!B185)</f>
        <v/>
      </c>
      <c r="C185" s="3" t="str">
        <f>IF(Participant_Data!C185="","",Participant_Data!C185)</f>
        <v/>
      </c>
      <c r="D185" s="5"/>
      <c r="E185" s="5">
        <v>140</v>
      </c>
      <c r="F185" s="5">
        <v>31.85</v>
      </c>
      <c r="G185" s="22">
        <f t="shared" si="4"/>
        <v>16.250000000000004</v>
      </c>
      <c r="H185" s="5">
        <v>4.68</v>
      </c>
      <c r="I185" s="5">
        <v>14.7</v>
      </c>
      <c r="J185" s="5">
        <v>1</v>
      </c>
      <c r="K185" s="5">
        <v>25.95</v>
      </c>
      <c r="L185" s="5">
        <v>1.2</v>
      </c>
      <c r="M185" s="5">
        <v>40</v>
      </c>
      <c r="N185" s="5">
        <v>746</v>
      </c>
      <c r="O185" s="5">
        <v>1</v>
      </c>
      <c r="P185" s="5">
        <v>0</v>
      </c>
      <c r="Q185" s="5">
        <v>1</v>
      </c>
      <c r="R185" s="5">
        <v>2</v>
      </c>
      <c r="S185" s="5">
        <v>0</v>
      </c>
      <c r="T185" s="5">
        <v>0</v>
      </c>
      <c r="U185" s="2">
        <v>4</v>
      </c>
      <c r="V185" s="2">
        <v>3</v>
      </c>
      <c r="W185" s="5">
        <v>1</v>
      </c>
      <c r="X185" s="5">
        <v>0</v>
      </c>
      <c r="Y185" s="5">
        <v>1</v>
      </c>
      <c r="Z185" s="5">
        <v>2</v>
      </c>
      <c r="AA185" s="5">
        <v>1</v>
      </c>
      <c r="AB185" s="5">
        <v>0</v>
      </c>
      <c r="AC185" s="5">
        <v>0.5</v>
      </c>
      <c r="AD185" s="5">
        <v>1</v>
      </c>
      <c r="AE185" s="5">
        <v>1</v>
      </c>
      <c r="AF185" s="5">
        <v>0</v>
      </c>
      <c r="AG185" s="5">
        <v>0</v>
      </c>
      <c r="AH185" s="5">
        <v>0</v>
      </c>
      <c r="AI185" s="2">
        <v>7.5</v>
      </c>
      <c r="AJ185" s="2">
        <v>11.5</v>
      </c>
      <c r="AK185" s="2">
        <v>3</v>
      </c>
      <c r="AL185" s="2">
        <v>20</v>
      </c>
      <c r="AM185" s="2">
        <v>24.5</v>
      </c>
      <c r="AN185" t="str">
        <f>IF(OR(G185="",Participant_Data!E185=""),"",IF(Participant_Data!E185&lt;70,IF(ROUND(G185,1)&lt;18.5,"ขาด/เสี่ยงขาด",IF(ROUND(G185,1)&gt;=25,"เสี่ยงเกิน/เกิน","ปกติ")),IF(ROUND(G185,1)&lt;20,"ขาด/เสี่ยงขาด",IF(ROUND(G185,1)&gt;=25,"เสี่ยงเกิน/เกิน","ปกติ"))))</f>
        <v>ขาด/เสี่ยงขาด</v>
      </c>
      <c r="AO185" t="str">
        <f>IF(OR(I185="",Participant_Data!G185=""),"",IF(Participant_Data!G185=1,IF(ROUND(I185,1)&lt;15,"ขาด/เสี่ยงขาด",IF(ROUND(I185,1)&gt;25,"เสี่ยงเกิน/เกิน","ปกติ")),IF(ROUND(I185,1)&lt;20,"ขาด/เสี่ยงขาด",IF(ROUND(I185,1)&gt;35,"เสี่ยงเกิน/เกิน","ปกติ"))))</f>
        <v>ขาด/เสี่ยงขาด</v>
      </c>
      <c r="AP185" t="str">
        <f t="shared" si="5"/>
        <v>ขาด/เสี่ยงขาด</v>
      </c>
    </row>
    <row r="186" spans="1:42">
      <c r="A186" s="2">
        <f>IF(Participant_Data!A186="","",Participant_Data!A186)</f>
        <v>185</v>
      </c>
      <c r="B186" s="2" t="str">
        <f>IF(Participant_Data!B186="","",Participant_Data!B186)</f>
        <v/>
      </c>
      <c r="C186" s="3" t="str">
        <f>IF(Participant_Data!C186="","",Participant_Data!C186)</f>
        <v/>
      </c>
      <c r="D186" s="5"/>
      <c r="E186" s="5">
        <v>150</v>
      </c>
      <c r="F186" s="5">
        <v>39.5</v>
      </c>
      <c r="G186" s="22">
        <f t="shared" si="4"/>
        <v>17.555555555555557</v>
      </c>
      <c r="H186" s="5">
        <v>8.26</v>
      </c>
      <c r="I186" s="5">
        <v>20.9</v>
      </c>
      <c r="J186" s="5">
        <v>3.5</v>
      </c>
      <c r="K186" s="5">
        <v>29.65</v>
      </c>
      <c r="L186" s="5">
        <v>1.6</v>
      </c>
      <c r="M186" s="5">
        <v>53.6</v>
      </c>
      <c r="N186" s="5">
        <v>862</v>
      </c>
      <c r="O186" s="5">
        <v>2</v>
      </c>
      <c r="P186" s="5">
        <v>3</v>
      </c>
      <c r="Q186" s="5">
        <v>2</v>
      </c>
      <c r="R186" s="5">
        <v>2</v>
      </c>
      <c r="S186" s="5">
        <v>1</v>
      </c>
      <c r="T186" s="5">
        <v>0</v>
      </c>
      <c r="U186" s="2">
        <v>10</v>
      </c>
      <c r="V186" s="2">
        <v>2</v>
      </c>
      <c r="W186" s="5">
        <v>1</v>
      </c>
      <c r="X186" s="5">
        <v>1</v>
      </c>
      <c r="Y186" s="5">
        <v>0</v>
      </c>
      <c r="Z186" s="5">
        <v>2</v>
      </c>
      <c r="AA186" s="5">
        <v>0</v>
      </c>
      <c r="AB186" s="5">
        <v>1</v>
      </c>
      <c r="AC186" s="5">
        <v>1</v>
      </c>
      <c r="AD186" s="5">
        <v>2</v>
      </c>
      <c r="AE186" s="5">
        <v>0</v>
      </c>
      <c r="AF186" s="5">
        <v>0.5</v>
      </c>
      <c r="AG186" s="5">
        <v>1</v>
      </c>
      <c r="AH186" s="5">
        <v>0</v>
      </c>
      <c r="AI186" s="2">
        <v>9.5</v>
      </c>
      <c r="AJ186" s="2">
        <v>19.5</v>
      </c>
      <c r="AK186" s="2">
        <v>2</v>
      </c>
      <c r="AL186" s="2">
        <v>23.5</v>
      </c>
      <c r="AM186" s="2">
        <v>27.5</v>
      </c>
      <c r="AN186" t="str">
        <f>IF(OR(G186="",Participant_Data!E186=""),"",IF(Participant_Data!E186&lt;70,IF(ROUND(G186,1)&lt;18.5,"ขาด/เสี่ยงขาด",IF(ROUND(G186,1)&gt;=25,"เสี่ยงเกิน/เกิน","ปกติ")),IF(ROUND(G186,1)&lt;20,"ขาด/เสี่ยงขาด",IF(ROUND(G186,1)&gt;=25,"เสี่ยงเกิน/เกิน","ปกติ"))))</f>
        <v>ขาด/เสี่ยงขาด</v>
      </c>
      <c r="AO186" t="str">
        <f>IF(OR(I186="",Participant_Data!G186=""),"",IF(Participant_Data!G186=1,IF(ROUND(I186,1)&lt;15,"ขาด/เสี่ยงขาด",IF(ROUND(I186,1)&gt;25,"เสี่ยงเกิน/เกิน","ปกติ")),IF(ROUND(I186,1)&lt;20,"ขาด/เสี่ยงขาด",IF(ROUND(I186,1)&gt;35,"เสี่ยงเกิน/เกิน","ปกติ"))))</f>
        <v>ปกติ</v>
      </c>
      <c r="AP186" t="str">
        <f t="shared" si="5"/>
        <v>ขาด/เสี่ยงขาด</v>
      </c>
    </row>
    <row r="187" spans="1:42">
      <c r="A187" s="2">
        <f>IF(Participant_Data!A187="","",Participant_Data!A187)</f>
        <v>186</v>
      </c>
      <c r="B187" s="2" t="str">
        <f>IF(Participant_Data!B187="","",Participant_Data!B187)</f>
        <v/>
      </c>
      <c r="C187" s="3" t="str">
        <f>IF(Participant_Data!C187="","",Participant_Data!C187)</f>
        <v/>
      </c>
      <c r="D187" s="5"/>
      <c r="E187" s="5">
        <v>165</v>
      </c>
      <c r="F187" s="5">
        <v>56.55</v>
      </c>
      <c r="G187" s="22">
        <f t="shared" si="4"/>
        <v>20.771349862258955</v>
      </c>
      <c r="H187" s="5">
        <v>13.69</v>
      </c>
      <c r="I187" s="5">
        <v>24.2</v>
      </c>
      <c r="J187" s="5">
        <v>6.5</v>
      </c>
      <c r="K187" s="5">
        <v>40.25</v>
      </c>
      <c r="L187" s="5">
        <v>2.6</v>
      </c>
      <c r="M187" s="5">
        <v>38.4</v>
      </c>
      <c r="N187" s="5">
        <v>1200</v>
      </c>
      <c r="O187" s="5">
        <v>2</v>
      </c>
      <c r="P187" s="5">
        <v>3</v>
      </c>
      <c r="Q187" s="5">
        <v>2</v>
      </c>
      <c r="R187" s="5">
        <v>2</v>
      </c>
      <c r="S187" s="5">
        <v>2</v>
      </c>
      <c r="T187" s="5">
        <v>1</v>
      </c>
      <c r="U187" s="2">
        <v>12</v>
      </c>
      <c r="V187" s="2">
        <v>1</v>
      </c>
      <c r="W187" s="5">
        <v>1</v>
      </c>
      <c r="X187" s="5">
        <v>1</v>
      </c>
      <c r="Y187" s="5">
        <v>1</v>
      </c>
      <c r="Z187" s="5">
        <v>1</v>
      </c>
      <c r="AA187" s="5">
        <v>0.5</v>
      </c>
      <c r="AB187" s="5">
        <v>1</v>
      </c>
      <c r="AC187" s="5">
        <v>1</v>
      </c>
      <c r="AD187" s="5">
        <v>2</v>
      </c>
      <c r="AE187" s="5">
        <v>1</v>
      </c>
      <c r="AF187" s="5">
        <v>2</v>
      </c>
      <c r="AG187" s="5">
        <v>1</v>
      </c>
      <c r="AH187" s="5">
        <v>1</v>
      </c>
      <c r="AI187" s="2">
        <v>13.5</v>
      </c>
      <c r="AJ187" s="2">
        <v>25.5</v>
      </c>
      <c r="AK187" s="2">
        <v>1</v>
      </c>
      <c r="AL187" s="2">
        <v>28</v>
      </c>
      <c r="AM187" s="2">
        <v>33.5</v>
      </c>
      <c r="AN187" t="str">
        <f>IF(OR(G187="",Participant_Data!E187=""),"",IF(Participant_Data!E187&lt;70,IF(ROUND(G187,1)&lt;18.5,"ขาด/เสี่ยงขาด",IF(ROUND(G187,1)&gt;=25,"เสี่ยงเกิน/เกิน","ปกติ")),IF(ROUND(G187,1)&lt;20,"ขาด/เสี่ยงขาด",IF(ROUND(G187,1)&gt;=25,"เสี่ยงเกิน/เกิน","ปกติ"))))</f>
        <v>ปกติ</v>
      </c>
      <c r="AO187" t="str">
        <f>IF(OR(I187="",Participant_Data!G187=""),"",IF(Participant_Data!G187=1,IF(ROUND(I187,1)&lt;15,"ขาด/เสี่ยงขาด",IF(ROUND(I187,1)&gt;25,"เสี่ยงเกิน/เกิน","ปกติ")),IF(ROUND(I187,1)&lt;20,"ขาด/เสี่ยงขาด",IF(ROUND(I187,1)&gt;35,"เสี่ยงเกิน/เกิน","ปกติ"))))</f>
        <v>ปกติ</v>
      </c>
      <c r="AP187" t="str">
        <f t="shared" si="5"/>
        <v>ปกติ</v>
      </c>
    </row>
    <row r="188" spans="1:42">
      <c r="A188" s="2">
        <f>IF(Participant_Data!A188="","",Participant_Data!A188)</f>
        <v>187</v>
      </c>
      <c r="B188" s="2" t="str">
        <f>IF(Participant_Data!B188="","",Participant_Data!B188)</f>
        <v/>
      </c>
      <c r="C188" s="3" t="str">
        <f>IF(Participant_Data!C188="","",Participant_Data!C188)</f>
        <v/>
      </c>
      <c r="D188" s="5"/>
      <c r="E188" s="5">
        <v>152</v>
      </c>
      <c r="F188" s="5">
        <v>61.3</v>
      </c>
      <c r="G188" s="22">
        <f t="shared" si="4"/>
        <v>26.53220221606648</v>
      </c>
      <c r="H188" s="5">
        <v>16.239999999999998</v>
      </c>
      <c r="I188" s="5">
        <v>33.799999999999997</v>
      </c>
      <c r="J188" s="5">
        <v>9.5</v>
      </c>
      <c r="K188" s="5">
        <v>38.200000000000003</v>
      </c>
      <c r="L188" s="5">
        <v>2.4</v>
      </c>
      <c r="M188" s="5">
        <v>32.5</v>
      </c>
      <c r="N188" s="5">
        <v>1175</v>
      </c>
      <c r="O188" s="5">
        <v>2</v>
      </c>
      <c r="P188" s="5">
        <v>3</v>
      </c>
      <c r="Q188" s="5">
        <v>2</v>
      </c>
      <c r="R188" s="5">
        <v>2</v>
      </c>
      <c r="S188" s="5">
        <v>2</v>
      </c>
      <c r="T188" s="5">
        <v>3</v>
      </c>
      <c r="U188" s="2">
        <v>14</v>
      </c>
      <c r="V188" s="2">
        <v>1</v>
      </c>
      <c r="W188" s="5">
        <v>1</v>
      </c>
      <c r="X188" s="5">
        <v>0</v>
      </c>
      <c r="Y188" s="5">
        <v>1</v>
      </c>
      <c r="Z188" s="5">
        <v>2</v>
      </c>
      <c r="AA188" s="5">
        <v>0.5</v>
      </c>
      <c r="AB188" s="5">
        <v>1</v>
      </c>
      <c r="AC188" s="5">
        <v>1</v>
      </c>
      <c r="AD188" s="5">
        <v>2</v>
      </c>
      <c r="AE188" s="5">
        <v>2</v>
      </c>
      <c r="AF188" s="5">
        <v>0.5</v>
      </c>
      <c r="AG188" s="5">
        <v>1</v>
      </c>
      <c r="AH188" s="5">
        <v>1</v>
      </c>
      <c r="AI188" s="2">
        <v>13</v>
      </c>
      <c r="AJ188" s="2">
        <v>27</v>
      </c>
      <c r="AK188" s="2">
        <v>1</v>
      </c>
      <c r="AL188" s="2">
        <v>26</v>
      </c>
      <c r="AM188" s="2">
        <v>31.5</v>
      </c>
      <c r="AN188" t="str">
        <f>IF(OR(G188="",Participant_Data!E188=""),"",IF(Participant_Data!E188&lt;70,IF(ROUND(G188,1)&lt;18.5,"ขาด/เสี่ยงขาด",IF(ROUND(G188,1)&gt;=25,"เสี่ยงเกิน/เกิน","ปกติ")),IF(ROUND(G188,1)&lt;20,"ขาด/เสี่ยงขาด",IF(ROUND(G188,1)&gt;=25,"เสี่ยงเกิน/เกิน","ปกติ"))))</f>
        <v>เสี่ยงเกิน/เกิน</v>
      </c>
      <c r="AO188" t="str">
        <f>IF(OR(I188="",Participant_Data!G188=""),"",IF(Participant_Data!G188=1,IF(ROUND(I188,1)&lt;15,"ขาด/เสี่ยงขาด",IF(ROUND(I188,1)&gt;25,"เสี่ยงเกิน/เกิน","ปกติ")),IF(ROUND(I188,1)&lt;20,"ขาด/เสี่ยงขาด",IF(ROUND(I188,1)&gt;35,"เสี่ยงเกิน/เกิน","ปกติ"))))</f>
        <v>ปกติ</v>
      </c>
      <c r="AP188" t="str">
        <f t="shared" si="5"/>
        <v>เสี่ยงเกิน/เกิน</v>
      </c>
    </row>
    <row r="189" spans="1:42">
      <c r="A189" s="2">
        <f>IF(Participant_Data!A189="","",Participant_Data!A189)</f>
        <v>188</v>
      </c>
      <c r="B189" s="2" t="str">
        <f>IF(Participant_Data!B189="","",Participant_Data!B189)</f>
        <v/>
      </c>
      <c r="C189" s="3" t="str">
        <f>IF(Participant_Data!C189="","",Participant_Data!C189)</f>
        <v/>
      </c>
      <c r="D189" s="5"/>
      <c r="E189" s="5">
        <v>145</v>
      </c>
      <c r="F189" s="5">
        <v>51.95</v>
      </c>
      <c r="G189" s="22">
        <f t="shared" si="4"/>
        <v>24.708680142687278</v>
      </c>
      <c r="H189" s="5">
        <v>17.61</v>
      </c>
      <c r="I189" s="5">
        <v>33.9</v>
      </c>
      <c r="J189" s="5">
        <v>8</v>
      </c>
      <c r="K189" s="5">
        <v>32.5</v>
      </c>
      <c r="L189" s="5">
        <v>1.9</v>
      </c>
      <c r="M189" s="5">
        <v>49.3</v>
      </c>
      <c r="N189" s="5">
        <v>994</v>
      </c>
      <c r="O189" s="5">
        <v>2</v>
      </c>
      <c r="P189" s="5">
        <v>3</v>
      </c>
      <c r="Q189" s="5">
        <v>2</v>
      </c>
      <c r="R189" s="5">
        <v>2</v>
      </c>
      <c r="S189" s="5">
        <v>1</v>
      </c>
      <c r="T189" s="5">
        <v>3</v>
      </c>
      <c r="U189" s="2">
        <v>13</v>
      </c>
      <c r="V189" s="2">
        <v>1</v>
      </c>
      <c r="W189" s="5">
        <v>1</v>
      </c>
      <c r="X189" s="5">
        <v>0</v>
      </c>
      <c r="Y189" s="5">
        <v>1</v>
      </c>
      <c r="Z189" s="5">
        <v>1</v>
      </c>
      <c r="AA189" s="5">
        <v>0.5</v>
      </c>
      <c r="AB189" s="5">
        <v>1</v>
      </c>
      <c r="AC189" s="5">
        <v>1</v>
      </c>
      <c r="AD189" s="5">
        <v>2</v>
      </c>
      <c r="AE189" s="5">
        <v>2</v>
      </c>
      <c r="AF189" s="5">
        <v>2</v>
      </c>
      <c r="AG189" s="5">
        <v>1</v>
      </c>
      <c r="AH189" s="5">
        <v>1</v>
      </c>
      <c r="AI189" s="2">
        <v>13.5</v>
      </c>
      <c r="AJ189" s="2">
        <v>26.5</v>
      </c>
      <c r="AK189" s="2">
        <v>1</v>
      </c>
      <c r="AL189" s="2">
        <v>28</v>
      </c>
      <c r="AM189" s="2">
        <v>34</v>
      </c>
      <c r="AN189" t="str">
        <f>IF(OR(G189="",Participant_Data!E189=""),"",IF(Participant_Data!E189&lt;70,IF(ROUND(G189,1)&lt;18.5,"ขาด/เสี่ยงขาด",IF(ROUND(G189,1)&gt;=25,"เสี่ยงเกิน/เกิน","ปกติ")),IF(ROUND(G189,1)&lt;20,"ขาด/เสี่ยงขาด",IF(ROUND(G189,1)&gt;=25,"เสี่ยงเกิน/เกิน","ปกติ"))))</f>
        <v>ปกติ</v>
      </c>
      <c r="AO189" t="str">
        <f>IF(OR(I189="",Participant_Data!G189=""),"",IF(Participant_Data!G189=1,IF(ROUND(I189,1)&lt;15,"ขาด/เสี่ยงขาด",IF(ROUND(I189,1)&gt;25,"เสี่ยงเกิน/เกิน","ปกติ")),IF(ROUND(I189,1)&lt;20,"ขาด/เสี่ยงขาด",IF(ROUND(I189,1)&gt;35,"เสี่ยงเกิน/เกิน","ปกติ"))))</f>
        <v>ปกติ</v>
      </c>
      <c r="AP189" t="str">
        <f t="shared" si="5"/>
        <v>ปกติ</v>
      </c>
    </row>
    <row r="190" spans="1:42">
      <c r="A190" s="2">
        <f>IF(Participant_Data!A190="","",Participant_Data!A190)</f>
        <v>189</v>
      </c>
      <c r="B190" s="2" t="str">
        <f>IF(Participant_Data!B190="","",Participant_Data!B190)</f>
        <v/>
      </c>
      <c r="C190" s="3" t="str">
        <f>IF(Participant_Data!C190="","",Participant_Data!C190)</f>
        <v/>
      </c>
      <c r="D190" s="5"/>
      <c r="E190" s="5">
        <v>158</v>
      </c>
      <c r="F190" s="5">
        <v>64.45</v>
      </c>
      <c r="G190" s="22">
        <f t="shared" si="4"/>
        <v>25.817176734497675</v>
      </c>
      <c r="H190" s="5">
        <v>17.72</v>
      </c>
      <c r="I190" s="5">
        <v>27.5</v>
      </c>
      <c r="J190" s="5">
        <v>17</v>
      </c>
      <c r="K190" s="5">
        <v>44.3</v>
      </c>
      <c r="L190" s="5">
        <v>2.5</v>
      </c>
      <c r="M190" s="5">
        <v>46.1</v>
      </c>
      <c r="N190" s="5">
        <v>1262</v>
      </c>
      <c r="O190" s="5">
        <v>2</v>
      </c>
      <c r="P190" s="5">
        <v>3</v>
      </c>
      <c r="Q190" s="5">
        <v>2</v>
      </c>
      <c r="R190" s="5">
        <v>2</v>
      </c>
      <c r="S190" s="5">
        <v>2</v>
      </c>
      <c r="T190" s="5">
        <v>3</v>
      </c>
      <c r="U190" s="2">
        <v>14</v>
      </c>
      <c r="V190" s="2">
        <v>1</v>
      </c>
      <c r="W190" s="5">
        <v>1</v>
      </c>
      <c r="X190" s="5">
        <v>1</v>
      </c>
      <c r="Y190" s="5">
        <v>1</v>
      </c>
      <c r="Z190" s="5">
        <v>2</v>
      </c>
      <c r="AA190" s="5">
        <v>0</v>
      </c>
      <c r="AB190" s="5">
        <v>1</v>
      </c>
      <c r="AC190" s="5">
        <v>1</v>
      </c>
      <c r="AD190" s="5">
        <v>2</v>
      </c>
      <c r="AE190" s="5">
        <v>1</v>
      </c>
      <c r="AF190" s="5">
        <v>1</v>
      </c>
      <c r="AG190" s="5">
        <v>1</v>
      </c>
      <c r="AH190" s="5">
        <v>1</v>
      </c>
      <c r="AI190" s="2">
        <v>13</v>
      </c>
      <c r="AJ190" s="2">
        <v>27</v>
      </c>
      <c r="AK190" s="2">
        <v>1</v>
      </c>
      <c r="AL190" s="2">
        <v>30</v>
      </c>
      <c r="AM190" s="2">
        <v>35</v>
      </c>
      <c r="AN190" t="str">
        <f>IF(OR(G190="",Participant_Data!E190=""),"",IF(Participant_Data!E190&lt;70,IF(ROUND(G190,1)&lt;18.5,"ขาด/เสี่ยงขาด",IF(ROUND(G190,1)&gt;=25,"เสี่ยงเกิน/เกิน","ปกติ")),IF(ROUND(G190,1)&lt;20,"ขาด/เสี่ยงขาด",IF(ROUND(G190,1)&gt;=25,"เสี่ยงเกิน/เกิน","ปกติ"))))</f>
        <v>เสี่ยงเกิน/เกิน</v>
      </c>
      <c r="AO190" t="str">
        <f>IF(OR(I190="",Participant_Data!G190=""),"",IF(Participant_Data!G190=1,IF(ROUND(I190,1)&lt;15,"ขาด/เสี่ยงขาด",IF(ROUND(I190,1)&gt;25,"เสี่ยงเกิน/เกิน","ปกติ")),IF(ROUND(I190,1)&lt;20,"ขาด/เสี่ยงขาด",IF(ROUND(I190,1)&gt;35,"เสี่ยงเกิน/เกิน","ปกติ"))))</f>
        <v>เสี่ยงเกิน/เกิน</v>
      </c>
      <c r="AP190" t="str">
        <f t="shared" si="5"/>
        <v>เสี่ยงเกิน/เกิน</v>
      </c>
    </row>
    <row r="191" spans="1:42">
      <c r="A191" s="2">
        <f>IF(Participant_Data!A191="","",Participant_Data!A191)</f>
        <v>190</v>
      </c>
      <c r="B191" s="2" t="str">
        <f>IF(Participant_Data!B191="","",Participant_Data!B191)</f>
        <v/>
      </c>
      <c r="C191" s="3" t="str">
        <f>IF(Participant_Data!C191="","",Participant_Data!C191)</f>
        <v/>
      </c>
      <c r="D191" s="5"/>
      <c r="E191" s="5">
        <v>145</v>
      </c>
      <c r="F191" s="5">
        <v>63.9</v>
      </c>
      <c r="G191" s="22">
        <f t="shared" si="4"/>
        <v>30.392390011890605</v>
      </c>
      <c r="H191" s="5">
        <v>27.03</v>
      </c>
      <c r="I191" s="5">
        <v>42.3</v>
      </c>
      <c r="J191" s="5">
        <v>11.5</v>
      </c>
      <c r="K191" s="5">
        <v>34.799999999999997</v>
      </c>
      <c r="L191" s="5">
        <v>2.7</v>
      </c>
      <c r="M191" s="5">
        <v>33.299999999999997</v>
      </c>
      <c r="N191" s="5">
        <v>1110</v>
      </c>
      <c r="O191" s="5">
        <v>2</v>
      </c>
      <c r="P191" s="5">
        <v>2</v>
      </c>
      <c r="Q191" s="5">
        <v>2</v>
      </c>
      <c r="R191" s="5">
        <v>2</v>
      </c>
      <c r="S191" s="5">
        <v>2</v>
      </c>
      <c r="T191" s="5">
        <v>3</v>
      </c>
      <c r="U191" s="2">
        <v>13</v>
      </c>
      <c r="V191" s="2">
        <v>1</v>
      </c>
      <c r="W191" s="5">
        <v>1</v>
      </c>
      <c r="X191" s="5">
        <v>1</v>
      </c>
      <c r="Y191" s="5">
        <v>1</v>
      </c>
      <c r="Z191" s="5">
        <v>2</v>
      </c>
      <c r="AA191" s="5">
        <v>0.5</v>
      </c>
      <c r="AB191" s="5">
        <v>1</v>
      </c>
      <c r="AC191" s="5">
        <v>1</v>
      </c>
      <c r="AD191" s="5">
        <v>2</v>
      </c>
      <c r="AE191" s="5">
        <v>2</v>
      </c>
      <c r="AF191" s="5">
        <v>2</v>
      </c>
      <c r="AG191" s="5">
        <v>1</v>
      </c>
      <c r="AH191" s="5">
        <v>1</v>
      </c>
      <c r="AI191" s="2">
        <v>15.5</v>
      </c>
      <c r="AJ191" s="2">
        <v>28.5</v>
      </c>
      <c r="AK191" s="2">
        <v>1</v>
      </c>
      <c r="AL191" s="2">
        <v>30.5</v>
      </c>
      <c r="AM191" s="2">
        <v>38</v>
      </c>
      <c r="AN191" t="str">
        <f>IF(OR(G191="",Participant_Data!E191=""),"",IF(Participant_Data!E191&lt;70,IF(ROUND(G191,1)&lt;18.5,"ขาด/เสี่ยงขาด",IF(ROUND(G191,1)&gt;=25,"เสี่ยงเกิน/เกิน","ปกติ")),IF(ROUND(G191,1)&lt;20,"ขาด/เสี่ยงขาด",IF(ROUND(G191,1)&gt;=25,"เสี่ยงเกิน/เกิน","ปกติ"))))</f>
        <v>เสี่ยงเกิน/เกิน</v>
      </c>
      <c r="AO191" t="str">
        <f>IF(OR(I191="",Participant_Data!G191=""),"",IF(Participant_Data!G191=1,IF(ROUND(I191,1)&lt;15,"ขาด/เสี่ยงขาด",IF(ROUND(I191,1)&gt;25,"เสี่ยงเกิน/เกิน","ปกติ")),IF(ROUND(I191,1)&lt;20,"ขาด/เสี่ยงขาด",IF(ROUND(I191,1)&gt;35,"เสี่ยงเกิน/เกิน","ปกติ"))))</f>
        <v>เสี่ยงเกิน/เกิน</v>
      </c>
      <c r="AP191" t="str">
        <f t="shared" si="5"/>
        <v>เสี่ยงเกิน/เกิน</v>
      </c>
    </row>
    <row r="192" spans="1:42">
      <c r="A192" s="2">
        <f>IF(Participant_Data!A192="","",Participant_Data!A192)</f>
        <v>191</v>
      </c>
      <c r="B192" s="2" t="str">
        <f>IF(Participant_Data!B192="","",Participant_Data!B192)</f>
        <v/>
      </c>
      <c r="C192" s="3" t="str">
        <f>IF(Participant_Data!C192="","",Participant_Data!C192)</f>
        <v/>
      </c>
      <c r="D192" s="5"/>
      <c r="E192" s="5">
        <v>158</v>
      </c>
      <c r="F192" s="5">
        <v>62.65</v>
      </c>
      <c r="G192" s="22">
        <f t="shared" si="4"/>
        <v>25.096138439352664</v>
      </c>
      <c r="H192" s="5">
        <v>11.84</v>
      </c>
      <c r="I192" s="5">
        <v>18.899999999999999</v>
      </c>
      <c r="J192" s="5">
        <v>14.5</v>
      </c>
      <c r="K192" s="5">
        <v>48.15</v>
      </c>
      <c r="L192" s="5">
        <v>2.7</v>
      </c>
      <c r="M192" s="5">
        <v>57.9</v>
      </c>
      <c r="N192" s="5">
        <v>1362</v>
      </c>
      <c r="O192" s="5">
        <v>2</v>
      </c>
      <c r="P192" s="5">
        <v>2</v>
      </c>
      <c r="Q192" s="5">
        <v>2</v>
      </c>
      <c r="R192" s="5">
        <v>2</v>
      </c>
      <c r="S192" s="5">
        <v>1</v>
      </c>
      <c r="T192" s="5">
        <v>3</v>
      </c>
      <c r="U192" s="2">
        <v>12</v>
      </c>
      <c r="V192" s="2">
        <v>1</v>
      </c>
      <c r="W192" s="5">
        <v>1</v>
      </c>
      <c r="X192" s="5">
        <v>1</v>
      </c>
      <c r="Y192" s="5">
        <v>1</v>
      </c>
      <c r="Z192" s="5">
        <v>1</v>
      </c>
      <c r="AA192" s="5">
        <v>0.5</v>
      </c>
      <c r="AB192" s="5">
        <v>1</v>
      </c>
      <c r="AC192" s="5">
        <v>1</v>
      </c>
      <c r="AD192" s="5">
        <v>2</v>
      </c>
      <c r="AE192" s="5">
        <v>1</v>
      </c>
      <c r="AF192" s="5">
        <v>1</v>
      </c>
      <c r="AG192" s="5">
        <v>1</v>
      </c>
      <c r="AH192" s="5">
        <v>1</v>
      </c>
      <c r="AI192" s="2">
        <v>12.5</v>
      </c>
      <c r="AJ192" s="2">
        <v>24.5</v>
      </c>
      <c r="AK192" s="2">
        <v>1</v>
      </c>
      <c r="AL192" s="2">
        <v>27.5</v>
      </c>
      <c r="AM192" s="2">
        <v>39</v>
      </c>
      <c r="AN192" t="str">
        <f>IF(OR(G192="",Participant_Data!E192=""),"",IF(Participant_Data!E192&lt;70,IF(ROUND(G192,1)&lt;18.5,"ขาด/เสี่ยงขาด",IF(ROUND(G192,1)&gt;=25,"เสี่ยงเกิน/เกิน","ปกติ")),IF(ROUND(G192,1)&lt;20,"ขาด/เสี่ยงขาด",IF(ROUND(G192,1)&gt;=25,"เสี่ยงเกิน/เกิน","ปกติ"))))</f>
        <v>เสี่ยงเกิน/เกิน</v>
      </c>
      <c r="AO192" t="str">
        <f>IF(OR(I192="",Participant_Data!G192=""),"",IF(Participant_Data!G192=1,IF(ROUND(I192,1)&lt;15,"ขาด/เสี่ยงขาด",IF(ROUND(I192,1)&gt;25,"เสี่ยงเกิน/เกิน","ปกติ")),IF(ROUND(I192,1)&lt;20,"ขาด/เสี่ยงขาด",IF(ROUND(I192,1)&gt;35,"เสี่ยงเกิน/เกิน","ปกติ"))))</f>
        <v>ปกติ</v>
      </c>
      <c r="AP192" t="str">
        <f t="shared" si="5"/>
        <v>เสี่ยงเกิน/เกิน</v>
      </c>
    </row>
    <row r="193" spans="1:42">
      <c r="A193" s="2">
        <f>IF(Participant_Data!A193="","",Participant_Data!A193)</f>
        <v>192</v>
      </c>
      <c r="B193" s="2" t="str">
        <f>IF(Participant_Data!B193="","",Participant_Data!B193)</f>
        <v/>
      </c>
      <c r="C193" s="3" t="str">
        <f>IF(Participant_Data!C193="","",Participant_Data!C193)</f>
        <v/>
      </c>
      <c r="D193" s="5"/>
      <c r="E193" s="5">
        <v>150</v>
      </c>
      <c r="F193" s="5">
        <v>41.8</v>
      </c>
      <c r="G193" s="22">
        <f t="shared" si="4"/>
        <v>18.577777777777776</v>
      </c>
      <c r="H193" s="5">
        <v>5.81</v>
      </c>
      <c r="I193" s="5">
        <v>13.9</v>
      </c>
      <c r="J193" s="5">
        <v>2</v>
      </c>
      <c r="K193" s="5">
        <v>34</v>
      </c>
      <c r="L193" s="5">
        <v>2</v>
      </c>
      <c r="M193" s="5">
        <v>63.4</v>
      </c>
      <c r="N193" s="5">
        <v>978</v>
      </c>
      <c r="O193" s="5">
        <v>2</v>
      </c>
      <c r="P193" s="5">
        <v>3</v>
      </c>
      <c r="Q193" s="5">
        <v>2</v>
      </c>
      <c r="R193" s="5">
        <v>2</v>
      </c>
      <c r="S193" s="5">
        <v>2</v>
      </c>
      <c r="T193" s="5">
        <v>0</v>
      </c>
      <c r="U193" s="2">
        <v>11</v>
      </c>
      <c r="V193" s="2">
        <v>2</v>
      </c>
      <c r="W193" s="5">
        <v>1</v>
      </c>
      <c r="X193" s="5">
        <v>1</v>
      </c>
      <c r="Y193" s="5">
        <v>1</v>
      </c>
      <c r="Z193" s="5">
        <v>1</v>
      </c>
      <c r="AA193" s="5">
        <v>0.5</v>
      </c>
      <c r="AB193" s="5">
        <v>1</v>
      </c>
      <c r="AC193" s="5">
        <v>1</v>
      </c>
      <c r="AD193" s="5">
        <v>2</v>
      </c>
      <c r="AE193" s="5">
        <v>1</v>
      </c>
      <c r="AF193" s="5">
        <v>2</v>
      </c>
      <c r="AG193" s="5">
        <v>1</v>
      </c>
      <c r="AH193" s="5">
        <v>0</v>
      </c>
      <c r="AI193" s="2">
        <v>12.5</v>
      </c>
      <c r="AJ193" s="2">
        <v>23.5</v>
      </c>
      <c r="AK193" s="2">
        <v>2</v>
      </c>
      <c r="AL193" s="2">
        <v>24</v>
      </c>
      <c r="AM193" s="2">
        <v>30.5</v>
      </c>
      <c r="AN193" t="str">
        <f>IF(OR(G193="",Participant_Data!E193=""),"",IF(Participant_Data!E193&lt;70,IF(ROUND(G193,1)&lt;18.5,"ขาด/เสี่ยงขาด",IF(ROUND(G193,1)&gt;=25,"เสี่ยงเกิน/เกิน","ปกติ")),IF(ROUND(G193,1)&lt;20,"ขาด/เสี่ยงขาด",IF(ROUND(G193,1)&gt;=25,"เสี่ยงเกิน/เกิน","ปกติ"))))</f>
        <v>ขาด/เสี่ยงขาด</v>
      </c>
      <c r="AO193" t="str">
        <f>IF(OR(I193="",Participant_Data!G193=""),"",IF(Participant_Data!G193=1,IF(ROUND(I193,1)&lt;15,"ขาด/เสี่ยงขาด",IF(ROUND(I193,1)&gt;25,"เสี่ยงเกิน/เกิน","ปกติ")),IF(ROUND(I193,1)&lt;20,"ขาด/เสี่ยงขาด",IF(ROUND(I193,1)&gt;35,"เสี่ยงเกิน/เกิน","ปกติ"))))</f>
        <v>ขาด/เสี่ยงขาด</v>
      </c>
      <c r="AP193" t="str">
        <f t="shared" si="5"/>
        <v>ขาด/เสี่ยงขาด</v>
      </c>
    </row>
    <row r="194" spans="1:42">
      <c r="A194" s="2">
        <f>IF(Participant_Data!A194="","",Participant_Data!A194)</f>
        <v>193</v>
      </c>
      <c r="B194" s="2" t="str">
        <f>IF(Participant_Data!B194="","",Participant_Data!B194)</f>
        <v/>
      </c>
      <c r="C194" s="3" t="str">
        <f>IF(Participant_Data!C194="","",Participant_Data!C194)</f>
        <v/>
      </c>
      <c r="D194" s="5"/>
      <c r="E194" s="5">
        <v>152</v>
      </c>
      <c r="F194" s="5">
        <v>42.9</v>
      </c>
      <c r="G194" s="22">
        <f t="shared" ref="G194:G257" si="6">IF(OR(E194="",F194=""),"",F194/((E194/100)^2))</f>
        <v>18.568213296398891</v>
      </c>
      <c r="H194" s="5">
        <v>11.11</v>
      </c>
      <c r="I194" s="5">
        <v>25.9</v>
      </c>
      <c r="J194" s="5">
        <v>5.5</v>
      </c>
      <c r="K194" s="5">
        <v>30.15</v>
      </c>
      <c r="L194" s="5">
        <v>1.6</v>
      </c>
      <c r="M194" s="5">
        <v>38.700000000000003</v>
      </c>
      <c r="N194" s="5">
        <v>889</v>
      </c>
      <c r="O194" s="5">
        <v>1</v>
      </c>
      <c r="P194" s="5">
        <v>1</v>
      </c>
      <c r="Q194" s="5">
        <v>2</v>
      </c>
      <c r="R194" s="5">
        <v>2</v>
      </c>
      <c r="S194" s="5">
        <v>1</v>
      </c>
      <c r="T194" s="5">
        <v>0</v>
      </c>
      <c r="U194" s="2">
        <v>7</v>
      </c>
      <c r="V194" s="2">
        <v>3</v>
      </c>
      <c r="W194" s="5">
        <v>1</v>
      </c>
      <c r="X194" s="5">
        <v>0</v>
      </c>
      <c r="Y194" s="5">
        <v>1</v>
      </c>
      <c r="Z194" s="5">
        <v>2</v>
      </c>
      <c r="AA194" s="5">
        <v>0.5</v>
      </c>
      <c r="AB194" s="5">
        <v>1</v>
      </c>
      <c r="AC194" s="5">
        <v>1</v>
      </c>
      <c r="AD194" s="5">
        <v>2</v>
      </c>
      <c r="AE194" s="5">
        <v>0</v>
      </c>
      <c r="AF194" s="5">
        <v>0</v>
      </c>
      <c r="AG194" s="5">
        <v>1</v>
      </c>
      <c r="AH194" s="5">
        <v>0</v>
      </c>
      <c r="AI194" s="2">
        <v>9.5</v>
      </c>
      <c r="AJ194" s="2">
        <v>16.5</v>
      </c>
      <c r="AK194" s="2">
        <v>3</v>
      </c>
      <c r="AL194" s="2">
        <v>23</v>
      </c>
      <c r="AM194" s="2">
        <v>25.5</v>
      </c>
      <c r="AN194" t="str">
        <f>IF(OR(G194="",Participant_Data!E194=""),"",IF(Participant_Data!E194&lt;70,IF(ROUND(G194,1)&lt;18.5,"ขาด/เสี่ยงขาด",IF(ROUND(G194,1)&gt;=25,"เสี่ยงเกิน/เกิน","ปกติ")),IF(ROUND(G194,1)&lt;20,"ขาด/เสี่ยงขาด",IF(ROUND(G194,1)&gt;=25,"เสี่ยงเกิน/เกิน","ปกติ"))))</f>
        <v>ขาด/เสี่ยงขาด</v>
      </c>
      <c r="AO194" t="str">
        <f>IF(OR(I194="",Participant_Data!G194=""),"",IF(Participant_Data!G194=1,IF(ROUND(I194,1)&lt;15,"ขาด/เสี่ยงขาด",IF(ROUND(I194,1)&gt;25,"เสี่ยงเกิน/เกิน","ปกติ")),IF(ROUND(I194,1)&lt;20,"ขาด/เสี่ยงขาด",IF(ROUND(I194,1)&gt;35,"เสี่ยงเกิน/เกิน","ปกติ"))))</f>
        <v>ปกติ</v>
      </c>
      <c r="AP194" t="str">
        <f t="shared" ref="AP194:AP257" si="7">IF(OR(AN194="",AO194=""),"",IF(OR(AN194="ขาด/เสี่ยงขาด",AO194="ขาด/เสี่ยงขาด"),"ขาด/เสี่ยงขาด",IF(OR(AN194="เสี่ยงเกิน/เกิน",AO194="เสี่ยงเกิน/เกิน"),"เสี่ยงเกิน/เกิน","ปกติ")))</f>
        <v>ขาด/เสี่ยงขาด</v>
      </c>
    </row>
    <row r="195" spans="1:42">
      <c r="A195" s="2">
        <f>IF(Participant_Data!A195="","",Participant_Data!A195)</f>
        <v>194</v>
      </c>
      <c r="B195" s="2" t="str">
        <f>IF(Participant_Data!B195="","",Participant_Data!B195)</f>
        <v/>
      </c>
      <c r="C195" s="3" t="str">
        <f>IF(Participant_Data!C195="","",Participant_Data!C195)</f>
        <v/>
      </c>
      <c r="D195" s="5"/>
      <c r="E195" s="5">
        <v>145</v>
      </c>
      <c r="F195" s="5">
        <v>46.85</v>
      </c>
      <c r="G195" s="22">
        <f t="shared" si="6"/>
        <v>22.282996432818074</v>
      </c>
      <c r="H195" s="5">
        <v>13.82</v>
      </c>
      <c r="I195" s="5">
        <v>29.5</v>
      </c>
      <c r="J195" s="5">
        <v>7</v>
      </c>
      <c r="K195" s="5">
        <v>31.3</v>
      </c>
      <c r="L195" s="5">
        <v>1.7</v>
      </c>
      <c r="M195" s="5">
        <v>39.9</v>
      </c>
      <c r="N195" s="5">
        <v>940</v>
      </c>
      <c r="O195" s="5">
        <v>0</v>
      </c>
      <c r="P195" s="5">
        <v>1</v>
      </c>
      <c r="Q195" s="5">
        <v>2</v>
      </c>
      <c r="R195" s="5">
        <v>2</v>
      </c>
      <c r="S195" s="5">
        <v>2</v>
      </c>
      <c r="T195" s="5">
        <v>2</v>
      </c>
      <c r="U195" s="2">
        <v>9</v>
      </c>
      <c r="V195" s="2">
        <v>2</v>
      </c>
      <c r="W195" s="5">
        <v>1</v>
      </c>
      <c r="X195" s="5">
        <v>1</v>
      </c>
      <c r="Y195" s="5">
        <v>1</v>
      </c>
      <c r="Z195" s="5">
        <v>1</v>
      </c>
      <c r="AA195" s="5">
        <v>1</v>
      </c>
      <c r="AB195" s="5">
        <v>1</v>
      </c>
      <c r="AC195" s="5">
        <v>1</v>
      </c>
      <c r="AD195" s="5">
        <v>2</v>
      </c>
      <c r="AE195" s="5">
        <v>1</v>
      </c>
      <c r="AF195" s="5">
        <v>0.5</v>
      </c>
      <c r="AG195" s="5">
        <v>1</v>
      </c>
      <c r="AH195" s="5">
        <v>0</v>
      </c>
      <c r="AI195" s="2">
        <v>11.5</v>
      </c>
      <c r="AJ195" s="2">
        <v>20.5</v>
      </c>
      <c r="AK195" s="2">
        <v>2</v>
      </c>
      <c r="AL195" s="2">
        <v>24.5</v>
      </c>
      <c r="AM195" s="2">
        <v>30</v>
      </c>
      <c r="AN195" t="str">
        <f>IF(OR(G195="",Participant_Data!E195=""),"",IF(Participant_Data!E195&lt;70,IF(ROUND(G195,1)&lt;18.5,"ขาด/เสี่ยงขาด",IF(ROUND(G195,1)&gt;=25,"เสี่ยงเกิน/เกิน","ปกติ")),IF(ROUND(G195,1)&lt;20,"ขาด/เสี่ยงขาด",IF(ROUND(G195,1)&gt;=25,"เสี่ยงเกิน/เกิน","ปกติ"))))</f>
        <v>ปกติ</v>
      </c>
      <c r="AO195" t="str">
        <f>IF(OR(I195="",Participant_Data!G195=""),"",IF(Participant_Data!G195=1,IF(ROUND(I195,1)&lt;15,"ขาด/เสี่ยงขาด",IF(ROUND(I195,1)&gt;25,"เสี่ยงเกิน/เกิน","ปกติ")),IF(ROUND(I195,1)&lt;20,"ขาด/เสี่ยงขาด",IF(ROUND(I195,1)&gt;35,"เสี่ยงเกิน/เกิน","ปกติ"))))</f>
        <v>ปกติ</v>
      </c>
      <c r="AP195" t="str">
        <f t="shared" si="7"/>
        <v>ปกติ</v>
      </c>
    </row>
    <row r="196" spans="1:42">
      <c r="A196" s="2">
        <f>IF(Participant_Data!A196="","",Participant_Data!A196)</f>
        <v>195</v>
      </c>
      <c r="B196" s="2" t="str">
        <f>IF(Participant_Data!B196="","",Participant_Data!B196)</f>
        <v/>
      </c>
      <c r="C196" s="3" t="str">
        <f>IF(Participant_Data!C196="","",Participant_Data!C196)</f>
        <v/>
      </c>
      <c r="D196" s="5"/>
      <c r="E196" s="5">
        <v>160</v>
      </c>
      <c r="F196" s="5">
        <v>59</v>
      </c>
      <c r="G196" s="22">
        <f t="shared" si="6"/>
        <v>23.046874999999996</v>
      </c>
      <c r="H196" s="5">
        <v>13.51</v>
      </c>
      <c r="I196" s="5">
        <v>22.9</v>
      </c>
      <c r="J196" s="5">
        <v>16</v>
      </c>
      <c r="K196" s="5">
        <v>43.1</v>
      </c>
      <c r="L196" s="5">
        <v>2.4</v>
      </c>
      <c r="M196" s="5">
        <v>44</v>
      </c>
      <c r="N196" s="5">
        <v>1212</v>
      </c>
      <c r="O196" s="5">
        <v>1</v>
      </c>
      <c r="P196" s="5">
        <v>0</v>
      </c>
      <c r="Q196" s="5">
        <v>2</v>
      </c>
      <c r="R196" s="5">
        <v>2</v>
      </c>
      <c r="S196" s="5">
        <v>1</v>
      </c>
      <c r="T196" s="5">
        <v>3</v>
      </c>
      <c r="U196" s="2">
        <v>9</v>
      </c>
      <c r="V196" s="2">
        <v>2</v>
      </c>
      <c r="W196" s="5">
        <v>1</v>
      </c>
      <c r="X196" s="5">
        <v>1</v>
      </c>
      <c r="Y196" s="5">
        <v>1</v>
      </c>
      <c r="Z196" s="5">
        <v>2</v>
      </c>
      <c r="AA196" s="5">
        <v>0</v>
      </c>
      <c r="AB196" s="5">
        <v>0</v>
      </c>
      <c r="AC196" s="5">
        <v>0.5</v>
      </c>
      <c r="AD196" s="5">
        <v>2</v>
      </c>
      <c r="AE196" s="5">
        <v>2</v>
      </c>
      <c r="AF196" s="5">
        <v>2</v>
      </c>
      <c r="AG196" s="5">
        <v>1</v>
      </c>
      <c r="AH196" s="5">
        <v>0</v>
      </c>
      <c r="AI196" s="2">
        <v>12.5</v>
      </c>
      <c r="AJ196" s="2">
        <v>21.5</v>
      </c>
      <c r="AK196" s="2">
        <v>2</v>
      </c>
      <c r="AL196" s="2">
        <v>25.5</v>
      </c>
      <c r="AM196" s="2">
        <v>28</v>
      </c>
      <c r="AN196" t="str">
        <f>IF(OR(G196="",Participant_Data!E196=""),"",IF(Participant_Data!E196&lt;70,IF(ROUND(G196,1)&lt;18.5,"ขาด/เสี่ยงขาด",IF(ROUND(G196,1)&gt;=25,"เสี่ยงเกิน/เกิน","ปกติ")),IF(ROUND(G196,1)&lt;20,"ขาด/เสี่ยงขาด",IF(ROUND(G196,1)&gt;=25,"เสี่ยงเกิน/เกิน","ปกติ"))))</f>
        <v>ปกติ</v>
      </c>
      <c r="AO196" t="str">
        <f>IF(OR(I196="",Participant_Data!G196=""),"",IF(Participant_Data!G196=1,IF(ROUND(I196,1)&lt;15,"ขาด/เสี่ยงขาด",IF(ROUND(I196,1)&gt;25,"เสี่ยงเกิน/เกิน","ปกติ")),IF(ROUND(I196,1)&lt;20,"ขาด/เสี่ยงขาด",IF(ROUND(I196,1)&gt;35,"เสี่ยงเกิน/เกิน","ปกติ"))))</f>
        <v>ปกติ</v>
      </c>
      <c r="AP196" t="str">
        <f t="shared" si="7"/>
        <v>ปกติ</v>
      </c>
    </row>
    <row r="197" spans="1:42">
      <c r="A197" s="2">
        <f>IF(Participant_Data!A197="","",Participant_Data!A197)</f>
        <v>196</v>
      </c>
      <c r="B197" s="2" t="str">
        <f>IF(Participant_Data!B197="","",Participant_Data!B197)</f>
        <v/>
      </c>
      <c r="C197" s="3" t="str">
        <f>IF(Participant_Data!C197="","",Participant_Data!C197)</f>
        <v/>
      </c>
      <c r="D197" s="5"/>
      <c r="E197" s="5">
        <v>160</v>
      </c>
      <c r="F197" s="5">
        <v>55.1</v>
      </c>
      <c r="G197" s="22">
        <f t="shared" si="6"/>
        <v>21.523437499999996</v>
      </c>
      <c r="H197" s="5">
        <v>12.45</v>
      </c>
      <c r="I197" s="5">
        <v>22.6</v>
      </c>
      <c r="J197" s="5">
        <v>13.5</v>
      </c>
      <c r="K197" s="5">
        <v>40.4</v>
      </c>
      <c r="L197" s="5">
        <v>2.2000000000000002</v>
      </c>
      <c r="M197" s="5">
        <v>47.1</v>
      </c>
      <c r="N197" s="5">
        <v>1137</v>
      </c>
      <c r="O197" s="5">
        <v>2</v>
      </c>
      <c r="P197" s="5">
        <v>3</v>
      </c>
      <c r="Q197" s="5">
        <v>2</v>
      </c>
      <c r="R197" s="5">
        <v>2</v>
      </c>
      <c r="S197" s="5">
        <v>2</v>
      </c>
      <c r="T197" s="5">
        <v>2</v>
      </c>
      <c r="U197" s="2">
        <v>13</v>
      </c>
      <c r="V197" s="2">
        <v>1</v>
      </c>
      <c r="W197" s="5">
        <v>1</v>
      </c>
      <c r="X197" s="5">
        <v>1</v>
      </c>
      <c r="Y197" s="5">
        <v>1</v>
      </c>
      <c r="Z197" s="5">
        <v>1</v>
      </c>
      <c r="AA197" s="5">
        <v>1</v>
      </c>
      <c r="AB197" s="5">
        <v>1</v>
      </c>
      <c r="AC197" s="5">
        <v>0.5</v>
      </c>
      <c r="AD197" s="5">
        <v>2</v>
      </c>
      <c r="AE197" s="5">
        <v>1</v>
      </c>
      <c r="AF197" s="5">
        <v>2</v>
      </c>
      <c r="AG197" s="5">
        <v>1</v>
      </c>
      <c r="AH197" s="5">
        <v>1</v>
      </c>
      <c r="AI197" s="2">
        <v>13.5</v>
      </c>
      <c r="AJ197" s="2">
        <v>26.5</v>
      </c>
      <c r="AK197" s="2">
        <v>1</v>
      </c>
      <c r="AL197" s="2">
        <v>25</v>
      </c>
      <c r="AM197" s="2">
        <v>31.5</v>
      </c>
      <c r="AN197" t="str">
        <f>IF(OR(G197="",Participant_Data!E197=""),"",IF(Participant_Data!E197&lt;70,IF(ROUND(G197,1)&lt;18.5,"ขาด/เสี่ยงขาด",IF(ROUND(G197,1)&gt;=25,"เสี่ยงเกิน/เกิน","ปกติ")),IF(ROUND(G197,1)&lt;20,"ขาด/เสี่ยงขาด",IF(ROUND(G197,1)&gt;=25,"เสี่ยงเกิน/เกิน","ปกติ"))))</f>
        <v>ปกติ</v>
      </c>
      <c r="AO197" t="str">
        <f>IF(OR(I197="",Participant_Data!G197=""),"",IF(Participant_Data!G197=1,IF(ROUND(I197,1)&lt;15,"ขาด/เสี่ยงขาด",IF(ROUND(I197,1)&gt;25,"เสี่ยงเกิน/เกิน","ปกติ")),IF(ROUND(I197,1)&lt;20,"ขาด/เสี่ยงขาด",IF(ROUND(I197,1)&gt;35,"เสี่ยงเกิน/เกิน","ปกติ"))))</f>
        <v>ปกติ</v>
      </c>
      <c r="AP197" t="str">
        <f t="shared" si="7"/>
        <v>ปกติ</v>
      </c>
    </row>
    <row r="198" spans="1:42">
      <c r="A198" s="2">
        <f>IF(Participant_Data!A198="","",Participant_Data!A198)</f>
        <v>197</v>
      </c>
      <c r="B198" s="2" t="str">
        <f>IF(Participant_Data!B198="","",Participant_Data!B198)</f>
        <v/>
      </c>
      <c r="C198" s="3" t="str">
        <f>IF(Participant_Data!C198="","",Participant_Data!C198)</f>
        <v/>
      </c>
      <c r="D198" s="5"/>
      <c r="E198" s="5">
        <v>156</v>
      </c>
      <c r="F198" s="5">
        <v>60.1</v>
      </c>
      <c r="G198" s="22">
        <f t="shared" si="6"/>
        <v>24.695923734385271</v>
      </c>
      <c r="H198" s="5">
        <v>22.48</v>
      </c>
      <c r="I198" s="5">
        <v>37.4</v>
      </c>
      <c r="J198" s="5">
        <v>8.5</v>
      </c>
      <c r="K198" s="5">
        <v>35.5</v>
      </c>
      <c r="L198" s="5">
        <v>2.1</v>
      </c>
      <c r="M198" s="5">
        <v>39.700000000000003</v>
      </c>
      <c r="N198" s="5">
        <v>1108</v>
      </c>
      <c r="O198" s="5">
        <v>2</v>
      </c>
      <c r="P198" s="5">
        <v>1</v>
      </c>
      <c r="Q198" s="5">
        <v>2</v>
      </c>
      <c r="R198" s="5">
        <v>2</v>
      </c>
      <c r="S198" s="5">
        <v>2</v>
      </c>
      <c r="T198" s="5">
        <v>3</v>
      </c>
      <c r="U198" s="2">
        <v>12</v>
      </c>
      <c r="V198" s="2">
        <v>1</v>
      </c>
      <c r="W198" s="5">
        <v>1</v>
      </c>
      <c r="X198" s="5">
        <v>1</v>
      </c>
      <c r="Y198" s="5">
        <v>1</v>
      </c>
      <c r="Z198" s="5">
        <v>2</v>
      </c>
      <c r="AA198" s="5">
        <v>0.5</v>
      </c>
      <c r="AB198" s="5">
        <v>1</v>
      </c>
      <c r="AC198" s="5">
        <v>1</v>
      </c>
      <c r="AD198" s="5">
        <v>2</v>
      </c>
      <c r="AE198" s="5">
        <v>2</v>
      </c>
      <c r="AF198" s="5">
        <v>2</v>
      </c>
      <c r="AG198" s="5">
        <v>1</v>
      </c>
      <c r="AH198" s="5">
        <v>1</v>
      </c>
      <c r="AI198" s="2">
        <v>15.5</v>
      </c>
      <c r="AJ198" s="2">
        <v>27.5</v>
      </c>
      <c r="AK198" s="2">
        <v>1</v>
      </c>
      <c r="AL198" s="2">
        <v>29</v>
      </c>
      <c r="AM198" s="2">
        <v>34.5</v>
      </c>
      <c r="AN198" t="str">
        <f>IF(OR(G198="",Participant_Data!E198=""),"",IF(Participant_Data!E198&lt;70,IF(ROUND(G198,1)&lt;18.5,"ขาด/เสี่ยงขาด",IF(ROUND(G198,1)&gt;=25,"เสี่ยงเกิน/เกิน","ปกติ")),IF(ROUND(G198,1)&lt;20,"ขาด/เสี่ยงขาด",IF(ROUND(G198,1)&gt;=25,"เสี่ยงเกิน/เกิน","ปกติ"))))</f>
        <v>ปกติ</v>
      </c>
      <c r="AO198" t="str">
        <f>IF(OR(I198="",Participant_Data!G198=""),"",IF(Participant_Data!G198=1,IF(ROUND(I198,1)&lt;15,"ขาด/เสี่ยงขาด",IF(ROUND(I198,1)&gt;25,"เสี่ยงเกิน/เกิน","ปกติ")),IF(ROUND(I198,1)&lt;20,"ขาด/เสี่ยงขาด",IF(ROUND(I198,1)&gt;35,"เสี่ยงเกิน/เกิน","ปกติ"))))</f>
        <v>เสี่ยงเกิน/เกิน</v>
      </c>
      <c r="AP198" t="str">
        <f t="shared" si="7"/>
        <v>เสี่ยงเกิน/เกิน</v>
      </c>
    </row>
    <row r="199" spans="1:42">
      <c r="A199" s="2">
        <f>IF(Participant_Data!A199="","",Participant_Data!A199)</f>
        <v>198</v>
      </c>
      <c r="B199" s="2" t="str">
        <f>IF(Participant_Data!B199="","",Participant_Data!B199)</f>
        <v/>
      </c>
      <c r="C199" s="3" t="str">
        <f>IF(Participant_Data!C199="","",Participant_Data!C199)</f>
        <v/>
      </c>
      <c r="D199" s="5"/>
      <c r="E199" s="5">
        <v>155</v>
      </c>
      <c r="F199" s="5">
        <v>44.9</v>
      </c>
      <c r="G199" s="22">
        <f t="shared" si="6"/>
        <v>18.6888657648283</v>
      </c>
      <c r="H199" s="5">
        <v>11.67</v>
      </c>
      <c r="I199" s="5">
        <v>26</v>
      </c>
      <c r="J199" s="5">
        <v>4.5</v>
      </c>
      <c r="K199" s="5">
        <v>31.5</v>
      </c>
      <c r="L199" s="5">
        <v>1.8</v>
      </c>
      <c r="M199" s="5">
        <v>42.7</v>
      </c>
      <c r="N199" s="5">
        <v>936</v>
      </c>
      <c r="O199" s="5">
        <v>2</v>
      </c>
      <c r="P199" s="5">
        <v>1</v>
      </c>
      <c r="Q199" s="5">
        <v>2</v>
      </c>
      <c r="R199" s="5">
        <v>2</v>
      </c>
      <c r="S199" s="5">
        <v>1</v>
      </c>
      <c r="T199" s="5">
        <v>0</v>
      </c>
      <c r="U199" s="2">
        <v>8</v>
      </c>
      <c r="V199" s="2">
        <v>2</v>
      </c>
      <c r="W199" s="5">
        <v>1</v>
      </c>
      <c r="X199" s="5">
        <v>1</v>
      </c>
      <c r="Y199" s="5">
        <v>1</v>
      </c>
      <c r="Z199" s="5">
        <v>1</v>
      </c>
      <c r="AA199" s="5">
        <v>0</v>
      </c>
      <c r="AB199" s="5">
        <v>1</v>
      </c>
      <c r="AC199" s="5">
        <v>0.5</v>
      </c>
      <c r="AD199" s="5">
        <v>2</v>
      </c>
      <c r="AE199" s="5">
        <v>0</v>
      </c>
      <c r="AF199" s="5">
        <v>0.5</v>
      </c>
      <c r="AG199" s="5">
        <v>1</v>
      </c>
      <c r="AH199" s="5">
        <v>0</v>
      </c>
      <c r="AI199" s="2">
        <v>9</v>
      </c>
      <c r="AJ199" s="2">
        <v>17</v>
      </c>
      <c r="AK199" s="2">
        <v>2</v>
      </c>
      <c r="AL199" s="2">
        <v>22.5</v>
      </c>
      <c r="AM199" s="2">
        <v>29</v>
      </c>
      <c r="AN199" t="str">
        <f>IF(OR(G199="",Participant_Data!E199=""),"",IF(Participant_Data!E199&lt;70,IF(ROUND(G199,1)&lt;18.5,"ขาด/เสี่ยงขาด",IF(ROUND(G199,1)&gt;=25,"เสี่ยงเกิน/เกิน","ปกติ")),IF(ROUND(G199,1)&lt;20,"ขาด/เสี่ยงขาด",IF(ROUND(G199,1)&gt;=25,"เสี่ยงเกิน/เกิน","ปกติ"))))</f>
        <v>ขาด/เสี่ยงขาด</v>
      </c>
      <c r="AO199" t="str">
        <f>IF(OR(I199="",Participant_Data!G199=""),"",IF(Participant_Data!G199=1,IF(ROUND(I199,1)&lt;15,"ขาด/เสี่ยงขาด",IF(ROUND(I199,1)&gt;25,"เสี่ยงเกิน/เกิน","ปกติ")),IF(ROUND(I199,1)&lt;20,"ขาด/เสี่ยงขาด",IF(ROUND(I199,1)&gt;35,"เสี่ยงเกิน/เกิน","ปกติ"))))</f>
        <v>ปกติ</v>
      </c>
      <c r="AP199" t="str">
        <f t="shared" si="7"/>
        <v>ขาด/เสี่ยงขาด</v>
      </c>
    </row>
    <row r="200" spans="1:42">
      <c r="A200" s="2">
        <f>IF(Participant_Data!A200="","",Participant_Data!A200)</f>
        <v>199</v>
      </c>
      <c r="B200" s="2" t="str">
        <f>IF(Participant_Data!B200="","",Participant_Data!B200)</f>
        <v/>
      </c>
      <c r="C200" s="3" t="str">
        <f>IF(Participant_Data!C200="","",Participant_Data!C200)</f>
        <v/>
      </c>
      <c r="D200" s="5"/>
      <c r="E200" s="5">
        <v>166</v>
      </c>
      <c r="F200" s="5">
        <v>57.35</v>
      </c>
      <c r="G200" s="22">
        <f t="shared" si="6"/>
        <v>20.812164319930325</v>
      </c>
      <c r="H200" s="5">
        <v>16.29</v>
      </c>
      <c r="I200" s="5">
        <v>28.4</v>
      </c>
      <c r="J200" s="5">
        <v>6.5</v>
      </c>
      <c r="K200" s="5">
        <v>38.65</v>
      </c>
      <c r="L200" s="5">
        <v>2.4</v>
      </c>
      <c r="M200" s="5">
        <v>39.299999999999997</v>
      </c>
      <c r="N200" s="5">
        <v>1169</v>
      </c>
      <c r="O200" s="5">
        <v>2</v>
      </c>
      <c r="P200" s="5">
        <v>3</v>
      </c>
      <c r="Q200" s="5">
        <v>2</v>
      </c>
      <c r="R200" s="5">
        <v>2</v>
      </c>
      <c r="S200" s="5">
        <v>2</v>
      </c>
      <c r="T200" s="5">
        <v>1</v>
      </c>
      <c r="U200" s="2">
        <v>12</v>
      </c>
      <c r="V200" s="2">
        <v>1</v>
      </c>
      <c r="W200" s="5">
        <v>1</v>
      </c>
      <c r="X200" s="5">
        <v>1</v>
      </c>
      <c r="Y200" s="5">
        <v>1</v>
      </c>
      <c r="Z200" s="5">
        <v>2</v>
      </c>
      <c r="AA200" s="5">
        <v>1</v>
      </c>
      <c r="AB200" s="5">
        <v>0</v>
      </c>
      <c r="AC200" s="5">
        <v>1</v>
      </c>
      <c r="AD200" s="5">
        <v>2</v>
      </c>
      <c r="AE200" s="5">
        <v>1</v>
      </c>
      <c r="AF200" s="5">
        <v>1</v>
      </c>
      <c r="AG200" s="5">
        <v>1</v>
      </c>
      <c r="AH200" s="5">
        <v>0</v>
      </c>
      <c r="AI200" s="2">
        <v>12</v>
      </c>
      <c r="AJ200" s="2">
        <v>24</v>
      </c>
      <c r="AK200" s="2">
        <v>1</v>
      </c>
      <c r="AL200" s="2">
        <v>24</v>
      </c>
      <c r="AM200" s="2">
        <v>29</v>
      </c>
      <c r="AN200" t="str">
        <f>IF(OR(G200="",Participant_Data!E200=""),"",IF(Participant_Data!E200&lt;70,IF(ROUND(G200,1)&lt;18.5,"ขาด/เสี่ยงขาด",IF(ROUND(G200,1)&gt;=25,"เสี่ยงเกิน/เกิน","ปกติ")),IF(ROUND(G200,1)&lt;20,"ขาด/เสี่ยงขาด",IF(ROUND(G200,1)&gt;=25,"เสี่ยงเกิน/เกิน","ปกติ"))))</f>
        <v>ปกติ</v>
      </c>
      <c r="AO200" t="str">
        <f>IF(OR(I200="",Participant_Data!G200=""),"",IF(Participant_Data!G200=1,IF(ROUND(I200,1)&lt;15,"ขาด/เสี่ยงขาด",IF(ROUND(I200,1)&gt;25,"เสี่ยงเกิน/เกิน","ปกติ")),IF(ROUND(I200,1)&lt;20,"ขาด/เสี่ยงขาด",IF(ROUND(I200,1)&gt;35,"เสี่ยงเกิน/เกิน","ปกติ"))))</f>
        <v>ปกติ</v>
      </c>
      <c r="AP200" t="str">
        <f t="shared" si="7"/>
        <v>ปกติ</v>
      </c>
    </row>
    <row r="201" spans="1:42">
      <c r="A201" s="2">
        <f>IF(Participant_Data!A201="","",Participant_Data!A201)</f>
        <v>200</v>
      </c>
      <c r="B201" s="2" t="str">
        <f>IF(Participant_Data!B201="","",Participant_Data!B201)</f>
        <v/>
      </c>
      <c r="C201" s="3" t="str">
        <f>IF(Participant_Data!C201="","",Participant_Data!C201)</f>
        <v/>
      </c>
      <c r="D201" s="5"/>
      <c r="E201" s="5">
        <v>170</v>
      </c>
      <c r="F201" s="5">
        <v>64.75</v>
      </c>
      <c r="G201" s="22">
        <f t="shared" si="6"/>
        <v>22.404844290657444</v>
      </c>
      <c r="H201" s="5">
        <v>15.35</v>
      </c>
      <c r="I201" s="5">
        <v>23.7</v>
      </c>
      <c r="J201" s="5">
        <v>14.5</v>
      </c>
      <c r="K201" s="5">
        <v>46.85</v>
      </c>
      <c r="L201" s="5">
        <v>2.6</v>
      </c>
      <c r="M201" s="5">
        <v>43.3</v>
      </c>
      <c r="N201" s="5">
        <v>1333</v>
      </c>
      <c r="O201" s="5">
        <v>2</v>
      </c>
      <c r="P201" s="5">
        <v>1</v>
      </c>
      <c r="Q201" s="5">
        <v>2</v>
      </c>
      <c r="R201" s="5">
        <v>0</v>
      </c>
      <c r="S201" s="5">
        <v>1</v>
      </c>
      <c r="T201" s="5">
        <v>2</v>
      </c>
      <c r="U201" s="2">
        <v>8</v>
      </c>
      <c r="V201" s="2">
        <v>2</v>
      </c>
      <c r="W201" s="5">
        <v>1</v>
      </c>
      <c r="X201" s="5">
        <v>1</v>
      </c>
      <c r="Y201" s="5">
        <v>1</v>
      </c>
      <c r="Z201" s="5">
        <v>2</v>
      </c>
      <c r="AA201" s="5">
        <v>0</v>
      </c>
      <c r="AB201" s="5">
        <v>0</v>
      </c>
      <c r="AC201" s="5">
        <v>1</v>
      </c>
      <c r="AD201" s="5">
        <v>2</v>
      </c>
      <c r="AE201" s="5">
        <v>1</v>
      </c>
      <c r="AF201" s="5">
        <v>1</v>
      </c>
      <c r="AG201" s="5">
        <v>1</v>
      </c>
      <c r="AH201" s="5">
        <v>0</v>
      </c>
      <c r="AI201" s="2">
        <v>11</v>
      </c>
      <c r="AJ201" s="2">
        <v>19</v>
      </c>
      <c r="AK201" s="2">
        <v>2</v>
      </c>
      <c r="AL201" s="2">
        <v>27.5</v>
      </c>
      <c r="AM201" s="2">
        <v>30</v>
      </c>
      <c r="AN201" t="str">
        <f>IF(OR(G201="",Participant_Data!E201=""),"",IF(Participant_Data!E201&lt;70,IF(ROUND(G201,1)&lt;18.5,"ขาด/เสี่ยงขาด",IF(ROUND(G201,1)&gt;=25,"เสี่ยงเกิน/เกิน","ปกติ")),IF(ROUND(G201,1)&lt;20,"ขาด/เสี่ยงขาด",IF(ROUND(G201,1)&gt;=25,"เสี่ยงเกิน/เกิน","ปกติ"))))</f>
        <v>ปกติ</v>
      </c>
      <c r="AO201" t="str">
        <f>IF(OR(I201="",Participant_Data!G201=""),"",IF(Participant_Data!G201=1,IF(ROUND(I201,1)&lt;15,"ขาด/เสี่ยงขาด",IF(ROUND(I201,1)&gt;25,"เสี่ยงเกิน/เกิน","ปกติ")),IF(ROUND(I201,1)&lt;20,"ขาด/เสี่ยงขาด",IF(ROUND(I201,1)&gt;35,"เสี่ยงเกิน/เกิน","ปกติ"))))</f>
        <v>ปกติ</v>
      </c>
      <c r="AP201" t="str">
        <f t="shared" si="7"/>
        <v>ปกติ</v>
      </c>
    </row>
    <row r="202" spans="1:42">
      <c r="A202" s="2">
        <f>IF(Participant_Data!A202="","",Participant_Data!A202)</f>
        <v>201</v>
      </c>
      <c r="B202" s="2" t="str">
        <f>IF(Participant_Data!B202="","",Participant_Data!B202)</f>
        <v/>
      </c>
      <c r="C202" s="3" t="str">
        <f>IF(Participant_Data!C202="","",Participant_Data!C202)</f>
        <v/>
      </c>
      <c r="D202" s="5"/>
      <c r="E202" s="5"/>
      <c r="F202" s="5"/>
      <c r="G202" s="2" t="str">
        <f t="shared" si="6"/>
        <v/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2" t="str">
        <f t="shared" ref="U202:U233" si="8">IF(COUNTA(O202:T202)=0,"",SUM(O202:T202))</f>
        <v/>
      </c>
      <c r="V202" s="2" t="str">
        <f t="shared" ref="V202:V233" si="9">IF(U202="","",IF(U202&gt;=12,"Normal",IF(U202&gt;=8,"At risk","Malnourished")))</f>
        <v/>
      </c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2" t="str">
        <f t="shared" ref="AI202:AI233" si="10">IF(COUNTA(W202:AH202)=0,"",SUM(W202:AH202))</f>
        <v/>
      </c>
      <c r="AJ202" s="2" t="str">
        <f t="shared" ref="AJ202:AJ233" si="11">IF(OR(U202="",AI202=""),"",U202+AI202)</f>
        <v/>
      </c>
      <c r="AK202" s="2" t="str">
        <f t="shared" ref="AK202:AK233" si="12">IF(AJ202="","",IF(AJ202&gt;=24,"Normal",IF(AJ202&gt;=17,"At risk","Malnourished")))</f>
        <v/>
      </c>
      <c r="AL202" s="2"/>
      <c r="AM202" s="2"/>
      <c r="AN202" t="str">
        <f>IF(OR(G202="",Participant_Data!E202=""),"",IF(Participant_Data!E202&lt;70,IF(ROUND(G202,1)&lt;18.5,"ขาด/เสี่ยงขาด",IF(ROUND(G202,1)&gt;=25,"เสี่ยงเกิน/เกิน","ปกติ")),IF(ROUND(G202,1)&lt;20,"ขาด/เสี่ยงขาด",IF(ROUND(G202,1)&gt;=25,"เสี่ยงเกิน/เกิน","ปกติ"))))</f>
        <v/>
      </c>
      <c r="AO202" t="str">
        <f>IF(OR(I202="",Participant_Data!G202=""),"",IF(Participant_Data!G202=1,IF(ROUND(I202,1)&lt;15,"ขาด/เสี่ยงขาด",IF(ROUND(I202,1)&gt;25,"เสี่ยงเกิน/เกิน","ปกติ")),IF(ROUND(I202,1)&lt;20,"ขาด/เสี่ยงขาด",IF(ROUND(I202,1)&gt;35,"เสี่ยงเกิน/เกิน","ปกติ"))))</f>
        <v/>
      </c>
      <c r="AP202" t="str">
        <f t="shared" si="7"/>
        <v/>
      </c>
    </row>
    <row r="203" spans="1:42">
      <c r="A203" s="2">
        <f>IF(Participant_Data!A203="","",Participant_Data!A203)</f>
        <v>202</v>
      </c>
      <c r="B203" s="2" t="str">
        <f>IF(Participant_Data!B203="","",Participant_Data!B203)</f>
        <v/>
      </c>
      <c r="C203" s="3" t="str">
        <f>IF(Participant_Data!C203="","",Participant_Data!C203)</f>
        <v/>
      </c>
      <c r="D203" s="5"/>
      <c r="E203" s="5"/>
      <c r="F203" s="5"/>
      <c r="G203" s="2" t="str">
        <f t="shared" si="6"/>
        <v/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2" t="str">
        <f t="shared" si="8"/>
        <v/>
      </c>
      <c r="V203" s="2" t="str">
        <f t="shared" si="9"/>
        <v/>
      </c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2" t="str">
        <f t="shared" si="10"/>
        <v/>
      </c>
      <c r="AJ203" s="2" t="str">
        <f t="shared" si="11"/>
        <v/>
      </c>
      <c r="AK203" s="2" t="str">
        <f t="shared" si="12"/>
        <v/>
      </c>
      <c r="AL203" s="2"/>
      <c r="AM203" s="2"/>
      <c r="AN203" t="str">
        <f>IF(OR(G203="",Participant_Data!E203=""),"",IF(Participant_Data!E203&lt;70,IF(ROUND(G203,1)&lt;18.5,"ขาด/เสี่ยงขาด",IF(ROUND(G203,1)&gt;=25,"เสี่ยงเกิน/เกิน","ปกติ")),IF(ROUND(G203,1)&lt;20,"ขาด/เสี่ยงขาด",IF(ROUND(G203,1)&gt;=25,"เสี่ยงเกิน/เกิน","ปกติ"))))</f>
        <v/>
      </c>
      <c r="AO203" t="str">
        <f>IF(OR(I203="",Participant_Data!G203=""),"",IF(Participant_Data!G203=1,IF(ROUND(I203,1)&lt;15,"ขาด/เสี่ยงขาด",IF(ROUND(I203,1)&gt;25,"เสี่ยงเกิน/เกิน","ปกติ")),IF(ROUND(I203,1)&lt;20,"ขาด/เสี่ยงขาด",IF(ROUND(I203,1)&gt;35,"เสี่ยงเกิน/เกิน","ปกติ"))))</f>
        <v/>
      </c>
      <c r="AP203" t="str">
        <f t="shared" si="7"/>
        <v/>
      </c>
    </row>
    <row r="204" spans="1:42">
      <c r="A204" s="2">
        <f>IF(Participant_Data!A204="","",Participant_Data!A204)</f>
        <v>203</v>
      </c>
      <c r="B204" s="2" t="str">
        <f>IF(Participant_Data!B204="","",Participant_Data!B204)</f>
        <v/>
      </c>
      <c r="C204" s="3" t="str">
        <f>IF(Participant_Data!C204="","",Participant_Data!C204)</f>
        <v/>
      </c>
      <c r="D204" s="5"/>
      <c r="E204" s="5"/>
      <c r="F204" s="5"/>
      <c r="G204" s="2" t="str">
        <f t="shared" si="6"/>
        <v/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2" t="str">
        <f t="shared" si="8"/>
        <v/>
      </c>
      <c r="V204" s="2" t="str">
        <f t="shared" si="9"/>
        <v/>
      </c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2" t="str">
        <f t="shared" si="10"/>
        <v/>
      </c>
      <c r="AJ204" s="2" t="str">
        <f t="shared" si="11"/>
        <v/>
      </c>
      <c r="AK204" s="2" t="str">
        <f t="shared" si="12"/>
        <v/>
      </c>
      <c r="AL204" s="2"/>
      <c r="AM204" s="2"/>
      <c r="AN204" t="str">
        <f>IF(OR(G204="",Participant_Data!E204=""),"",IF(Participant_Data!E204&lt;70,IF(ROUND(G204,1)&lt;18.5,"ขาด/เสี่ยงขาด",IF(ROUND(G204,1)&gt;=25,"เสี่ยงเกิน/เกิน","ปกติ")),IF(ROUND(G204,1)&lt;20,"ขาด/เสี่ยงขาด",IF(ROUND(G204,1)&gt;=25,"เสี่ยงเกิน/เกิน","ปกติ"))))</f>
        <v/>
      </c>
      <c r="AO204" t="str">
        <f>IF(OR(I204="",Participant_Data!G204=""),"",IF(Participant_Data!G204=1,IF(ROUND(I204,1)&lt;15,"ขาด/เสี่ยงขาด",IF(ROUND(I204,1)&gt;25,"เสี่ยงเกิน/เกิน","ปกติ")),IF(ROUND(I204,1)&lt;20,"ขาด/เสี่ยงขาด",IF(ROUND(I204,1)&gt;35,"เสี่ยงเกิน/เกิน","ปกติ"))))</f>
        <v/>
      </c>
      <c r="AP204" t="str">
        <f t="shared" si="7"/>
        <v/>
      </c>
    </row>
    <row r="205" spans="1:42">
      <c r="A205" s="2">
        <f>IF(Participant_Data!A205="","",Participant_Data!A205)</f>
        <v>204</v>
      </c>
      <c r="B205" s="2" t="str">
        <f>IF(Participant_Data!B205="","",Participant_Data!B205)</f>
        <v/>
      </c>
      <c r="C205" s="3" t="str">
        <f>IF(Participant_Data!C205="","",Participant_Data!C205)</f>
        <v/>
      </c>
      <c r="D205" s="5"/>
      <c r="E205" s="5"/>
      <c r="F205" s="5"/>
      <c r="G205" s="2" t="str">
        <f t="shared" si="6"/>
        <v/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2" t="str">
        <f t="shared" si="8"/>
        <v/>
      </c>
      <c r="V205" s="2" t="str">
        <f t="shared" si="9"/>
        <v/>
      </c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2" t="str">
        <f t="shared" si="10"/>
        <v/>
      </c>
      <c r="AJ205" s="2" t="str">
        <f t="shared" si="11"/>
        <v/>
      </c>
      <c r="AK205" s="2" t="str">
        <f t="shared" si="12"/>
        <v/>
      </c>
      <c r="AL205" s="2"/>
      <c r="AM205" s="2"/>
      <c r="AN205" t="str">
        <f>IF(OR(G205="",Participant_Data!E205=""),"",IF(Participant_Data!E205&lt;70,IF(ROUND(G205,1)&lt;18.5,"ขาด/เสี่ยงขาด",IF(ROUND(G205,1)&gt;=25,"เสี่ยงเกิน/เกิน","ปกติ")),IF(ROUND(G205,1)&lt;20,"ขาด/เสี่ยงขาด",IF(ROUND(G205,1)&gt;=25,"เสี่ยงเกิน/เกิน","ปกติ"))))</f>
        <v/>
      </c>
      <c r="AO205" t="str">
        <f>IF(OR(I205="",Participant_Data!G205=""),"",IF(Participant_Data!G205=1,IF(ROUND(I205,1)&lt;15,"ขาด/เสี่ยงขาด",IF(ROUND(I205,1)&gt;25,"เสี่ยงเกิน/เกิน","ปกติ")),IF(ROUND(I205,1)&lt;20,"ขาด/เสี่ยงขาด",IF(ROUND(I205,1)&gt;35,"เสี่ยงเกิน/เกิน","ปกติ"))))</f>
        <v/>
      </c>
      <c r="AP205" t="str">
        <f t="shared" si="7"/>
        <v/>
      </c>
    </row>
    <row r="206" spans="1:42">
      <c r="A206" s="2">
        <f>IF(Participant_Data!A206="","",Participant_Data!A206)</f>
        <v>205</v>
      </c>
      <c r="B206" s="2" t="str">
        <f>IF(Participant_Data!B206="","",Participant_Data!B206)</f>
        <v/>
      </c>
      <c r="C206" s="3" t="str">
        <f>IF(Participant_Data!C206="","",Participant_Data!C206)</f>
        <v/>
      </c>
      <c r="D206" s="5"/>
      <c r="E206" s="5"/>
      <c r="F206" s="5"/>
      <c r="G206" s="2" t="str">
        <f t="shared" si="6"/>
        <v/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2" t="str">
        <f t="shared" si="8"/>
        <v/>
      </c>
      <c r="V206" s="2" t="str">
        <f t="shared" si="9"/>
        <v/>
      </c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2" t="str">
        <f t="shared" si="10"/>
        <v/>
      </c>
      <c r="AJ206" s="2" t="str">
        <f t="shared" si="11"/>
        <v/>
      </c>
      <c r="AK206" s="2" t="str">
        <f t="shared" si="12"/>
        <v/>
      </c>
      <c r="AL206" s="2"/>
      <c r="AM206" s="2"/>
      <c r="AN206" t="str">
        <f>IF(OR(G206="",Participant_Data!E206=""),"",IF(Participant_Data!E206&lt;70,IF(ROUND(G206,1)&lt;18.5,"ขาด/เสี่ยงขาด",IF(ROUND(G206,1)&gt;=25,"เสี่ยงเกิน/เกิน","ปกติ")),IF(ROUND(G206,1)&lt;20,"ขาด/เสี่ยงขาด",IF(ROUND(G206,1)&gt;=25,"เสี่ยงเกิน/เกิน","ปกติ"))))</f>
        <v/>
      </c>
      <c r="AO206" t="str">
        <f>IF(OR(I206="",Participant_Data!G206=""),"",IF(Participant_Data!G206=1,IF(ROUND(I206,1)&lt;15,"ขาด/เสี่ยงขาด",IF(ROUND(I206,1)&gt;25,"เสี่ยงเกิน/เกิน","ปกติ")),IF(ROUND(I206,1)&lt;20,"ขาด/เสี่ยงขาด",IF(ROUND(I206,1)&gt;35,"เสี่ยงเกิน/เกิน","ปกติ"))))</f>
        <v/>
      </c>
      <c r="AP206" t="str">
        <f t="shared" si="7"/>
        <v/>
      </c>
    </row>
    <row r="207" spans="1:42">
      <c r="A207" s="2">
        <f>IF(Participant_Data!A207="","",Participant_Data!A207)</f>
        <v>206</v>
      </c>
      <c r="B207" s="2" t="str">
        <f>IF(Participant_Data!B207="","",Participant_Data!B207)</f>
        <v/>
      </c>
      <c r="C207" s="3" t="str">
        <f>IF(Participant_Data!C207="","",Participant_Data!C207)</f>
        <v/>
      </c>
      <c r="D207" s="5"/>
      <c r="E207" s="5"/>
      <c r="F207" s="5"/>
      <c r="G207" s="2" t="str">
        <f t="shared" si="6"/>
        <v/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2" t="str">
        <f t="shared" si="8"/>
        <v/>
      </c>
      <c r="V207" s="2" t="str">
        <f t="shared" si="9"/>
        <v/>
      </c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2" t="str">
        <f t="shared" si="10"/>
        <v/>
      </c>
      <c r="AJ207" s="2" t="str">
        <f t="shared" si="11"/>
        <v/>
      </c>
      <c r="AK207" s="2" t="str">
        <f t="shared" si="12"/>
        <v/>
      </c>
      <c r="AL207" s="2"/>
      <c r="AM207" s="2"/>
      <c r="AN207" t="str">
        <f>IF(OR(G207="",Participant_Data!E207=""),"",IF(Participant_Data!E207&lt;70,IF(ROUND(G207,1)&lt;18.5,"ขาด/เสี่ยงขาด",IF(ROUND(G207,1)&gt;=25,"เสี่ยงเกิน/เกิน","ปกติ")),IF(ROUND(G207,1)&lt;20,"ขาด/เสี่ยงขาด",IF(ROUND(G207,1)&gt;=25,"เสี่ยงเกิน/เกิน","ปกติ"))))</f>
        <v/>
      </c>
      <c r="AO207" t="str">
        <f>IF(OR(I207="",Participant_Data!G207=""),"",IF(Participant_Data!G207=1,IF(ROUND(I207,1)&lt;15,"ขาด/เสี่ยงขาด",IF(ROUND(I207,1)&gt;25,"เสี่ยงเกิน/เกิน","ปกติ")),IF(ROUND(I207,1)&lt;20,"ขาด/เสี่ยงขาด",IF(ROUND(I207,1)&gt;35,"เสี่ยงเกิน/เกิน","ปกติ"))))</f>
        <v/>
      </c>
      <c r="AP207" t="str">
        <f t="shared" si="7"/>
        <v/>
      </c>
    </row>
    <row r="208" spans="1:42">
      <c r="A208" s="2">
        <f>IF(Participant_Data!A208="","",Participant_Data!A208)</f>
        <v>207</v>
      </c>
      <c r="B208" s="2" t="str">
        <f>IF(Participant_Data!B208="","",Participant_Data!B208)</f>
        <v/>
      </c>
      <c r="C208" s="3" t="str">
        <f>IF(Participant_Data!C208="","",Participant_Data!C208)</f>
        <v/>
      </c>
      <c r="D208" s="5"/>
      <c r="E208" s="5"/>
      <c r="F208" s="5"/>
      <c r="G208" s="2" t="str">
        <f t="shared" si="6"/>
        <v/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2" t="str">
        <f t="shared" si="8"/>
        <v/>
      </c>
      <c r="V208" s="2" t="str">
        <f t="shared" si="9"/>
        <v/>
      </c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2" t="str">
        <f t="shared" si="10"/>
        <v/>
      </c>
      <c r="AJ208" s="2" t="str">
        <f t="shared" si="11"/>
        <v/>
      </c>
      <c r="AK208" s="2" t="str">
        <f t="shared" si="12"/>
        <v/>
      </c>
      <c r="AL208" s="2"/>
      <c r="AM208" s="2"/>
      <c r="AN208" t="str">
        <f>IF(OR(G208="",Participant_Data!E208=""),"",IF(Participant_Data!E208&lt;70,IF(ROUND(G208,1)&lt;18.5,"ขาด/เสี่ยงขาด",IF(ROUND(G208,1)&gt;=25,"เสี่ยงเกิน/เกิน","ปกติ")),IF(ROUND(G208,1)&lt;20,"ขาด/เสี่ยงขาด",IF(ROUND(G208,1)&gt;=25,"เสี่ยงเกิน/เกิน","ปกติ"))))</f>
        <v/>
      </c>
      <c r="AO208" t="str">
        <f>IF(OR(I208="",Participant_Data!G208=""),"",IF(Participant_Data!G208=1,IF(ROUND(I208,1)&lt;15,"ขาด/เสี่ยงขาด",IF(ROUND(I208,1)&gt;25,"เสี่ยงเกิน/เกิน","ปกติ")),IF(ROUND(I208,1)&lt;20,"ขาด/เสี่ยงขาด",IF(ROUND(I208,1)&gt;35,"เสี่ยงเกิน/เกิน","ปกติ"))))</f>
        <v/>
      </c>
      <c r="AP208" t="str">
        <f t="shared" si="7"/>
        <v/>
      </c>
    </row>
    <row r="209" spans="1:42">
      <c r="A209" s="2">
        <f>IF(Participant_Data!A209="","",Participant_Data!A209)</f>
        <v>208</v>
      </c>
      <c r="B209" s="2" t="str">
        <f>IF(Participant_Data!B209="","",Participant_Data!B209)</f>
        <v/>
      </c>
      <c r="C209" s="3" t="str">
        <f>IF(Participant_Data!C209="","",Participant_Data!C209)</f>
        <v/>
      </c>
      <c r="D209" s="5"/>
      <c r="E209" s="5"/>
      <c r="F209" s="5"/>
      <c r="G209" s="2" t="str">
        <f t="shared" si="6"/>
        <v/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2" t="str">
        <f t="shared" si="8"/>
        <v/>
      </c>
      <c r="V209" s="2" t="str">
        <f t="shared" si="9"/>
        <v/>
      </c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2" t="str">
        <f t="shared" si="10"/>
        <v/>
      </c>
      <c r="AJ209" s="2" t="str">
        <f t="shared" si="11"/>
        <v/>
      </c>
      <c r="AK209" s="2" t="str">
        <f t="shared" si="12"/>
        <v/>
      </c>
      <c r="AL209" s="2"/>
      <c r="AM209" s="2"/>
      <c r="AN209" t="str">
        <f>IF(OR(G209="",Participant_Data!E209=""),"",IF(Participant_Data!E209&lt;70,IF(ROUND(G209,1)&lt;18.5,"ขาด/เสี่ยงขาด",IF(ROUND(G209,1)&gt;=25,"เสี่ยงเกิน/เกิน","ปกติ")),IF(ROUND(G209,1)&lt;20,"ขาด/เสี่ยงขาด",IF(ROUND(G209,1)&gt;=25,"เสี่ยงเกิน/เกิน","ปกติ"))))</f>
        <v/>
      </c>
      <c r="AO209" t="str">
        <f>IF(OR(I209="",Participant_Data!G209=""),"",IF(Participant_Data!G209=1,IF(ROUND(I209,1)&lt;15,"ขาด/เสี่ยงขาด",IF(ROUND(I209,1)&gt;25,"เสี่ยงเกิน/เกิน","ปกติ")),IF(ROUND(I209,1)&lt;20,"ขาด/เสี่ยงขาด",IF(ROUND(I209,1)&gt;35,"เสี่ยงเกิน/เกิน","ปกติ"))))</f>
        <v/>
      </c>
      <c r="AP209" t="str">
        <f t="shared" si="7"/>
        <v/>
      </c>
    </row>
    <row r="210" spans="1:42">
      <c r="A210" s="2">
        <f>IF(Participant_Data!A210="","",Participant_Data!A210)</f>
        <v>209</v>
      </c>
      <c r="B210" s="2" t="str">
        <f>IF(Participant_Data!B210="","",Participant_Data!B210)</f>
        <v/>
      </c>
      <c r="C210" s="3" t="str">
        <f>IF(Participant_Data!C210="","",Participant_Data!C210)</f>
        <v/>
      </c>
      <c r="D210" s="5"/>
      <c r="E210" s="5"/>
      <c r="F210" s="5"/>
      <c r="G210" s="2" t="str">
        <f t="shared" si="6"/>
        <v/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2" t="str">
        <f t="shared" si="8"/>
        <v/>
      </c>
      <c r="V210" s="2" t="str">
        <f t="shared" si="9"/>
        <v/>
      </c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2" t="str">
        <f t="shared" si="10"/>
        <v/>
      </c>
      <c r="AJ210" s="2" t="str">
        <f t="shared" si="11"/>
        <v/>
      </c>
      <c r="AK210" s="2" t="str">
        <f t="shared" si="12"/>
        <v/>
      </c>
      <c r="AL210" s="2"/>
      <c r="AM210" s="2"/>
      <c r="AN210" t="str">
        <f>IF(OR(G210="",Participant_Data!E210=""),"",IF(Participant_Data!E210&lt;70,IF(ROUND(G210,1)&lt;18.5,"ขาด/เสี่ยงขาด",IF(ROUND(G210,1)&gt;=25,"เสี่ยงเกิน/เกิน","ปกติ")),IF(ROUND(G210,1)&lt;20,"ขาด/เสี่ยงขาด",IF(ROUND(G210,1)&gt;=25,"เสี่ยงเกิน/เกิน","ปกติ"))))</f>
        <v/>
      </c>
      <c r="AO210" t="str">
        <f>IF(OR(I210="",Participant_Data!G210=""),"",IF(Participant_Data!G210=1,IF(ROUND(I210,1)&lt;15,"ขาด/เสี่ยงขาด",IF(ROUND(I210,1)&gt;25,"เสี่ยงเกิน/เกิน","ปกติ")),IF(ROUND(I210,1)&lt;20,"ขาด/เสี่ยงขาด",IF(ROUND(I210,1)&gt;35,"เสี่ยงเกิน/เกิน","ปกติ"))))</f>
        <v/>
      </c>
      <c r="AP210" t="str">
        <f t="shared" si="7"/>
        <v/>
      </c>
    </row>
    <row r="211" spans="1:42">
      <c r="A211" s="2">
        <f>IF(Participant_Data!A211="","",Participant_Data!A211)</f>
        <v>210</v>
      </c>
      <c r="B211" s="2" t="str">
        <f>IF(Participant_Data!B211="","",Participant_Data!B211)</f>
        <v/>
      </c>
      <c r="C211" s="3" t="str">
        <f>IF(Participant_Data!C211="","",Participant_Data!C211)</f>
        <v/>
      </c>
      <c r="D211" s="5"/>
      <c r="E211" s="5"/>
      <c r="F211" s="5"/>
      <c r="G211" s="2" t="str">
        <f t="shared" si="6"/>
        <v/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2" t="str">
        <f t="shared" si="8"/>
        <v/>
      </c>
      <c r="V211" s="2" t="str">
        <f t="shared" si="9"/>
        <v/>
      </c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2" t="str">
        <f t="shared" si="10"/>
        <v/>
      </c>
      <c r="AJ211" s="2" t="str">
        <f t="shared" si="11"/>
        <v/>
      </c>
      <c r="AK211" s="2" t="str">
        <f t="shared" si="12"/>
        <v/>
      </c>
      <c r="AL211" s="2"/>
      <c r="AM211" s="2"/>
      <c r="AN211" t="str">
        <f>IF(OR(G211="",Participant_Data!E211=""),"",IF(Participant_Data!E211&lt;70,IF(ROUND(G211,1)&lt;18.5,"ขาด/เสี่ยงขาด",IF(ROUND(G211,1)&gt;=25,"เสี่ยงเกิน/เกิน","ปกติ")),IF(ROUND(G211,1)&lt;20,"ขาด/เสี่ยงขาด",IF(ROUND(G211,1)&gt;=25,"เสี่ยงเกิน/เกิน","ปกติ"))))</f>
        <v/>
      </c>
      <c r="AO211" t="str">
        <f>IF(OR(I211="",Participant_Data!G211=""),"",IF(Participant_Data!G211=1,IF(ROUND(I211,1)&lt;15,"ขาด/เสี่ยงขาด",IF(ROUND(I211,1)&gt;25,"เสี่ยงเกิน/เกิน","ปกติ")),IF(ROUND(I211,1)&lt;20,"ขาด/เสี่ยงขาด",IF(ROUND(I211,1)&gt;35,"เสี่ยงเกิน/เกิน","ปกติ"))))</f>
        <v/>
      </c>
      <c r="AP211" t="str">
        <f t="shared" si="7"/>
        <v/>
      </c>
    </row>
    <row r="212" spans="1:42">
      <c r="A212" s="2">
        <f>IF(Participant_Data!A212="","",Participant_Data!A212)</f>
        <v>211</v>
      </c>
      <c r="B212" s="2" t="str">
        <f>IF(Participant_Data!B212="","",Participant_Data!B212)</f>
        <v/>
      </c>
      <c r="C212" s="3" t="str">
        <f>IF(Participant_Data!C212="","",Participant_Data!C212)</f>
        <v/>
      </c>
      <c r="D212" s="5"/>
      <c r="E212" s="5"/>
      <c r="F212" s="5"/>
      <c r="G212" s="2" t="str">
        <f t="shared" si="6"/>
        <v/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2" t="str">
        <f t="shared" si="8"/>
        <v/>
      </c>
      <c r="V212" s="2" t="str">
        <f t="shared" si="9"/>
        <v/>
      </c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2" t="str">
        <f t="shared" si="10"/>
        <v/>
      </c>
      <c r="AJ212" s="2" t="str">
        <f t="shared" si="11"/>
        <v/>
      </c>
      <c r="AK212" s="2" t="str">
        <f t="shared" si="12"/>
        <v/>
      </c>
      <c r="AL212" s="2"/>
      <c r="AM212" s="2"/>
      <c r="AN212" t="str">
        <f>IF(OR(G212="",Participant_Data!E212=""),"",IF(Participant_Data!E212&lt;70,IF(ROUND(G212,1)&lt;18.5,"ขาด/เสี่ยงขาด",IF(ROUND(G212,1)&gt;=25,"เสี่ยงเกิน/เกิน","ปกติ")),IF(ROUND(G212,1)&lt;20,"ขาด/เสี่ยงขาด",IF(ROUND(G212,1)&gt;=25,"เสี่ยงเกิน/เกิน","ปกติ"))))</f>
        <v/>
      </c>
      <c r="AO212" t="str">
        <f>IF(OR(I212="",Participant_Data!G212=""),"",IF(Participant_Data!G212=1,IF(ROUND(I212,1)&lt;15,"ขาด/เสี่ยงขาด",IF(ROUND(I212,1)&gt;25,"เสี่ยงเกิน/เกิน","ปกติ")),IF(ROUND(I212,1)&lt;20,"ขาด/เสี่ยงขาด",IF(ROUND(I212,1)&gt;35,"เสี่ยงเกิน/เกิน","ปกติ"))))</f>
        <v/>
      </c>
      <c r="AP212" t="str">
        <f t="shared" si="7"/>
        <v/>
      </c>
    </row>
    <row r="213" spans="1:42">
      <c r="A213" s="2">
        <f>IF(Participant_Data!A213="","",Participant_Data!A213)</f>
        <v>212</v>
      </c>
      <c r="B213" s="2" t="str">
        <f>IF(Participant_Data!B213="","",Participant_Data!B213)</f>
        <v/>
      </c>
      <c r="C213" s="3" t="str">
        <f>IF(Participant_Data!C213="","",Participant_Data!C213)</f>
        <v/>
      </c>
      <c r="D213" s="5"/>
      <c r="E213" s="5"/>
      <c r="F213" s="5"/>
      <c r="G213" s="2" t="str">
        <f t="shared" si="6"/>
        <v/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2" t="str">
        <f t="shared" si="8"/>
        <v/>
      </c>
      <c r="V213" s="2" t="str">
        <f t="shared" si="9"/>
        <v/>
      </c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2" t="str">
        <f t="shared" si="10"/>
        <v/>
      </c>
      <c r="AJ213" s="2" t="str">
        <f t="shared" si="11"/>
        <v/>
      </c>
      <c r="AK213" s="2" t="str">
        <f t="shared" si="12"/>
        <v/>
      </c>
      <c r="AL213" s="2"/>
      <c r="AM213" s="2"/>
      <c r="AN213" t="str">
        <f>IF(OR(G213="",Participant_Data!E213=""),"",IF(Participant_Data!E213&lt;70,IF(ROUND(G213,1)&lt;18.5,"ขาด/เสี่ยงขาด",IF(ROUND(G213,1)&gt;=25,"เสี่ยงเกิน/เกิน","ปกติ")),IF(ROUND(G213,1)&lt;20,"ขาด/เสี่ยงขาด",IF(ROUND(G213,1)&gt;=25,"เสี่ยงเกิน/เกิน","ปกติ"))))</f>
        <v/>
      </c>
      <c r="AO213" t="str">
        <f>IF(OR(I213="",Participant_Data!G213=""),"",IF(Participant_Data!G213=1,IF(ROUND(I213,1)&lt;15,"ขาด/เสี่ยงขาด",IF(ROUND(I213,1)&gt;25,"เสี่ยงเกิน/เกิน","ปกติ")),IF(ROUND(I213,1)&lt;20,"ขาด/เสี่ยงขาด",IF(ROUND(I213,1)&gt;35,"เสี่ยงเกิน/เกิน","ปกติ"))))</f>
        <v/>
      </c>
      <c r="AP213" t="str">
        <f t="shared" si="7"/>
        <v/>
      </c>
    </row>
    <row r="214" spans="1:42">
      <c r="A214" s="2">
        <f>IF(Participant_Data!A214="","",Participant_Data!A214)</f>
        <v>213</v>
      </c>
      <c r="B214" s="2" t="str">
        <f>IF(Participant_Data!B214="","",Participant_Data!B214)</f>
        <v/>
      </c>
      <c r="C214" s="3" t="str">
        <f>IF(Participant_Data!C214="","",Participant_Data!C214)</f>
        <v/>
      </c>
      <c r="D214" s="5"/>
      <c r="E214" s="5"/>
      <c r="F214" s="5"/>
      <c r="G214" s="2" t="str">
        <f t="shared" si="6"/>
        <v/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2" t="str">
        <f t="shared" si="8"/>
        <v/>
      </c>
      <c r="V214" s="2" t="str">
        <f t="shared" si="9"/>
        <v/>
      </c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2" t="str">
        <f t="shared" si="10"/>
        <v/>
      </c>
      <c r="AJ214" s="2" t="str">
        <f t="shared" si="11"/>
        <v/>
      </c>
      <c r="AK214" s="2" t="str">
        <f t="shared" si="12"/>
        <v/>
      </c>
      <c r="AL214" s="2"/>
      <c r="AM214" s="2"/>
      <c r="AN214" t="str">
        <f>IF(OR(G214="",Participant_Data!E214=""),"",IF(Participant_Data!E214&lt;70,IF(ROUND(G214,1)&lt;18.5,"ขาด/เสี่ยงขาด",IF(ROUND(G214,1)&gt;=25,"เสี่ยงเกิน/เกิน","ปกติ")),IF(ROUND(G214,1)&lt;20,"ขาด/เสี่ยงขาด",IF(ROUND(G214,1)&gt;=25,"เสี่ยงเกิน/เกิน","ปกติ"))))</f>
        <v/>
      </c>
      <c r="AO214" t="str">
        <f>IF(OR(I214="",Participant_Data!G214=""),"",IF(Participant_Data!G214=1,IF(ROUND(I214,1)&lt;15,"ขาด/เสี่ยงขาด",IF(ROUND(I214,1)&gt;25,"เสี่ยงเกิน/เกิน","ปกติ")),IF(ROUND(I214,1)&lt;20,"ขาด/เสี่ยงขาด",IF(ROUND(I214,1)&gt;35,"เสี่ยงเกิน/เกิน","ปกติ"))))</f>
        <v/>
      </c>
      <c r="AP214" t="str">
        <f t="shared" si="7"/>
        <v/>
      </c>
    </row>
    <row r="215" spans="1:42">
      <c r="A215" s="2">
        <f>IF(Participant_Data!A215="","",Participant_Data!A215)</f>
        <v>214</v>
      </c>
      <c r="B215" s="2" t="str">
        <f>IF(Participant_Data!B215="","",Participant_Data!B215)</f>
        <v/>
      </c>
      <c r="C215" s="3" t="str">
        <f>IF(Participant_Data!C215="","",Participant_Data!C215)</f>
        <v/>
      </c>
      <c r="D215" s="5"/>
      <c r="E215" s="5"/>
      <c r="F215" s="5"/>
      <c r="G215" s="2" t="str">
        <f t="shared" si="6"/>
        <v/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2" t="str">
        <f t="shared" si="8"/>
        <v/>
      </c>
      <c r="V215" s="2" t="str">
        <f t="shared" si="9"/>
        <v/>
      </c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2" t="str">
        <f t="shared" si="10"/>
        <v/>
      </c>
      <c r="AJ215" s="2" t="str">
        <f t="shared" si="11"/>
        <v/>
      </c>
      <c r="AK215" s="2" t="str">
        <f t="shared" si="12"/>
        <v/>
      </c>
      <c r="AL215" s="2"/>
      <c r="AM215" s="2"/>
      <c r="AN215" t="str">
        <f>IF(OR(G215="",Participant_Data!E215=""),"",IF(Participant_Data!E215&lt;70,IF(ROUND(G215,1)&lt;18.5,"ขาด/เสี่ยงขาด",IF(ROUND(G215,1)&gt;=25,"เสี่ยงเกิน/เกิน","ปกติ")),IF(ROUND(G215,1)&lt;20,"ขาด/เสี่ยงขาด",IF(ROUND(G215,1)&gt;=25,"เสี่ยงเกิน/เกิน","ปกติ"))))</f>
        <v/>
      </c>
      <c r="AO215" t="str">
        <f>IF(OR(I215="",Participant_Data!G215=""),"",IF(Participant_Data!G215=1,IF(ROUND(I215,1)&lt;15,"ขาด/เสี่ยงขาด",IF(ROUND(I215,1)&gt;25,"เสี่ยงเกิน/เกิน","ปกติ")),IF(ROUND(I215,1)&lt;20,"ขาด/เสี่ยงขาด",IF(ROUND(I215,1)&gt;35,"เสี่ยงเกิน/เกิน","ปกติ"))))</f>
        <v/>
      </c>
      <c r="AP215" t="str">
        <f t="shared" si="7"/>
        <v/>
      </c>
    </row>
    <row r="216" spans="1:42">
      <c r="A216" s="2">
        <f>IF(Participant_Data!A216="","",Participant_Data!A216)</f>
        <v>215</v>
      </c>
      <c r="B216" s="2" t="str">
        <f>IF(Participant_Data!B216="","",Participant_Data!B216)</f>
        <v/>
      </c>
      <c r="C216" s="3" t="str">
        <f>IF(Participant_Data!C216="","",Participant_Data!C216)</f>
        <v/>
      </c>
      <c r="D216" s="5"/>
      <c r="E216" s="5"/>
      <c r="F216" s="5"/>
      <c r="G216" s="2" t="str">
        <f t="shared" si="6"/>
        <v/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2" t="str">
        <f t="shared" si="8"/>
        <v/>
      </c>
      <c r="V216" s="2" t="str">
        <f t="shared" si="9"/>
        <v/>
      </c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2" t="str">
        <f t="shared" si="10"/>
        <v/>
      </c>
      <c r="AJ216" s="2" t="str">
        <f t="shared" si="11"/>
        <v/>
      </c>
      <c r="AK216" s="2" t="str">
        <f t="shared" si="12"/>
        <v/>
      </c>
      <c r="AL216" s="2"/>
      <c r="AM216" s="2"/>
      <c r="AN216" t="str">
        <f>IF(OR(G216="",Participant_Data!E216=""),"",IF(Participant_Data!E216&lt;70,IF(ROUND(G216,1)&lt;18.5,"ขาด/เสี่ยงขาด",IF(ROUND(G216,1)&gt;=25,"เสี่ยงเกิน/เกิน","ปกติ")),IF(ROUND(G216,1)&lt;20,"ขาด/เสี่ยงขาด",IF(ROUND(G216,1)&gt;=25,"เสี่ยงเกิน/เกิน","ปกติ"))))</f>
        <v/>
      </c>
      <c r="AO216" t="str">
        <f>IF(OR(I216="",Participant_Data!G216=""),"",IF(Participant_Data!G216=1,IF(ROUND(I216,1)&lt;15,"ขาด/เสี่ยงขาด",IF(ROUND(I216,1)&gt;25,"เสี่ยงเกิน/เกิน","ปกติ")),IF(ROUND(I216,1)&lt;20,"ขาด/เสี่ยงขาด",IF(ROUND(I216,1)&gt;35,"เสี่ยงเกิน/เกิน","ปกติ"))))</f>
        <v/>
      </c>
      <c r="AP216" t="str">
        <f t="shared" si="7"/>
        <v/>
      </c>
    </row>
    <row r="217" spans="1:42">
      <c r="A217" s="2">
        <f>IF(Participant_Data!A217="","",Participant_Data!A217)</f>
        <v>216</v>
      </c>
      <c r="B217" s="2" t="str">
        <f>IF(Participant_Data!B217="","",Participant_Data!B217)</f>
        <v/>
      </c>
      <c r="C217" s="3" t="str">
        <f>IF(Participant_Data!C217="","",Participant_Data!C217)</f>
        <v/>
      </c>
      <c r="D217" s="5"/>
      <c r="E217" s="5"/>
      <c r="F217" s="5"/>
      <c r="G217" s="2" t="str">
        <f t="shared" si="6"/>
        <v/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2" t="str">
        <f t="shared" si="8"/>
        <v/>
      </c>
      <c r="V217" s="2" t="str">
        <f t="shared" si="9"/>
        <v/>
      </c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2" t="str">
        <f t="shared" si="10"/>
        <v/>
      </c>
      <c r="AJ217" s="2" t="str">
        <f t="shared" si="11"/>
        <v/>
      </c>
      <c r="AK217" s="2" t="str">
        <f t="shared" si="12"/>
        <v/>
      </c>
      <c r="AL217" s="2"/>
      <c r="AM217" s="2"/>
      <c r="AN217" t="str">
        <f>IF(OR(G217="",Participant_Data!E217=""),"",IF(Participant_Data!E217&lt;70,IF(ROUND(G217,1)&lt;18.5,"ขาด/เสี่ยงขาด",IF(ROUND(G217,1)&gt;=25,"เสี่ยงเกิน/เกิน","ปกติ")),IF(ROUND(G217,1)&lt;20,"ขาด/เสี่ยงขาด",IF(ROUND(G217,1)&gt;=25,"เสี่ยงเกิน/เกิน","ปกติ"))))</f>
        <v/>
      </c>
      <c r="AO217" t="str">
        <f>IF(OR(I217="",Participant_Data!G217=""),"",IF(Participant_Data!G217=1,IF(ROUND(I217,1)&lt;15,"ขาด/เสี่ยงขาด",IF(ROUND(I217,1)&gt;25,"เสี่ยงเกิน/เกิน","ปกติ")),IF(ROUND(I217,1)&lt;20,"ขาด/เสี่ยงขาด",IF(ROUND(I217,1)&gt;35,"เสี่ยงเกิน/เกิน","ปกติ"))))</f>
        <v/>
      </c>
      <c r="AP217" t="str">
        <f t="shared" si="7"/>
        <v/>
      </c>
    </row>
    <row r="218" spans="1:42">
      <c r="A218" s="2">
        <f>IF(Participant_Data!A218="","",Participant_Data!A218)</f>
        <v>217</v>
      </c>
      <c r="B218" s="2" t="str">
        <f>IF(Participant_Data!B218="","",Participant_Data!B218)</f>
        <v/>
      </c>
      <c r="C218" s="3" t="str">
        <f>IF(Participant_Data!C218="","",Participant_Data!C218)</f>
        <v/>
      </c>
      <c r="D218" s="5"/>
      <c r="E218" s="5"/>
      <c r="F218" s="5"/>
      <c r="G218" s="2" t="str">
        <f t="shared" si="6"/>
        <v/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2" t="str">
        <f t="shared" si="8"/>
        <v/>
      </c>
      <c r="V218" s="2" t="str">
        <f t="shared" si="9"/>
        <v/>
      </c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2" t="str">
        <f t="shared" si="10"/>
        <v/>
      </c>
      <c r="AJ218" s="2" t="str">
        <f t="shared" si="11"/>
        <v/>
      </c>
      <c r="AK218" s="2" t="str">
        <f t="shared" si="12"/>
        <v/>
      </c>
      <c r="AL218" s="2"/>
      <c r="AM218" s="2"/>
      <c r="AN218" t="str">
        <f>IF(OR(G218="",Participant_Data!E218=""),"",IF(Participant_Data!E218&lt;70,IF(ROUND(G218,1)&lt;18.5,"ขาด/เสี่ยงขาด",IF(ROUND(G218,1)&gt;=25,"เสี่ยงเกิน/เกิน","ปกติ")),IF(ROUND(G218,1)&lt;20,"ขาด/เสี่ยงขาด",IF(ROUND(G218,1)&gt;=25,"เสี่ยงเกิน/เกิน","ปกติ"))))</f>
        <v/>
      </c>
      <c r="AO218" t="str">
        <f>IF(OR(I218="",Participant_Data!G218=""),"",IF(Participant_Data!G218=1,IF(ROUND(I218,1)&lt;15,"ขาด/เสี่ยงขาด",IF(ROUND(I218,1)&gt;25,"เสี่ยงเกิน/เกิน","ปกติ")),IF(ROUND(I218,1)&lt;20,"ขาด/เสี่ยงขาด",IF(ROUND(I218,1)&gt;35,"เสี่ยงเกิน/เกิน","ปกติ"))))</f>
        <v/>
      </c>
      <c r="AP218" t="str">
        <f t="shared" si="7"/>
        <v/>
      </c>
    </row>
    <row r="219" spans="1:42">
      <c r="A219" s="2">
        <f>IF(Participant_Data!A219="","",Participant_Data!A219)</f>
        <v>218</v>
      </c>
      <c r="B219" s="2" t="str">
        <f>IF(Participant_Data!B219="","",Participant_Data!B219)</f>
        <v/>
      </c>
      <c r="C219" s="3" t="str">
        <f>IF(Participant_Data!C219="","",Participant_Data!C219)</f>
        <v/>
      </c>
      <c r="D219" s="5"/>
      <c r="E219" s="5"/>
      <c r="F219" s="5"/>
      <c r="G219" s="2" t="str">
        <f t="shared" si="6"/>
        <v/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2" t="str">
        <f t="shared" si="8"/>
        <v/>
      </c>
      <c r="V219" s="2" t="str">
        <f t="shared" si="9"/>
        <v/>
      </c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2" t="str">
        <f t="shared" si="10"/>
        <v/>
      </c>
      <c r="AJ219" s="2" t="str">
        <f t="shared" si="11"/>
        <v/>
      </c>
      <c r="AK219" s="2" t="str">
        <f t="shared" si="12"/>
        <v/>
      </c>
      <c r="AL219" s="2"/>
      <c r="AM219" s="2"/>
      <c r="AN219" t="str">
        <f>IF(OR(G219="",Participant_Data!E219=""),"",IF(Participant_Data!E219&lt;70,IF(ROUND(G219,1)&lt;18.5,"ขาด/เสี่ยงขาด",IF(ROUND(G219,1)&gt;=25,"เสี่ยงเกิน/เกิน","ปกติ")),IF(ROUND(G219,1)&lt;20,"ขาด/เสี่ยงขาด",IF(ROUND(G219,1)&gt;=25,"เสี่ยงเกิน/เกิน","ปกติ"))))</f>
        <v/>
      </c>
      <c r="AO219" t="str">
        <f>IF(OR(I219="",Participant_Data!G219=""),"",IF(Participant_Data!G219=1,IF(ROUND(I219,1)&lt;15,"ขาด/เสี่ยงขาด",IF(ROUND(I219,1)&gt;25,"เสี่ยงเกิน/เกิน","ปกติ")),IF(ROUND(I219,1)&lt;20,"ขาด/เสี่ยงขาด",IF(ROUND(I219,1)&gt;35,"เสี่ยงเกิน/เกิน","ปกติ"))))</f>
        <v/>
      </c>
      <c r="AP219" t="str">
        <f t="shared" si="7"/>
        <v/>
      </c>
    </row>
    <row r="220" spans="1:42">
      <c r="A220" s="2">
        <f>IF(Participant_Data!A220="","",Participant_Data!A220)</f>
        <v>219</v>
      </c>
      <c r="B220" s="2" t="str">
        <f>IF(Participant_Data!B220="","",Participant_Data!B220)</f>
        <v/>
      </c>
      <c r="C220" s="3" t="str">
        <f>IF(Participant_Data!C220="","",Participant_Data!C220)</f>
        <v/>
      </c>
      <c r="D220" s="5"/>
      <c r="E220" s="5"/>
      <c r="F220" s="5"/>
      <c r="G220" s="2" t="str">
        <f t="shared" si="6"/>
        <v/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2" t="str">
        <f t="shared" si="8"/>
        <v/>
      </c>
      <c r="V220" s="2" t="str">
        <f t="shared" si="9"/>
        <v/>
      </c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2" t="str">
        <f t="shared" si="10"/>
        <v/>
      </c>
      <c r="AJ220" s="2" t="str">
        <f t="shared" si="11"/>
        <v/>
      </c>
      <c r="AK220" s="2" t="str">
        <f t="shared" si="12"/>
        <v/>
      </c>
      <c r="AL220" s="2"/>
      <c r="AM220" s="2"/>
      <c r="AN220" t="str">
        <f>IF(OR(G220="",Participant_Data!E220=""),"",IF(Participant_Data!E220&lt;70,IF(ROUND(G220,1)&lt;18.5,"ขาด/เสี่ยงขาด",IF(ROUND(G220,1)&gt;=25,"เสี่ยงเกิน/เกิน","ปกติ")),IF(ROUND(G220,1)&lt;20,"ขาด/เสี่ยงขาด",IF(ROUND(G220,1)&gt;=25,"เสี่ยงเกิน/เกิน","ปกติ"))))</f>
        <v/>
      </c>
      <c r="AO220" t="str">
        <f>IF(OR(I220="",Participant_Data!G220=""),"",IF(Participant_Data!G220=1,IF(ROUND(I220,1)&lt;15,"ขาด/เสี่ยงขาด",IF(ROUND(I220,1)&gt;25,"เสี่ยงเกิน/เกิน","ปกติ")),IF(ROUND(I220,1)&lt;20,"ขาด/เสี่ยงขาด",IF(ROUND(I220,1)&gt;35,"เสี่ยงเกิน/เกิน","ปกติ"))))</f>
        <v/>
      </c>
      <c r="AP220" t="str">
        <f t="shared" si="7"/>
        <v/>
      </c>
    </row>
    <row r="221" spans="1:42">
      <c r="A221" s="2">
        <f>IF(Participant_Data!A221="","",Participant_Data!A221)</f>
        <v>220</v>
      </c>
      <c r="B221" s="2" t="str">
        <f>IF(Participant_Data!B221="","",Participant_Data!B221)</f>
        <v/>
      </c>
      <c r="C221" s="3" t="str">
        <f>IF(Participant_Data!C221="","",Participant_Data!C221)</f>
        <v/>
      </c>
      <c r="D221" s="5"/>
      <c r="E221" s="5"/>
      <c r="F221" s="5"/>
      <c r="G221" s="2" t="str">
        <f t="shared" si="6"/>
        <v/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2" t="str">
        <f t="shared" si="8"/>
        <v/>
      </c>
      <c r="V221" s="2" t="str">
        <f t="shared" si="9"/>
        <v/>
      </c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2" t="str">
        <f t="shared" si="10"/>
        <v/>
      </c>
      <c r="AJ221" s="2" t="str">
        <f t="shared" si="11"/>
        <v/>
      </c>
      <c r="AK221" s="2" t="str">
        <f t="shared" si="12"/>
        <v/>
      </c>
      <c r="AL221" s="2"/>
      <c r="AM221" s="2"/>
      <c r="AN221" t="str">
        <f>IF(OR(G221="",Participant_Data!E221=""),"",IF(Participant_Data!E221&lt;70,IF(ROUND(G221,1)&lt;18.5,"ขาด/เสี่ยงขาด",IF(ROUND(G221,1)&gt;=25,"เสี่ยงเกิน/เกิน","ปกติ")),IF(ROUND(G221,1)&lt;20,"ขาด/เสี่ยงขาด",IF(ROUND(G221,1)&gt;=25,"เสี่ยงเกิน/เกิน","ปกติ"))))</f>
        <v/>
      </c>
      <c r="AO221" t="str">
        <f>IF(OR(I221="",Participant_Data!G221=""),"",IF(Participant_Data!G221=1,IF(ROUND(I221,1)&lt;15,"ขาด/เสี่ยงขาด",IF(ROUND(I221,1)&gt;25,"เสี่ยงเกิน/เกิน","ปกติ")),IF(ROUND(I221,1)&lt;20,"ขาด/เสี่ยงขาด",IF(ROUND(I221,1)&gt;35,"เสี่ยงเกิน/เกิน","ปกติ"))))</f>
        <v/>
      </c>
      <c r="AP221" t="str">
        <f t="shared" si="7"/>
        <v/>
      </c>
    </row>
    <row r="222" spans="1:42">
      <c r="A222" s="2">
        <f>IF(Participant_Data!A222="","",Participant_Data!A222)</f>
        <v>221</v>
      </c>
      <c r="B222" s="2" t="str">
        <f>IF(Participant_Data!B222="","",Participant_Data!B222)</f>
        <v/>
      </c>
      <c r="C222" s="3" t="str">
        <f>IF(Participant_Data!C222="","",Participant_Data!C222)</f>
        <v/>
      </c>
      <c r="D222" s="5"/>
      <c r="E222" s="5"/>
      <c r="F222" s="5"/>
      <c r="G222" s="2" t="str">
        <f t="shared" si="6"/>
        <v/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2" t="str">
        <f t="shared" si="8"/>
        <v/>
      </c>
      <c r="V222" s="2" t="str">
        <f t="shared" si="9"/>
        <v/>
      </c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2" t="str">
        <f t="shared" si="10"/>
        <v/>
      </c>
      <c r="AJ222" s="2" t="str">
        <f t="shared" si="11"/>
        <v/>
      </c>
      <c r="AK222" s="2" t="str">
        <f t="shared" si="12"/>
        <v/>
      </c>
      <c r="AL222" s="2"/>
      <c r="AM222" s="2"/>
      <c r="AN222" t="str">
        <f>IF(OR(G222="",Participant_Data!E222=""),"",IF(Participant_Data!E222&lt;70,IF(ROUND(G222,1)&lt;18.5,"ขาด/เสี่ยงขาด",IF(ROUND(G222,1)&gt;=25,"เสี่ยงเกิน/เกิน","ปกติ")),IF(ROUND(G222,1)&lt;20,"ขาด/เสี่ยงขาด",IF(ROUND(G222,1)&gt;=25,"เสี่ยงเกิน/เกิน","ปกติ"))))</f>
        <v/>
      </c>
      <c r="AO222" t="str">
        <f>IF(OR(I222="",Participant_Data!G222=""),"",IF(Participant_Data!G222=1,IF(ROUND(I222,1)&lt;15,"ขาด/เสี่ยงขาด",IF(ROUND(I222,1)&gt;25,"เสี่ยงเกิน/เกิน","ปกติ")),IF(ROUND(I222,1)&lt;20,"ขาด/เสี่ยงขาด",IF(ROUND(I222,1)&gt;35,"เสี่ยงเกิน/เกิน","ปกติ"))))</f>
        <v/>
      </c>
      <c r="AP222" t="str">
        <f t="shared" si="7"/>
        <v/>
      </c>
    </row>
    <row r="223" spans="1:42">
      <c r="A223" s="2">
        <f>IF(Participant_Data!A223="","",Participant_Data!A223)</f>
        <v>222</v>
      </c>
      <c r="B223" s="2" t="str">
        <f>IF(Participant_Data!B223="","",Participant_Data!B223)</f>
        <v/>
      </c>
      <c r="C223" s="3" t="str">
        <f>IF(Participant_Data!C223="","",Participant_Data!C223)</f>
        <v/>
      </c>
      <c r="D223" s="5"/>
      <c r="E223" s="5"/>
      <c r="F223" s="5"/>
      <c r="G223" s="2" t="str">
        <f t="shared" si="6"/>
        <v/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2" t="str">
        <f t="shared" si="8"/>
        <v/>
      </c>
      <c r="V223" s="2" t="str">
        <f t="shared" si="9"/>
        <v/>
      </c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2" t="str">
        <f t="shared" si="10"/>
        <v/>
      </c>
      <c r="AJ223" s="2" t="str">
        <f t="shared" si="11"/>
        <v/>
      </c>
      <c r="AK223" s="2" t="str">
        <f t="shared" si="12"/>
        <v/>
      </c>
      <c r="AL223" s="2"/>
      <c r="AM223" s="2"/>
      <c r="AN223" t="str">
        <f>IF(OR(G223="",Participant_Data!E223=""),"",IF(Participant_Data!E223&lt;70,IF(ROUND(G223,1)&lt;18.5,"ขาด/เสี่ยงขาด",IF(ROUND(G223,1)&gt;=25,"เสี่ยงเกิน/เกิน","ปกติ")),IF(ROUND(G223,1)&lt;20,"ขาด/เสี่ยงขาด",IF(ROUND(G223,1)&gt;=25,"เสี่ยงเกิน/เกิน","ปกติ"))))</f>
        <v/>
      </c>
      <c r="AO223" t="str">
        <f>IF(OR(I223="",Participant_Data!G223=""),"",IF(Participant_Data!G223=1,IF(ROUND(I223,1)&lt;15,"ขาด/เสี่ยงขาด",IF(ROUND(I223,1)&gt;25,"เสี่ยงเกิน/เกิน","ปกติ")),IF(ROUND(I223,1)&lt;20,"ขาด/เสี่ยงขาด",IF(ROUND(I223,1)&gt;35,"เสี่ยงเกิน/เกิน","ปกติ"))))</f>
        <v/>
      </c>
      <c r="AP223" t="str">
        <f t="shared" si="7"/>
        <v/>
      </c>
    </row>
    <row r="224" spans="1:42">
      <c r="A224" s="2">
        <f>IF(Participant_Data!A224="","",Participant_Data!A224)</f>
        <v>223</v>
      </c>
      <c r="B224" s="2" t="str">
        <f>IF(Participant_Data!B224="","",Participant_Data!B224)</f>
        <v/>
      </c>
      <c r="C224" s="3" t="str">
        <f>IF(Participant_Data!C224="","",Participant_Data!C224)</f>
        <v/>
      </c>
      <c r="D224" s="5"/>
      <c r="E224" s="5"/>
      <c r="F224" s="5"/>
      <c r="G224" s="2" t="str">
        <f t="shared" si="6"/>
        <v/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2" t="str">
        <f t="shared" si="8"/>
        <v/>
      </c>
      <c r="V224" s="2" t="str">
        <f t="shared" si="9"/>
        <v/>
      </c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2" t="str">
        <f t="shared" si="10"/>
        <v/>
      </c>
      <c r="AJ224" s="2" t="str">
        <f t="shared" si="11"/>
        <v/>
      </c>
      <c r="AK224" s="2" t="str">
        <f t="shared" si="12"/>
        <v/>
      </c>
      <c r="AL224" s="2"/>
      <c r="AM224" s="2"/>
      <c r="AN224" t="str">
        <f>IF(OR(G224="",Participant_Data!E224=""),"",IF(Participant_Data!E224&lt;70,IF(ROUND(G224,1)&lt;18.5,"ขาด/เสี่ยงขาด",IF(ROUND(G224,1)&gt;=25,"เสี่ยงเกิน/เกิน","ปกติ")),IF(ROUND(G224,1)&lt;20,"ขาด/เสี่ยงขาด",IF(ROUND(G224,1)&gt;=25,"เสี่ยงเกิน/เกิน","ปกติ"))))</f>
        <v/>
      </c>
      <c r="AO224" t="str">
        <f>IF(OR(I224="",Participant_Data!G224=""),"",IF(Participant_Data!G224=1,IF(ROUND(I224,1)&lt;15,"ขาด/เสี่ยงขาด",IF(ROUND(I224,1)&gt;25,"เสี่ยงเกิน/เกิน","ปกติ")),IF(ROUND(I224,1)&lt;20,"ขาด/เสี่ยงขาด",IF(ROUND(I224,1)&gt;35,"เสี่ยงเกิน/เกิน","ปกติ"))))</f>
        <v/>
      </c>
      <c r="AP224" t="str">
        <f t="shared" si="7"/>
        <v/>
      </c>
    </row>
    <row r="225" spans="1:42">
      <c r="A225" s="2">
        <f>IF(Participant_Data!A225="","",Participant_Data!A225)</f>
        <v>224</v>
      </c>
      <c r="B225" s="2" t="str">
        <f>IF(Participant_Data!B225="","",Participant_Data!B225)</f>
        <v/>
      </c>
      <c r="C225" s="3" t="str">
        <f>IF(Participant_Data!C225="","",Participant_Data!C225)</f>
        <v/>
      </c>
      <c r="D225" s="5"/>
      <c r="E225" s="5"/>
      <c r="F225" s="5"/>
      <c r="G225" s="2" t="str">
        <f t="shared" si="6"/>
        <v/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2" t="str">
        <f t="shared" si="8"/>
        <v/>
      </c>
      <c r="V225" s="2" t="str">
        <f t="shared" si="9"/>
        <v/>
      </c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2" t="str">
        <f t="shared" si="10"/>
        <v/>
      </c>
      <c r="AJ225" s="2" t="str">
        <f t="shared" si="11"/>
        <v/>
      </c>
      <c r="AK225" s="2" t="str">
        <f t="shared" si="12"/>
        <v/>
      </c>
      <c r="AL225" s="2"/>
      <c r="AM225" s="2"/>
      <c r="AN225" t="str">
        <f>IF(OR(G225="",Participant_Data!E225=""),"",IF(Participant_Data!E225&lt;70,IF(ROUND(G225,1)&lt;18.5,"ขาด/เสี่ยงขาด",IF(ROUND(G225,1)&gt;=25,"เสี่ยงเกิน/เกิน","ปกติ")),IF(ROUND(G225,1)&lt;20,"ขาด/เสี่ยงขาด",IF(ROUND(G225,1)&gt;=25,"เสี่ยงเกิน/เกิน","ปกติ"))))</f>
        <v/>
      </c>
      <c r="AO225" t="str">
        <f>IF(OR(I225="",Participant_Data!G225=""),"",IF(Participant_Data!G225=1,IF(ROUND(I225,1)&lt;15,"ขาด/เสี่ยงขาด",IF(ROUND(I225,1)&gt;25,"เสี่ยงเกิน/เกิน","ปกติ")),IF(ROUND(I225,1)&lt;20,"ขาด/เสี่ยงขาด",IF(ROUND(I225,1)&gt;35,"เสี่ยงเกิน/เกิน","ปกติ"))))</f>
        <v/>
      </c>
      <c r="AP225" t="str">
        <f t="shared" si="7"/>
        <v/>
      </c>
    </row>
    <row r="226" spans="1:42">
      <c r="A226" s="2">
        <f>IF(Participant_Data!A226="","",Participant_Data!A226)</f>
        <v>225</v>
      </c>
      <c r="B226" s="2" t="str">
        <f>IF(Participant_Data!B226="","",Participant_Data!B226)</f>
        <v/>
      </c>
      <c r="C226" s="3" t="str">
        <f>IF(Participant_Data!C226="","",Participant_Data!C226)</f>
        <v/>
      </c>
      <c r="D226" s="5"/>
      <c r="E226" s="5"/>
      <c r="F226" s="5"/>
      <c r="G226" s="2" t="str">
        <f t="shared" si="6"/>
        <v/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2" t="str">
        <f t="shared" si="8"/>
        <v/>
      </c>
      <c r="V226" s="2" t="str">
        <f t="shared" si="9"/>
        <v/>
      </c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2" t="str">
        <f t="shared" si="10"/>
        <v/>
      </c>
      <c r="AJ226" s="2" t="str">
        <f t="shared" si="11"/>
        <v/>
      </c>
      <c r="AK226" s="2" t="str">
        <f t="shared" si="12"/>
        <v/>
      </c>
      <c r="AL226" s="2"/>
      <c r="AM226" s="2"/>
      <c r="AN226" t="str">
        <f>IF(OR(G226="",Participant_Data!E226=""),"",IF(Participant_Data!E226&lt;70,IF(ROUND(G226,1)&lt;18.5,"ขาด/เสี่ยงขาด",IF(ROUND(G226,1)&gt;=25,"เสี่ยงเกิน/เกิน","ปกติ")),IF(ROUND(G226,1)&lt;20,"ขาด/เสี่ยงขาด",IF(ROUND(G226,1)&gt;=25,"เสี่ยงเกิน/เกิน","ปกติ"))))</f>
        <v/>
      </c>
      <c r="AO226" t="str">
        <f>IF(OR(I226="",Participant_Data!G226=""),"",IF(Participant_Data!G226=1,IF(ROUND(I226,1)&lt;15,"ขาด/เสี่ยงขาด",IF(ROUND(I226,1)&gt;25,"เสี่ยงเกิน/เกิน","ปกติ")),IF(ROUND(I226,1)&lt;20,"ขาด/เสี่ยงขาด",IF(ROUND(I226,1)&gt;35,"เสี่ยงเกิน/เกิน","ปกติ"))))</f>
        <v/>
      </c>
      <c r="AP226" t="str">
        <f t="shared" si="7"/>
        <v/>
      </c>
    </row>
    <row r="227" spans="1:42">
      <c r="A227" s="2">
        <f>IF(Participant_Data!A227="","",Participant_Data!A227)</f>
        <v>226</v>
      </c>
      <c r="B227" s="2" t="str">
        <f>IF(Participant_Data!B227="","",Participant_Data!B227)</f>
        <v/>
      </c>
      <c r="C227" s="3" t="str">
        <f>IF(Participant_Data!C227="","",Participant_Data!C227)</f>
        <v/>
      </c>
      <c r="D227" s="5"/>
      <c r="E227" s="5"/>
      <c r="F227" s="5"/>
      <c r="G227" s="2" t="str">
        <f t="shared" si="6"/>
        <v/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2" t="str">
        <f t="shared" si="8"/>
        <v/>
      </c>
      <c r="V227" s="2" t="str">
        <f t="shared" si="9"/>
        <v/>
      </c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2" t="str">
        <f t="shared" si="10"/>
        <v/>
      </c>
      <c r="AJ227" s="2" t="str">
        <f t="shared" si="11"/>
        <v/>
      </c>
      <c r="AK227" s="2" t="str">
        <f t="shared" si="12"/>
        <v/>
      </c>
      <c r="AL227" s="2"/>
      <c r="AM227" s="2"/>
      <c r="AN227" t="str">
        <f>IF(OR(G227="",Participant_Data!E227=""),"",IF(Participant_Data!E227&lt;70,IF(ROUND(G227,1)&lt;18.5,"ขาด/เสี่ยงขาด",IF(ROUND(G227,1)&gt;=25,"เสี่ยงเกิน/เกิน","ปกติ")),IF(ROUND(G227,1)&lt;20,"ขาด/เสี่ยงขาด",IF(ROUND(G227,1)&gt;=25,"เสี่ยงเกิน/เกิน","ปกติ"))))</f>
        <v/>
      </c>
      <c r="AO227" t="str">
        <f>IF(OR(I227="",Participant_Data!G227=""),"",IF(Participant_Data!G227=1,IF(ROUND(I227,1)&lt;15,"ขาด/เสี่ยงขาด",IF(ROUND(I227,1)&gt;25,"เสี่ยงเกิน/เกิน","ปกติ")),IF(ROUND(I227,1)&lt;20,"ขาด/เสี่ยงขาด",IF(ROUND(I227,1)&gt;35,"เสี่ยงเกิน/เกิน","ปกติ"))))</f>
        <v/>
      </c>
      <c r="AP227" t="str">
        <f t="shared" si="7"/>
        <v/>
      </c>
    </row>
    <row r="228" spans="1:42">
      <c r="A228" s="2">
        <f>IF(Participant_Data!A228="","",Participant_Data!A228)</f>
        <v>227</v>
      </c>
      <c r="B228" s="2" t="str">
        <f>IF(Participant_Data!B228="","",Participant_Data!B228)</f>
        <v/>
      </c>
      <c r="C228" s="3" t="str">
        <f>IF(Participant_Data!C228="","",Participant_Data!C228)</f>
        <v/>
      </c>
      <c r="D228" s="5"/>
      <c r="E228" s="5"/>
      <c r="F228" s="5"/>
      <c r="G228" s="2" t="str">
        <f t="shared" si="6"/>
        <v/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2" t="str">
        <f t="shared" si="8"/>
        <v/>
      </c>
      <c r="V228" s="2" t="str">
        <f t="shared" si="9"/>
        <v/>
      </c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2" t="str">
        <f t="shared" si="10"/>
        <v/>
      </c>
      <c r="AJ228" s="2" t="str">
        <f t="shared" si="11"/>
        <v/>
      </c>
      <c r="AK228" s="2" t="str">
        <f t="shared" si="12"/>
        <v/>
      </c>
      <c r="AL228" s="2"/>
      <c r="AM228" s="2"/>
      <c r="AN228" t="str">
        <f>IF(OR(G228="",Participant_Data!E228=""),"",IF(Participant_Data!E228&lt;70,IF(ROUND(G228,1)&lt;18.5,"ขาด/เสี่ยงขาด",IF(ROUND(G228,1)&gt;=25,"เสี่ยงเกิน/เกิน","ปกติ")),IF(ROUND(G228,1)&lt;20,"ขาด/เสี่ยงขาด",IF(ROUND(G228,1)&gt;=25,"เสี่ยงเกิน/เกิน","ปกติ"))))</f>
        <v/>
      </c>
      <c r="AO228" t="str">
        <f>IF(OR(I228="",Participant_Data!G228=""),"",IF(Participant_Data!G228=1,IF(ROUND(I228,1)&lt;15,"ขาด/เสี่ยงขาด",IF(ROUND(I228,1)&gt;25,"เสี่ยงเกิน/เกิน","ปกติ")),IF(ROUND(I228,1)&lt;20,"ขาด/เสี่ยงขาด",IF(ROUND(I228,1)&gt;35,"เสี่ยงเกิน/เกิน","ปกติ"))))</f>
        <v/>
      </c>
      <c r="AP228" t="str">
        <f t="shared" si="7"/>
        <v/>
      </c>
    </row>
    <row r="229" spans="1:42">
      <c r="A229" s="2">
        <f>IF(Participant_Data!A229="","",Participant_Data!A229)</f>
        <v>228</v>
      </c>
      <c r="B229" s="2" t="str">
        <f>IF(Participant_Data!B229="","",Participant_Data!B229)</f>
        <v/>
      </c>
      <c r="C229" s="3" t="str">
        <f>IF(Participant_Data!C229="","",Participant_Data!C229)</f>
        <v/>
      </c>
      <c r="D229" s="5"/>
      <c r="E229" s="5"/>
      <c r="F229" s="5"/>
      <c r="G229" s="2" t="str">
        <f t="shared" si="6"/>
        <v/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2" t="str">
        <f t="shared" si="8"/>
        <v/>
      </c>
      <c r="V229" s="2" t="str">
        <f t="shared" si="9"/>
        <v/>
      </c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2" t="str">
        <f t="shared" si="10"/>
        <v/>
      </c>
      <c r="AJ229" s="2" t="str">
        <f t="shared" si="11"/>
        <v/>
      </c>
      <c r="AK229" s="2" t="str">
        <f t="shared" si="12"/>
        <v/>
      </c>
      <c r="AL229" s="2"/>
      <c r="AM229" s="2"/>
      <c r="AN229" t="str">
        <f>IF(OR(G229="",Participant_Data!E229=""),"",IF(Participant_Data!E229&lt;70,IF(ROUND(G229,1)&lt;18.5,"ขาด/เสี่ยงขาด",IF(ROUND(G229,1)&gt;=25,"เสี่ยงเกิน/เกิน","ปกติ")),IF(ROUND(G229,1)&lt;20,"ขาด/เสี่ยงขาด",IF(ROUND(G229,1)&gt;=25,"เสี่ยงเกิน/เกิน","ปกติ"))))</f>
        <v/>
      </c>
      <c r="AO229" t="str">
        <f>IF(OR(I229="",Participant_Data!G229=""),"",IF(Participant_Data!G229=1,IF(ROUND(I229,1)&lt;15,"ขาด/เสี่ยงขาด",IF(ROUND(I229,1)&gt;25,"เสี่ยงเกิน/เกิน","ปกติ")),IF(ROUND(I229,1)&lt;20,"ขาด/เสี่ยงขาด",IF(ROUND(I229,1)&gt;35,"เสี่ยงเกิน/เกิน","ปกติ"))))</f>
        <v/>
      </c>
      <c r="AP229" t="str">
        <f t="shared" si="7"/>
        <v/>
      </c>
    </row>
    <row r="230" spans="1:42">
      <c r="A230" s="2">
        <f>IF(Participant_Data!A230="","",Participant_Data!A230)</f>
        <v>229</v>
      </c>
      <c r="B230" s="2" t="str">
        <f>IF(Participant_Data!B230="","",Participant_Data!B230)</f>
        <v/>
      </c>
      <c r="C230" s="3" t="str">
        <f>IF(Participant_Data!C230="","",Participant_Data!C230)</f>
        <v/>
      </c>
      <c r="D230" s="5"/>
      <c r="E230" s="5"/>
      <c r="F230" s="5"/>
      <c r="G230" s="2" t="str">
        <f t="shared" si="6"/>
        <v/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2" t="str">
        <f t="shared" si="8"/>
        <v/>
      </c>
      <c r="V230" s="2" t="str">
        <f t="shared" si="9"/>
        <v/>
      </c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2" t="str">
        <f t="shared" si="10"/>
        <v/>
      </c>
      <c r="AJ230" s="2" t="str">
        <f t="shared" si="11"/>
        <v/>
      </c>
      <c r="AK230" s="2" t="str">
        <f t="shared" si="12"/>
        <v/>
      </c>
      <c r="AL230" s="2"/>
      <c r="AM230" s="2"/>
      <c r="AN230" t="str">
        <f>IF(OR(G230="",Participant_Data!E230=""),"",IF(Participant_Data!E230&lt;70,IF(ROUND(G230,1)&lt;18.5,"ขาด/เสี่ยงขาด",IF(ROUND(G230,1)&gt;=25,"เสี่ยงเกิน/เกิน","ปกติ")),IF(ROUND(G230,1)&lt;20,"ขาด/เสี่ยงขาด",IF(ROUND(G230,1)&gt;=25,"เสี่ยงเกิน/เกิน","ปกติ"))))</f>
        <v/>
      </c>
      <c r="AO230" t="str">
        <f>IF(OR(I230="",Participant_Data!G230=""),"",IF(Participant_Data!G230=1,IF(ROUND(I230,1)&lt;15,"ขาด/เสี่ยงขาด",IF(ROUND(I230,1)&gt;25,"เสี่ยงเกิน/เกิน","ปกติ")),IF(ROUND(I230,1)&lt;20,"ขาด/เสี่ยงขาด",IF(ROUND(I230,1)&gt;35,"เสี่ยงเกิน/เกิน","ปกติ"))))</f>
        <v/>
      </c>
      <c r="AP230" t="str">
        <f t="shared" si="7"/>
        <v/>
      </c>
    </row>
    <row r="231" spans="1:42">
      <c r="A231" s="2">
        <f>IF(Participant_Data!A231="","",Participant_Data!A231)</f>
        <v>230</v>
      </c>
      <c r="B231" s="2" t="str">
        <f>IF(Participant_Data!B231="","",Participant_Data!B231)</f>
        <v/>
      </c>
      <c r="C231" s="3" t="str">
        <f>IF(Participant_Data!C231="","",Participant_Data!C231)</f>
        <v/>
      </c>
      <c r="D231" s="5"/>
      <c r="E231" s="5"/>
      <c r="F231" s="5"/>
      <c r="G231" s="2" t="str">
        <f t="shared" si="6"/>
        <v/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2" t="str">
        <f t="shared" si="8"/>
        <v/>
      </c>
      <c r="V231" s="2" t="str">
        <f t="shared" si="9"/>
        <v/>
      </c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2" t="str">
        <f t="shared" si="10"/>
        <v/>
      </c>
      <c r="AJ231" s="2" t="str">
        <f t="shared" si="11"/>
        <v/>
      </c>
      <c r="AK231" s="2" t="str">
        <f t="shared" si="12"/>
        <v/>
      </c>
      <c r="AL231" s="2"/>
      <c r="AM231" s="2"/>
      <c r="AN231" t="str">
        <f>IF(OR(G231="",Participant_Data!E231=""),"",IF(Participant_Data!E231&lt;70,IF(ROUND(G231,1)&lt;18.5,"ขาด/เสี่ยงขาด",IF(ROUND(G231,1)&gt;=25,"เสี่ยงเกิน/เกิน","ปกติ")),IF(ROUND(G231,1)&lt;20,"ขาด/เสี่ยงขาด",IF(ROUND(G231,1)&gt;=25,"เสี่ยงเกิน/เกิน","ปกติ"))))</f>
        <v/>
      </c>
      <c r="AO231" t="str">
        <f>IF(OR(I231="",Participant_Data!G231=""),"",IF(Participant_Data!G231=1,IF(ROUND(I231,1)&lt;15,"ขาด/เสี่ยงขาด",IF(ROUND(I231,1)&gt;25,"เสี่ยงเกิน/เกิน","ปกติ")),IF(ROUND(I231,1)&lt;20,"ขาด/เสี่ยงขาด",IF(ROUND(I231,1)&gt;35,"เสี่ยงเกิน/เกิน","ปกติ"))))</f>
        <v/>
      </c>
      <c r="AP231" t="str">
        <f t="shared" si="7"/>
        <v/>
      </c>
    </row>
    <row r="232" spans="1:42">
      <c r="A232" s="2">
        <f>IF(Participant_Data!A232="","",Participant_Data!A232)</f>
        <v>231</v>
      </c>
      <c r="B232" s="2" t="str">
        <f>IF(Participant_Data!B232="","",Participant_Data!B232)</f>
        <v/>
      </c>
      <c r="C232" s="3" t="str">
        <f>IF(Participant_Data!C232="","",Participant_Data!C232)</f>
        <v/>
      </c>
      <c r="D232" s="5"/>
      <c r="E232" s="5"/>
      <c r="F232" s="5"/>
      <c r="G232" s="2" t="str">
        <f t="shared" si="6"/>
        <v/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2" t="str">
        <f t="shared" si="8"/>
        <v/>
      </c>
      <c r="V232" s="2" t="str">
        <f t="shared" si="9"/>
        <v/>
      </c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2" t="str">
        <f t="shared" si="10"/>
        <v/>
      </c>
      <c r="AJ232" s="2" t="str">
        <f t="shared" si="11"/>
        <v/>
      </c>
      <c r="AK232" s="2" t="str">
        <f t="shared" si="12"/>
        <v/>
      </c>
      <c r="AL232" s="2"/>
      <c r="AM232" s="2"/>
      <c r="AN232" t="str">
        <f>IF(OR(G232="",Participant_Data!E232=""),"",IF(Participant_Data!E232&lt;70,IF(ROUND(G232,1)&lt;18.5,"ขาด/เสี่ยงขาด",IF(ROUND(G232,1)&gt;=25,"เสี่ยงเกิน/เกิน","ปกติ")),IF(ROUND(G232,1)&lt;20,"ขาด/เสี่ยงขาด",IF(ROUND(G232,1)&gt;=25,"เสี่ยงเกิน/เกิน","ปกติ"))))</f>
        <v/>
      </c>
      <c r="AO232" t="str">
        <f>IF(OR(I232="",Participant_Data!G232=""),"",IF(Participant_Data!G232=1,IF(ROUND(I232,1)&lt;15,"ขาด/เสี่ยงขาด",IF(ROUND(I232,1)&gt;25,"เสี่ยงเกิน/เกิน","ปกติ")),IF(ROUND(I232,1)&lt;20,"ขาด/เสี่ยงขาด",IF(ROUND(I232,1)&gt;35,"เสี่ยงเกิน/เกิน","ปกติ"))))</f>
        <v/>
      </c>
      <c r="AP232" t="str">
        <f t="shared" si="7"/>
        <v/>
      </c>
    </row>
    <row r="233" spans="1:42">
      <c r="A233" s="2">
        <f>IF(Participant_Data!A233="","",Participant_Data!A233)</f>
        <v>232</v>
      </c>
      <c r="B233" s="2" t="str">
        <f>IF(Participant_Data!B233="","",Participant_Data!B233)</f>
        <v/>
      </c>
      <c r="C233" s="3" t="str">
        <f>IF(Participant_Data!C233="","",Participant_Data!C233)</f>
        <v/>
      </c>
      <c r="D233" s="5"/>
      <c r="E233" s="5"/>
      <c r="F233" s="5"/>
      <c r="G233" s="2" t="str">
        <f t="shared" si="6"/>
        <v/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2" t="str">
        <f t="shared" si="8"/>
        <v/>
      </c>
      <c r="V233" s="2" t="str">
        <f t="shared" si="9"/>
        <v/>
      </c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2" t="str">
        <f t="shared" si="10"/>
        <v/>
      </c>
      <c r="AJ233" s="2" t="str">
        <f t="shared" si="11"/>
        <v/>
      </c>
      <c r="AK233" s="2" t="str">
        <f t="shared" si="12"/>
        <v/>
      </c>
      <c r="AL233" s="2"/>
      <c r="AM233" s="2"/>
      <c r="AN233" t="str">
        <f>IF(OR(G233="",Participant_Data!E233=""),"",IF(Participant_Data!E233&lt;70,IF(ROUND(G233,1)&lt;18.5,"ขาด/เสี่ยงขาด",IF(ROUND(G233,1)&gt;=25,"เสี่ยงเกิน/เกิน","ปกติ")),IF(ROUND(G233,1)&lt;20,"ขาด/เสี่ยงขาด",IF(ROUND(G233,1)&gt;=25,"เสี่ยงเกิน/เกิน","ปกติ"))))</f>
        <v/>
      </c>
      <c r="AO233" t="str">
        <f>IF(OR(I233="",Participant_Data!G233=""),"",IF(Participant_Data!G233=1,IF(ROUND(I233,1)&lt;15,"ขาด/เสี่ยงขาด",IF(ROUND(I233,1)&gt;25,"เสี่ยงเกิน/เกิน","ปกติ")),IF(ROUND(I233,1)&lt;20,"ขาด/เสี่ยงขาด",IF(ROUND(I233,1)&gt;35,"เสี่ยงเกิน/เกิน","ปกติ"))))</f>
        <v/>
      </c>
      <c r="AP233" t="str">
        <f t="shared" si="7"/>
        <v/>
      </c>
    </row>
    <row r="234" spans="1:42">
      <c r="A234" s="2">
        <f>IF(Participant_Data!A234="","",Participant_Data!A234)</f>
        <v>233</v>
      </c>
      <c r="B234" s="2" t="str">
        <f>IF(Participant_Data!B234="","",Participant_Data!B234)</f>
        <v/>
      </c>
      <c r="C234" s="3" t="str">
        <f>IF(Participant_Data!C234="","",Participant_Data!C234)</f>
        <v/>
      </c>
      <c r="D234" s="5"/>
      <c r="E234" s="5"/>
      <c r="F234" s="5"/>
      <c r="G234" s="2" t="str">
        <f t="shared" si="6"/>
        <v/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2" t="str">
        <f t="shared" ref="U234:U265" si="13">IF(COUNTA(O234:T234)=0,"",SUM(O234:T234))</f>
        <v/>
      </c>
      <c r="V234" s="2" t="str">
        <f t="shared" ref="V234:V265" si="14">IF(U234="","",IF(U234&gt;=12,"Normal",IF(U234&gt;=8,"At risk","Malnourished")))</f>
        <v/>
      </c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2" t="str">
        <f t="shared" ref="AI234:AI265" si="15">IF(COUNTA(W234:AH234)=0,"",SUM(W234:AH234))</f>
        <v/>
      </c>
      <c r="AJ234" s="2" t="str">
        <f t="shared" ref="AJ234:AJ265" si="16">IF(OR(U234="",AI234=""),"",U234+AI234)</f>
        <v/>
      </c>
      <c r="AK234" s="2" t="str">
        <f t="shared" ref="AK234:AK265" si="17">IF(AJ234="","",IF(AJ234&gt;=24,"Normal",IF(AJ234&gt;=17,"At risk","Malnourished")))</f>
        <v/>
      </c>
      <c r="AL234" s="2"/>
      <c r="AM234" s="2"/>
      <c r="AN234" t="str">
        <f>IF(OR(G234="",Participant_Data!E234=""),"",IF(Participant_Data!E234&lt;70,IF(ROUND(G234,1)&lt;18.5,"ขาด/เสี่ยงขาด",IF(ROUND(G234,1)&gt;=25,"เสี่ยงเกิน/เกิน","ปกติ")),IF(ROUND(G234,1)&lt;20,"ขาด/เสี่ยงขาด",IF(ROUND(G234,1)&gt;=25,"เสี่ยงเกิน/เกิน","ปกติ"))))</f>
        <v/>
      </c>
      <c r="AO234" t="str">
        <f>IF(OR(I234="",Participant_Data!G234=""),"",IF(Participant_Data!G234=1,IF(ROUND(I234,1)&lt;15,"ขาด/เสี่ยงขาด",IF(ROUND(I234,1)&gt;25,"เสี่ยงเกิน/เกิน","ปกติ")),IF(ROUND(I234,1)&lt;20,"ขาด/เสี่ยงขาด",IF(ROUND(I234,1)&gt;35,"เสี่ยงเกิน/เกิน","ปกติ"))))</f>
        <v/>
      </c>
      <c r="AP234" t="str">
        <f t="shared" si="7"/>
        <v/>
      </c>
    </row>
    <row r="235" spans="1:42">
      <c r="A235" s="2">
        <f>IF(Participant_Data!A235="","",Participant_Data!A235)</f>
        <v>234</v>
      </c>
      <c r="B235" s="2" t="str">
        <f>IF(Participant_Data!B235="","",Participant_Data!B235)</f>
        <v/>
      </c>
      <c r="C235" s="3" t="str">
        <f>IF(Participant_Data!C235="","",Participant_Data!C235)</f>
        <v/>
      </c>
      <c r="D235" s="5"/>
      <c r="E235" s="5"/>
      <c r="F235" s="5"/>
      <c r="G235" s="2" t="str">
        <f t="shared" si="6"/>
        <v/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2" t="str">
        <f t="shared" si="13"/>
        <v/>
      </c>
      <c r="V235" s="2" t="str">
        <f t="shared" si="14"/>
        <v/>
      </c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2" t="str">
        <f t="shared" si="15"/>
        <v/>
      </c>
      <c r="AJ235" s="2" t="str">
        <f t="shared" si="16"/>
        <v/>
      </c>
      <c r="AK235" s="2" t="str">
        <f t="shared" si="17"/>
        <v/>
      </c>
      <c r="AL235" s="2"/>
      <c r="AM235" s="2"/>
      <c r="AN235" t="str">
        <f>IF(OR(G235="",Participant_Data!E235=""),"",IF(Participant_Data!E235&lt;70,IF(ROUND(G235,1)&lt;18.5,"ขาด/เสี่ยงขาด",IF(ROUND(G235,1)&gt;=25,"เสี่ยงเกิน/เกิน","ปกติ")),IF(ROUND(G235,1)&lt;20,"ขาด/เสี่ยงขาด",IF(ROUND(G235,1)&gt;=25,"เสี่ยงเกิน/เกิน","ปกติ"))))</f>
        <v/>
      </c>
      <c r="AO235" t="str">
        <f>IF(OR(I235="",Participant_Data!G235=""),"",IF(Participant_Data!G235=1,IF(ROUND(I235,1)&lt;15,"ขาด/เสี่ยงขาด",IF(ROUND(I235,1)&gt;25,"เสี่ยงเกิน/เกิน","ปกติ")),IF(ROUND(I235,1)&lt;20,"ขาด/เสี่ยงขาด",IF(ROUND(I235,1)&gt;35,"เสี่ยงเกิน/เกิน","ปกติ"))))</f>
        <v/>
      </c>
      <c r="AP235" t="str">
        <f t="shared" si="7"/>
        <v/>
      </c>
    </row>
    <row r="236" spans="1:42">
      <c r="A236" s="2">
        <f>IF(Participant_Data!A236="","",Participant_Data!A236)</f>
        <v>235</v>
      </c>
      <c r="B236" s="2" t="str">
        <f>IF(Participant_Data!B236="","",Participant_Data!B236)</f>
        <v/>
      </c>
      <c r="C236" s="3" t="str">
        <f>IF(Participant_Data!C236="","",Participant_Data!C236)</f>
        <v/>
      </c>
      <c r="D236" s="5"/>
      <c r="E236" s="5"/>
      <c r="F236" s="5"/>
      <c r="G236" s="2" t="str">
        <f t="shared" si="6"/>
        <v/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2" t="str">
        <f t="shared" si="13"/>
        <v/>
      </c>
      <c r="V236" s="2" t="str">
        <f t="shared" si="14"/>
        <v/>
      </c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2" t="str">
        <f t="shared" si="15"/>
        <v/>
      </c>
      <c r="AJ236" s="2" t="str">
        <f t="shared" si="16"/>
        <v/>
      </c>
      <c r="AK236" s="2" t="str">
        <f t="shared" si="17"/>
        <v/>
      </c>
      <c r="AL236" s="2"/>
      <c r="AM236" s="2"/>
      <c r="AN236" t="str">
        <f>IF(OR(G236="",Participant_Data!E236=""),"",IF(Participant_Data!E236&lt;70,IF(ROUND(G236,1)&lt;18.5,"ขาด/เสี่ยงขาด",IF(ROUND(G236,1)&gt;=25,"เสี่ยงเกิน/เกิน","ปกติ")),IF(ROUND(G236,1)&lt;20,"ขาด/เสี่ยงขาด",IF(ROUND(G236,1)&gt;=25,"เสี่ยงเกิน/เกิน","ปกติ"))))</f>
        <v/>
      </c>
      <c r="AO236" t="str">
        <f>IF(OR(I236="",Participant_Data!G236=""),"",IF(Participant_Data!G236=1,IF(ROUND(I236,1)&lt;15,"ขาด/เสี่ยงขาด",IF(ROUND(I236,1)&gt;25,"เสี่ยงเกิน/เกิน","ปกติ")),IF(ROUND(I236,1)&lt;20,"ขาด/เสี่ยงขาด",IF(ROUND(I236,1)&gt;35,"เสี่ยงเกิน/เกิน","ปกติ"))))</f>
        <v/>
      </c>
      <c r="AP236" t="str">
        <f t="shared" si="7"/>
        <v/>
      </c>
    </row>
    <row r="237" spans="1:42">
      <c r="A237" s="2">
        <f>IF(Participant_Data!A237="","",Participant_Data!A237)</f>
        <v>236</v>
      </c>
      <c r="B237" s="2" t="str">
        <f>IF(Participant_Data!B237="","",Participant_Data!B237)</f>
        <v/>
      </c>
      <c r="C237" s="3" t="str">
        <f>IF(Participant_Data!C237="","",Participant_Data!C237)</f>
        <v/>
      </c>
      <c r="D237" s="5"/>
      <c r="E237" s="5"/>
      <c r="F237" s="5"/>
      <c r="G237" s="2" t="str">
        <f t="shared" si="6"/>
        <v/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2" t="str">
        <f t="shared" si="13"/>
        <v/>
      </c>
      <c r="V237" s="2" t="str">
        <f t="shared" si="14"/>
        <v/>
      </c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2" t="str">
        <f t="shared" si="15"/>
        <v/>
      </c>
      <c r="AJ237" s="2" t="str">
        <f t="shared" si="16"/>
        <v/>
      </c>
      <c r="AK237" s="2" t="str">
        <f t="shared" si="17"/>
        <v/>
      </c>
      <c r="AL237" s="2"/>
      <c r="AM237" s="2"/>
      <c r="AN237" t="str">
        <f>IF(OR(G237="",Participant_Data!E237=""),"",IF(Participant_Data!E237&lt;70,IF(ROUND(G237,1)&lt;18.5,"ขาด/เสี่ยงขาด",IF(ROUND(G237,1)&gt;=25,"เสี่ยงเกิน/เกิน","ปกติ")),IF(ROUND(G237,1)&lt;20,"ขาด/เสี่ยงขาด",IF(ROUND(G237,1)&gt;=25,"เสี่ยงเกิน/เกิน","ปกติ"))))</f>
        <v/>
      </c>
      <c r="AO237" t="str">
        <f>IF(OR(I237="",Participant_Data!G237=""),"",IF(Participant_Data!G237=1,IF(ROUND(I237,1)&lt;15,"ขาด/เสี่ยงขาด",IF(ROUND(I237,1)&gt;25,"เสี่ยงเกิน/เกิน","ปกติ")),IF(ROUND(I237,1)&lt;20,"ขาด/เสี่ยงขาด",IF(ROUND(I237,1)&gt;35,"เสี่ยงเกิน/เกิน","ปกติ"))))</f>
        <v/>
      </c>
      <c r="AP237" t="str">
        <f t="shared" si="7"/>
        <v/>
      </c>
    </row>
    <row r="238" spans="1:42">
      <c r="A238" s="2">
        <f>IF(Participant_Data!A238="","",Participant_Data!A238)</f>
        <v>237</v>
      </c>
      <c r="B238" s="2" t="str">
        <f>IF(Participant_Data!B238="","",Participant_Data!B238)</f>
        <v/>
      </c>
      <c r="C238" s="3" t="str">
        <f>IF(Participant_Data!C238="","",Participant_Data!C238)</f>
        <v/>
      </c>
      <c r="D238" s="5"/>
      <c r="E238" s="5"/>
      <c r="F238" s="5"/>
      <c r="G238" s="2" t="str">
        <f t="shared" si="6"/>
        <v/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2" t="str">
        <f t="shared" si="13"/>
        <v/>
      </c>
      <c r="V238" s="2" t="str">
        <f t="shared" si="14"/>
        <v/>
      </c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2" t="str">
        <f t="shared" si="15"/>
        <v/>
      </c>
      <c r="AJ238" s="2" t="str">
        <f t="shared" si="16"/>
        <v/>
      </c>
      <c r="AK238" s="2" t="str">
        <f t="shared" si="17"/>
        <v/>
      </c>
      <c r="AL238" s="2"/>
      <c r="AM238" s="2"/>
      <c r="AN238" t="str">
        <f>IF(OR(G238="",Participant_Data!E238=""),"",IF(Participant_Data!E238&lt;70,IF(ROUND(G238,1)&lt;18.5,"ขาด/เสี่ยงขาด",IF(ROUND(G238,1)&gt;=25,"เสี่ยงเกิน/เกิน","ปกติ")),IF(ROUND(G238,1)&lt;20,"ขาด/เสี่ยงขาด",IF(ROUND(G238,1)&gt;=25,"เสี่ยงเกิน/เกิน","ปกติ"))))</f>
        <v/>
      </c>
      <c r="AO238" t="str">
        <f>IF(OR(I238="",Participant_Data!G238=""),"",IF(Participant_Data!G238=1,IF(ROUND(I238,1)&lt;15,"ขาด/เสี่ยงขาด",IF(ROUND(I238,1)&gt;25,"เสี่ยงเกิน/เกิน","ปกติ")),IF(ROUND(I238,1)&lt;20,"ขาด/เสี่ยงขาด",IF(ROUND(I238,1)&gt;35,"เสี่ยงเกิน/เกิน","ปกติ"))))</f>
        <v/>
      </c>
      <c r="AP238" t="str">
        <f t="shared" si="7"/>
        <v/>
      </c>
    </row>
    <row r="239" spans="1:42">
      <c r="A239" s="2">
        <f>IF(Participant_Data!A239="","",Participant_Data!A239)</f>
        <v>238</v>
      </c>
      <c r="B239" s="2" t="str">
        <f>IF(Participant_Data!B239="","",Participant_Data!B239)</f>
        <v/>
      </c>
      <c r="C239" s="3" t="str">
        <f>IF(Participant_Data!C239="","",Participant_Data!C239)</f>
        <v/>
      </c>
      <c r="D239" s="5"/>
      <c r="E239" s="5"/>
      <c r="F239" s="5"/>
      <c r="G239" s="2" t="str">
        <f t="shared" si="6"/>
        <v/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2" t="str">
        <f t="shared" si="13"/>
        <v/>
      </c>
      <c r="V239" s="2" t="str">
        <f t="shared" si="14"/>
        <v/>
      </c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2" t="str">
        <f t="shared" si="15"/>
        <v/>
      </c>
      <c r="AJ239" s="2" t="str">
        <f t="shared" si="16"/>
        <v/>
      </c>
      <c r="AK239" s="2" t="str">
        <f t="shared" si="17"/>
        <v/>
      </c>
      <c r="AL239" s="2"/>
      <c r="AM239" s="2"/>
      <c r="AN239" t="str">
        <f>IF(OR(G239="",Participant_Data!E239=""),"",IF(Participant_Data!E239&lt;70,IF(ROUND(G239,1)&lt;18.5,"ขาด/เสี่ยงขาด",IF(ROUND(G239,1)&gt;=25,"เสี่ยงเกิน/เกิน","ปกติ")),IF(ROUND(G239,1)&lt;20,"ขาด/เสี่ยงขาด",IF(ROUND(G239,1)&gt;=25,"เสี่ยงเกิน/เกิน","ปกติ"))))</f>
        <v/>
      </c>
      <c r="AO239" t="str">
        <f>IF(OR(I239="",Participant_Data!G239=""),"",IF(Participant_Data!G239=1,IF(ROUND(I239,1)&lt;15,"ขาด/เสี่ยงขาด",IF(ROUND(I239,1)&gt;25,"เสี่ยงเกิน/เกิน","ปกติ")),IF(ROUND(I239,1)&lt;20,"ขาด/เสี่ยงขาด",IF(ROUND(I239,1)&gt;35,"เสี่ยงเกิน/เกิน","ปกติ"))))</f>
        <v/>
      </c>
      <c r="AP239" t="str">
        <f t="shared" si="7"/>
        <v/>
      </c>
    </row>
    <row r="240" spans="1:42">
      <c r="A240" s="2">
        <f>IF(Participant_Data!A240="","",Participant_Data!A240)</f>
        <v>239</v>
      </c>
      <c r="B240" s="2" t="str">
        <f>IF(Participant_Data!B240="","",Participant_Data!B240)</f>
        <v/>
      </c>
      <c r="C240" s="3" t="str">
        <f>IF(Participant_Data!C240="","",Participant_Data!C240)</f>
        <v/>
      </c>
      <c r="D240" s="5"/>
      <c r="E240" s="5"/>
      <c r="F240" s="5"/>
      <c r="G240" s="2" t="str">
        <f t="shared" si="6"/>
        <v/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2" t="str">
        <f t="shared" si="13"/>
        <v/>
      </c>
      <c r="V240" s="2" t="str">
        <f t="shared" si="14"/>
        <v/>
      </c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2" t="str">
        <f t="shared" si="15"/>
        <v/>
      </c>
      <c r="AJ240" s="2" t="str">
        <f t="shared" si="16"/>
        <v/>
      </c>
      <c r="AK240" s="2" t="str">
        <f t="shared" si="17"/>
        <v/>
      </c>
      <c r="AL240" s="2"/>
      <c r="AM240" s="2"/>
      <c r="AN240" t="str">
        <f>IF(OR(G240="",Participant_Data!E240=""),"",IF(Participant_Data!E240&lt;70,IF(ROUND(G240,1)&lt;18.5,"ขาด/เสี่ยงขาด",IF(ROUND(G240,1)&gt;=25,"เสี่ยงเกิน/เกิน","ปกติ")),IF(ROUND(G240,1)&lt;20,"ขาด/เสี่ยงขาด",IF(ROUND(G240,1)&gt;=25,"เสี่ยงเกิน/เกิน","ปกติ"))))</f>
        <v/>
      </c>
      <c r="AO240" t="str">
        <f>IF(OR(I240="",Participant_Data!G240=""),"",IF(Participant_Data!G240=1,IF(ROUND(I240,1)&lt;15,"ขาด/เสี่ยงขาด",IF(ROUND(I240,1)&gt;25,"เสี่ยงเกิน/เกิน","ปกติ")),IF(ROUND(I240,1)&lt;20,"ขาด/เสี่ยงขาด",IF(ROUND(I240,1)&gt;35,"เสี่ยงเกิน/เกิน","ปกติ"))))</f>
        <v/>
      </c>
      <c r="AP240" t="str">
        <f t="shared" si="7"/>
        <v/>
      </c>
    </row>
    <row r="241" spans="1:42">
      <c r="A241" s="2">
        <f>IF(Participant_Data!A241="","",Participant_Data!A241)</f>
        <v>240</v>
      </c>
      <c r="B241" s="2" t="str">
        <f>IF(Participant_Data!B241="","",Participant_Data!B241)</f>
        <v/>
      </c>
      <c r="C241" s="3" t="str">
        <f>IF(Participant_Data!C241="","",Participant_Data!C241)</f>
        <v/>
      </c>
      <c r="D241" s="5"/>
      <c r="E241" s="5"/>
      <c r="F241" s="5"/>
      <c r="G241" s="2" t="str">
        <f t="shared" si="6"/>
        <v/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2" t="str">
        <f t="shared" si="13"/>
        <v/>
      </c>
      <c r="V241" s="2" t="str">
        <f t="shared" si="14"/>
        <v/>
      </c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2" t="str">
        <f t="shared" si="15"/>
        <v/>
      </c>
      <c r="AJ241" s="2" t="str">
        <f t="shared" si="16"/>
        <v/>
      </c>
      <c r="AK241" s="2" t="str">
        <f t="shared" si="17"/>
        <v/>
      </c>
      <c r="AL241" s="2"/>
      <c r="AM241" s="2"/>
      <c r="AN241" t="str">
        <f>IF(OR(G241="",Participant_Data!E241=""),"",IF(Participant_Data!E241&lt;70,IF(ROUND(G241,1)&lt;18.5,"ขาด/เสี่ยงขาด",IF(ROUND(G241,1)&gt;=25,"เสี่ยงเกิน/เกิน","ปกติ")),IF(ROUND(G241,1)&lt;20,"ขาด/เสี่ยงขาด",IF(ROUND(G241,1)&gt;=25,"เสี่ยงเกิน/เกิน","ปกติ"))))</f>
        <v/>
      </c>
      <c r="AO241" t="str">
        <f>IF(OR(I241="",Participant_Data!G241=""),"",IF(Participant_Data!G241=1,IF(ROUND(I241,1)&lt;15,"ขาด/เสี่ยงขาด",IF(ROUND(I241,1)&gt;25,"เสี่ยงเกิน/เกิน","ปกติ")),IF(ROUND(I241,1)&lt;20,"ขาด/เสี่ยงขาด",IF(ROUND(I241,1)&gt;35,"เสี่ยงเกิน/เกิน","ปกติ"))))</f>
        <v/>
      </c>
      <c r="AP241" t="str">
        <f t="shared" si="7"/>
        <v/>
      </c>
    </row>
    <row r="242" spans="1:42">
      <c r="A242" s="2">
        <f>IF(Participant_Data!A242="","",Participant_Data!A242)</f>
        <v>241</v>
      </c>
      <c r="B242" s="2" t="str">
        <f>IF(Participant_Data!B242="","",Participant_Data!B242)</f>
        <v/>
      </c>
      <c r="C242" s="3" t="str">
        <f>IF(Participant_Data!C242="","",Participant_Data!C242)</f>
        <v/>
      </c>
      <c r="D242" s="5"/>
      <c r="E242" s="5"/>
      <c r="F242" s="5"/>
      <c r="G242" s="2" t="str">
        <f t="shared" si="6"/>
        <v/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2" t="str">
        <f t="shared" si="13"/>
        <v/>
      </c>
      <c r="V242" s="2" t="str">
        <f t="shared" si="14"/>
        <v/>
      </c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2" t="str">
        <f t="shared" si="15"/>
        <v/>
      </c>
      <c r="AJ242" s="2" t="str">
        <f t="shared" si="16"/>
        <v/>
      </c>
      <c r="AK242" s="2" t="str">
        <f t="shared" si="17"/>
        <v/>
      </c>
      <c r="AL242" s="2"/>
      <c r="AM242" s="2"/>
      <c r="AN242" t="str">
        <f>IF(OR(G242="",Participant_Data!E242=""),"",IF(Participant_Data!E242&lt;70,IF(ROUND(G242,1)&lt;18.5,"ขาด/เสี่ยงขาด",IF(ROUND(G242,1)&gt;=25,"เสี่ยงเกิน/เกิน","ปกติ")),IF(ROUND(G242,1)&lt;20,"ขาด/เสี่ยงขาด",IF(ROUND(G242,1)&gt;=25,"เสี่ยงเกิน/เกิน","ปกติ"))))</f>
        <v/>
      </c>
      <c r="AO242" t="str">
        <f>IF(OR(I242="",Participant_Data!G242=""),"",IF(Participant_Data!G242=1,IF(ROUND(I242,1)&lt;15,"ขาด/เสี่ยงขาด",IF(ROUND(I242,1)&gt;25,"เสี่ยงเกิน/เกิน","ปกติ")),IF(ROUND(I242,1)&lt;20,"ขาด/เสี่ยงขาด",IF(ROUND(I242,1)&gt;35,"เสี่ยงเกิน/เกิน","ปกติ"))))</f>
        <v/>
      </c>
      <c r="AP242" t="str">
        <f t="shared" si="7"/>
        <v/>
      </c>
    </row>
    <row r="243" spans="1:42">
      <c r="A243" s="2">
        <f>IF(Participant_Data!A243="","",Participant_Data!A243)</f>
        <v>242</v>
      </c>
      <c r="B243" s="2" t="str">
        <f>IF(Participant_Data!B243="","",Participant_Data!B243)</f>
        <v/>
      </c>
      <c r="C243" s="3" t="str">
        <f>IF(Participant_Data!C243="","",Participant_Data!C243)</f>
        <v/>
      </c>
      <c r="D243" s="5"/>
      <c r="E243" s="5"/>
      <c r="F243" s="5"/>
      <c r="G243" s="2" t="str">
        <f t="shared" si="6"/>
        <v/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2" t="str">
        <f t="shared" si="13"/>
        <v/>
      </c>
      <c r="V243" s="2" t="str">
        <f t="shared" si="14"/>
        <v/>
      </c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2" t="str">
        <f t="shared" si="15"/>
        <v/>
      </c>
      <c r="AJ243" s="2" t="str">
        <f t="shared" si="16"/>
        <v/>
      </c>
      <c r="AK243" s="2" t="str">
        <f t="shared" si="17"/>
        <v/>
      </c>
      <c r="AL243" s="2"/>
      <c r="AM243" s="2"/>
      <c r="AN243" t="str">
        <f>IF(OR(G243="",Participant_Data!E243=""),"",IF(Participant_Data!E243&lt;70,IF(ROUND(G243,1)&lt;18.5,"ขาด/เสี่ยงขาด",IF(ROUND(G243,1)&gt;=25,"เสี่ยงเกิน/เกิน","ปกติ")),IF(ROUND(G243,1)&lt;20,"ขาด/เสี่ยงขาด",IF(ROUND(G243,1)&gt;=25,"เสี่ยงเกิน/เกิน","ปกติ"))))</f>
        <v/>
      </c>
      <c r="AO243" t="str">
        <f>IF(OR(I243="",Participant_Data!G243=""),"",IF(Participant_Data!G243=1,IF(ROUND(I243,1)&lt;15,"ขาด/เสี่ยงขาด",IF(ROUND(I243,1)&gt;25,"เสี่ยงเกิน/เกิน","ปกติ")),IF(ROUND(I243,1)&lt;20,"ขาด/เสี่ยงขาด",IF(ROUND(I243,1)&gt;35,"เสี่ยงเกิน/เกิน","ปกติ"))))</f>
        <v/>
      </c>
      <c r="AP243" t="str">
        <f t="shared" si="7"/>
        <v/>
      </c>
    </row>
    <row r="244" spans="1:42">
      <c r="A244" s="2">
        <f>IF(Participant_Data!A244="","",Participant_Data!A244)</f>
        <v>243</v>
      </c>
      <c r="B244" s="2" t="str">
        <f>IF(Participant_Data!B244="","",Participant_Data!B244)</f>
        <v/>
      </c>
      <c r="C244" s="3" t="str">
        <f>IF(Participant_Data!C244="","",Participant_Data!C244)</f>
        <v/>
      </c>
      <c r="D244" s="5"/>
      <c r="E244" s="5"/>
      <c r="F244" s="5"/>
      <c r="G244" s="2" t="str">
        <f t="shared" si="6"/>
        <v/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2" t="str">
        <f t="shared" si="13"/>
        <v/>
      </c>
      <c r="V244" s="2" t="str">
        <f t="shared" si="14"/>
        <v/>
      </c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2" t="str">
        <f t="shared" si="15"/>
        <v/>
      </c>
      <c r="AJ244" s="2" t="str">
        <f t="shared" si="16"/>
        <v/>
      </c>
      <c r="AK244" s="2" t="str">
        <f t="shared" si="17"/>
        <v/>
      </c>
      <c r="AL244" s="2"/>
      <c r="AM244" s="2"/>
      <c r="AN244" t="str">
        <f>IF(OR(G244="",Participant_Data!E244=""),"",IF(Participant_Data!E244&lt;70,IF(ROUND(G244,1)&lt;18.5,"ขาด/เสี่ยงขาด",IF(ROUND(G244,1)&gt;=25,"เสี่ยงเกิน/เกิน","ปกติ")),IF(ROUND(G244,1)&lt;20,"ขาด/เสี่ยงขาด",IF(ROUND(G244,1)&gt;=25,"เสี่ยงเกิน/เกิน","ปกติ"))))</f>
        <v/>
      </c>
      <c r="AO244" t="str">
        <f>IF(OR(I244="",Participant_Data!G244=""),"",IF(Participant_Data!G244=1,IF(ROUND(I244,1)&lt;15,"ขาด/เสี่ยงขาด",IF(ROUND(I244,1)&gt;25,"เสี่ยงเกิน/เกิน","ปกติ")),IF(ROUND(I244,1)&lt;20,"ขาด/เสี่ยงขาด",IF(ROUND(I244,1)&gt;35,"เสี่ยงเกิน/เกิน","ปกติ"))))</f>
        <v/>
      </c>
      <c r="AP244" t="str">
        <f t="shared" si="7"/>
        <v/>
      </c>
    </row>
    <row r="245" spans="1:42">
      <c r="A245" s="2">
        <f>IF(Participant_Data!A245="","",Participant_Data!A245)</f>
        <v>244</v>
      </c>
      <c r="B245" s="2" t="str">
        <f>IF(Participant_Data!B245="","",Participant_Data!B245)</f>
        <v/>
      </c>
      <c r="C245" s="3" t="str">
        <f>IF(Participant_Data!C245="","",Participant_Data!C245)</f>
        <v/>
      </c>
      <c r="D245" s="5"/>
      <c r="E245" s="5"/>
      <c r="F245" s="5"/>
      <c r="G245" s="2" t="str">
        <f t="shared" si="6"/>
        <v/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2" t="str">
        <f t="shared" si="13"/>
        <v/>
      </c>
      <c r="V245" s="2" t="str">
        <f t="shared" si="14"/>
        <v/>
      </c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2" t="str">
        <f t="shared" si="15"/>
        <v/>
      </c>
      <c r="AJ245" s="2" t="str">
        <f t="shared" si="16"/>
        <v/>
      </c>
      <c r="AK245" s="2" t="str">
        <f t="shared" si="17"/>
        <v/>
      </c>
      <c r="AL245" s="2"/>
      <c r="AM245" s="2"/>
      <c r="AN245" t="str">
        <f>IF(OR(G245="",Participant_Data!E245=""),"",IF(Participant_Data!E245&lt;70,IF(ROUND(G245,1)&lt;18.5,"ขาด/เสี่ยงขาด",IF(ROUND(G245,1)&gt;=25,"เสี่ยงเกิน/เกิน","ปกติ")),IF(ROUND(G245,1)&lt;20,"ขาด/เสี่ยงขาด",IF(ROUND(G245,1)&gt;=25,"เสี่ยงเกิน/เกิน","ปกติ"))))</f>
        <v/>
      </c>
      <c r="AO245" t="str">
        <f>IF(OR(I245="",Participant_Data!G245=""),"",IF(Participant_Data!G245=1,IF(ROUND(I245,1)&lt;15,"ขาด/เสี่ยงขาด",IF(ROUND(I245,1)&gt;25,"เสี่ยงเกิน/เกิน","ปกติ")),IF(ROUND(I245,1)&lt;20,"ขาด/เสี่ยงขาด",IF(ROUND(I245,1)&gt;35,"เสี่ยงเกิน/เกิน","ปกติ"))))</f>
        <v/>
      </c>
      <c r="AP245" t="str">
        <f t="shared" si="7"/>
        <v/>
      </c>
    </row>
    <row r="246" spans="1:42">
      <c r="A246" s="2">
        <f>IF(Participant_Data!A246="","",Participant_Data!A246)</f>
        <v>245</v>
      </c>
      <c r="B246" s="2" t="str">
        <f>IF(Participant_Data!B246="","",Participant_Data!B246)</f>
        <v/>
      </c>
      <c r="C246" s="3" t="str">
        <f>IF(Participant_Data!C246="","",Participant_Data!C246)</f>
        <v/>
      </c>
      <c r="D246" s="5"/>
      <c r="E246" s="5"/>
      <c r="F246" s="5"/>
      <c r="G246" s="2" t="str">
        <f t="shared" si="6"/>
        <v/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2" t="str">
        <f t="shared" si="13"/>
        <v/>
      </c>
      <c r="V246" s="2" t="str">
        <f t="shared" si="14"/>
        <v/>
      </c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2" t="str">
        <f t="shared" si="15"/>
        <v/>
      </c>
      <c r="AJ246" s="2" t="str">
        <f t="shared" si="16"/>
        <v/>
      </c>
      <c r="AK246" s="2" t="str">
        <f t="shared" si="17"/>
        <v/>
      </c>
      <c r="AL246" s="2"/>
      <c r="AM246" s="2"/>
      <c r="AN246" t="str">
        <f>IF(OR(G246="",Participant_Data!E246=""),"",IF(Participant_Data!E246&lt;70,IF(ROUND(G246,1)&lt;18.5,"ขาด/เสี่ยงขาด",IF(ROUND(G246,1)&gt;=25,"เสี่ยงเกิน/เกิน","ปกติ")),IF(ROUND(G246,1)&lt;20,"ขาด/เสี่ยงขาด",IF(ROUND(G246,1)&gt;=25,"เสี่ยงเกิน/เกิน","ปกติ"))))</f>
        <v/>
      </c>
      <c r="AO246" t="str">
        <f>IF(OR(I246="",Participant_Data!G246=""),"",IF(Participant_Data!G246=1,IF(ROUND(I246,1)&lt;15,"ขาด/เสี่ยงขาด",IF(ROUND(I246,1)&gt;25,"เสี่ยงเกิน/เกิน","ปกติ")),IF(ROUND(I246,1)&lt;20,"ขาด/เสี่ยงขาด",IF(ROUND(I246,1)&gt;35,"เสี่ยงเกิน/เกิน","ปกติ"))))</f>
        <v/>
      </c>
      <c r="AP246" t="str">
        <f t="shared" si="7"/>
        <v/>
      </c>
    </row>
    <row r="247" spans="1:42">
      <c r="A247" s="2">
        <f>IF(Participant_Data!A247="","",Participant_Data!A247)</f>
        <v>246</v>
      </c>
      <c r="B247" s="2" t="str">
        <f>IF(Participant_Data!B247="","",Participant_Data!B247)</f>
        <v/>
      </c>
      <c r="C247" s="3" t="str">
        <f>IF(Participant_Data!C247="","",Participant_Data!C247)</f>
        <v/>
      </c>
      <c r="D247" s="5"/>
      <c r="E247" s="5"/>
      <c r="F247" s="5"/>
      <c r="G247" s="2" t="str">
        <f t="shared" si="6"/>
        <v/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2" t="str">
        <f t="shared" si="13"/>
        <v/>
      </c>
      <c r="V247" s="2" t="str">
        <f t="shared" si="14"/>
        <v/>
      </c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2" t="str">
        <f t="shared" si="15"/>
        <v/>
      </c>
      <c r="AJ247" s="2" t="str">
        <f t="shared" si="16"/>
        <v/>
      </c>
      <c r="AK247" s="2" t="str">
        <f t="shared" si="17"/>
        <v/>
      </c>
      <c r="AL247" s="2"/>
      <c r="AM247" s="2"/>
      <c r="AN247" t="str">
        <f>IF(OR(G247="",Participant_Data!E247=""),"",IF(Participant_Data!E247&lt;70,IF(ROUND(G247,1)&lt;18.5,"ขาด/เสี่ยงขาด",IF(ROUND(G247,1)&gt;=25,"เสี่ยงเกิน/เกิน","ปกติ")),IF(ROUND(G247,1)&lt;20,"ขาด/เสี่ยงขาด",IF(ROUND(G247,1)&gt;=25,"เสี่ยงเกิน/เกิน","ปกติ"))))</f>
        <v/>
      </c>
      <c r="AO247" t="str">
        <f>IF(OR(I247="",Participant_Data!G247=""),"",IF(Participant_Data!G247=1,IF(ROUND(I247,1)&lt;15,"ขาด/เสี่ยงขาด",IF(ROUND(I247,1)&gt;25,"เสี่ยงเกิน/เกิน","ปกติ")),IF(ROUND(I247,1)&lt;20,"ขาด/เสี่ยงขาด",IF(ROUND(I247,1)&gt;35,"เสี่ยงเกิน/เกิน","ปกติ"))))</f>
        <v/>
      </c>
      <c r="AP247" t="str">
        <f t="shared" si="7"/>
        <v/>
      </c>
    </row>
    <row r="248" spans="1:42">
      <c r="A248" s="2">
        <f>IF(Participant_Data!A248="","",Participant_Data!A248)</f>
        <v>247</v>
      </c>
      <c r="B248" s="2" t="str">
        <f>IF(Participant_Data!B248="","",Participant_Data!B248)</f>
        <v/>
      </c>
      <c r="C248" s="3" t="str">
        <f>IF(Participant_Data!C248="","",Participant_Data!C248)</f>
        <v/>
      </c>
      <c r="D248" s="5"/>
      <c r="E248" s="5"/>
      <c r="F248" s="5"/>
      <c r="G248" s="2" t="str">
        <f t="shared" si="6"/>
        <v/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2" t="str">
        <f t="shared" si="13"/>
        <v/>
      </c>
      <c r="V248" s="2" t="str">
        <f t="shared" si="14"/>
        <v/>
      </c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2" t="str">
        <f t="shared" si="15"/>
        <v/>
      </c>
      <c r="AJ248" s="2" t="str">
        <f t="shared" si="16"/>
        <v/>
      </c>
      <c r="AK248" s="2" t="str">
        <f t="shared" si="17"/>
        <v/>
      </c>
      <c r="AL248" s="2"/>
      <c r="AM248" s="2"/>
      <c r="AN248" t="str">
        <f>IF(OR(G248="",Participant_Data!E248=""),"",IF(Participant_Data!E248&lt;70,IF(ROUND(G248,1)&lt;18.5,"ขาด/เสี่ยงขาด",IF(ROUND(G248,1)&gt;=25,"เสี่ยงเกิน/เกิน","ปกติ")),IF(ROUND(G248,1)&lt;20,"ขาด/เสี่ยงขาด",IF(ROUND(G248,1)&gt;=25,"เสี่ยงเกิน/เกิน","ปกติ"))))</f>
        <v/>
      </c>
      <c r="AO248" t="str">
        <f>IF(OR(I248="",Participant_Data!G248=""),"",IF(Participant_Data!G248=1,IF(ROUND(I248,1)&lt;15,"ขาด/เสี่ยงขาด",IF(ROUND(I248,1)&gt;25,"เสี่ยงเกิน/เกิน","ปกติ")),IF(ROUND(I248,1)&lt;20,"ขาด/เสี่ยงขาด",IF(ROUND(I248,1)&gt;35,"เสี่ยงเกิน/เกิน","ปกติ"))))</f>
        <v/>
      </c>
      <c r="AP248" t="str">
        <f t="shared" si="7"/>
        <v/>
      </c>
    </row>
    <row r="249" spans="1:42">
      <c r="A249" s="2">
        <f>IF(Participant_Data!A249="","",Participant_Data!A249)</f>
        <v>248</v>
      </c>
      <c r="B249" s="2" t="str">
        <f>IF(Participant_Data!B249="","",Participant_Data!B249)</f>
        <v/>
      </c>
      <c r="C249" s="3" t="str">
        <f>IF(Participant_Data!C249="","",Participant_Data!C249)</f>
        <v/>
      </c>
      <c r="D249" s="5"/>
      <c r="E249" s="5"/>
      <c r="F249" s="5"/>
      <c r="G249" s="2" t="str">
        <f t="shared" si="6"/>
        <v/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2" t="str">
        <f t="shared" si="13"/>
        <v/>
      </c>
      <c r="V249" s="2" t="str">
        <f t="shared" si="14"/>
        <v/>
      </c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2" t="str">
        <f t="shared" si="15"/>
        <v/>
      </c>
      <c r="AJ249" s="2" t="str">
        <f t="shared" si="16"/>
        <v/>
      </c>
      <c r="AK249" s="2" t="str">
        <f t="shared" si="17"/>
        <v/>
      </c>
      <c r="AL249" s="2"/>
      <c r="AM249" s="2"/>
      <c r="AN249" t="str">
        <f>IF(OR(G249="",Participant_Data!E249=""),"",IF(Participant_Data!E249&lt;70,IF(ROUND(G249,1)&lt;18.5,"ขาด/เสี่ยงขาด",IF(ROUND(G249,1)&gt;=25,"เสี่ยงเกิน/เกิน","ปกติ")),IF(ROUND(G249,1)&lt;20,"ขาด/เสี่ยงขาด",IF(ROUND(G249,1)&gt;=25,"เสี่ยงเกิน/เกิน","ปกติ"))))</f>
        <v/>
      </c>
      <c r="AO249" t="str">
        <f>IF(OR(I249="",Participant_Data!G249=""),"",IF(Participant_Data!G249=1,IF(ROUND(I249,1)&lt;15,"ขาด/เสี่ยงขาด",IF(ROUND(I249,1)&gt;25,"เสี่ยงเกิน/เกิน","ปกติ")),IF(ROUND(I249,1)&lt;20,"ขาด/เสี่ยงขาด",IF(ROUND(I249,1)&gt;35,"เสี่ยงเกิน/เกิน","ปกติ"))))</f>
        <v/>
      </c>
      <c r="AP249" t="str">
        <f t="shared" si="7"/>
        <v/>
      </c>
    </row>
    <row r="250" spans="1:42">
      <c r="A250" s="2">
        <f>IF(Participant_Data!A250="","",Participant_Data!A250)</f>
        <v>249</v>
      </c>
      <c r="B250" s="2" t="str">
        <f>IF(Participant_Data!B250="","",Participant_Data!B250)</f>
        <v/>
      </c>
      <c r="C250" s="3" t="str">
        <f>IF(Participant_Data!C250="","",Participant_Data!C250)</f>
        <v/>
      </c>
      <c r="D250" s="5"/>
      <c r="E250" s="5"/>
      <c r="F250" s="5"/>
      <c r="G250" s="2" t="str">
        <f t="shared" si="6"/>
        <v/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2" t="str">
        <f t="shared" si="13"/>
        <v/>
      </c>
      <c r="V250" s="2" t="str">
        <f t="shared" si="14"/>
        <v/>
      </c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2" t="str">
        <f t="shared" si="15"/>
        <v/>
      </c>
      <c r="AJ250" s="2" t="str">
        <f t="shared" si="16"/>
        <v/>
      </c>
      <c r="AK250" s="2" t="str">
        <f t="shared" si="17"/>
        <v/>
      </c>
      <c r="AL250" s="2"/>
      <c r="AM250" s="2"/>
      <c r="AN250" t="str">
        <f>IF(OR(G250="",Participant_Data!E250=""),"",IF(Participant_Data!E250&lt;70,IF(ROUND(G250,1)&lt;18.5,"ขาด/เสี่ยงขาด",IF(ROUND(G250,1)&gt;=25,"เสี่ยงเกิน/เกิน","ปกติ")),IF(ROUND(G250,1)&lt;20,"ขาด/เสี่ยงขาด",IF(ROUND(G250,1)&gt;=25,"เสี่ยงเกิน/เกิน","ปกติ"))))</f>
        <v/>
      </c>
      <c r="AO250" t="str">
        <f>IF(OR(I250="",Participant_Data!G250=""),"",IF(Participant_Data!G250=1,IF(ROUND(I250,1)&lt;15,"ขาด/เสี่ยงขาด",IF(ROUND(I250,1)&gt;25,"เสี่ยงเกิน/เกิน","ปกติ")),IF(ROUND(I250,1)&lt;20,"ขาด/เสี่ยงขาด",IF(ROUND(I250,1)&gt;35,"เสี่ยงเกิน/เกิน","ปกติ"))))</f>
        <v/>
      </c>
      <c r="AP250" t="str">
        <f t="shared" si="7"/>
        <v/>
      </c>
    </row>
    <row r="251" spans="1:42">
      <c r="A251" s="2">
        <f>IF(Participant_Data!A251="","",Participant_Data!A251)</f>
        <v>250</v>
      </c>
      <c r="B251" s="2" t="str">
        <f>IF(Participant_Data!B251="","",Participant_Data!B251)</f>
        <v/>
      </c>
      <c r="C251" s="3" t="str">
        <f>IF(Participant_Data!C251="","",Participant_Data!C251)</f>
        <v/>
      </c>
      <c r="D251" s="5"/>
      <c r="E251" s="5"/>
      <c r="F251" s="5"/>
      <c r="G251" s="2" t="str">
        <f t="shared" si="6"/>
        <v/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2" t="str">
        <f t="shared" si="13"/>
        <v/>
      </c>
      <c r="V251" s="2" t="str">
        <f t="shared" si="14"/>
        <v/>
      </c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2" t="str">
        <f t="shared" si="15"/>
        <v/>
      </c>
      <c r="AJ251" s="2" t="str">
        <f t="shared" si="16"/>
        <v/>
      </c>
      <c r="AK251" s="2" t="str">
        <f t="shared" si="17"/>
        <v/>
      </c>
      <c r="AL251" s="2"/>
      <c r="AM251" s="2"/>
      <c r="AN251" t="str">
        <f>IF(OR(G251="",Participant_Data!E251=""),"",IF(Participant_Data!E251&lt;70,IF(ROUND(G251,1)&lt;18.5,"ขาด/เสี่ยงขาด",IF(ROUND(G251,1)&gt;=25,"เสี่ยงเกิน/เกิน","ปกติ")),IF(ROUND(G251,1)&lt;20,"ขาด/เสี่ยงขาด",IF(ROUND(G251,1)&gt;=25,"เสี่ยงเกิน/เกิน","ปกติ"))))</f>
        <v/>
      </c>
      <c r="AO251" t="str">
        <f>IF(OR(I251="",Participant_Data!G251=""),"",IF(Participant_Data!G251=1,IF(ROUND(I251,1)&lt;15,"ขาด/เสี่ยงขาด",IF(ROUND(I251,1)&gt;25,"เสี่ยงเกิน/เกิน","ปกติ")),IF(ROUND(I251,1)&lt;20,"ขาด/เสี่ยงขาด",IF(ROUND(I251,1)&gt;35,"เสี่ยงเกิน/เกิน","ปกติ"))))</f>
        <v/>
      </c>
      <c r="AP251" t="str">
        <f t="shared" si="7"/>
        <v/>
      </c>
    </row>
    <row r="252" spans="1:42">
      <c r="A252" s="2">
        <f>IF(Participant_Data!A252="","",Participant_Data!A252)</f>
        <v>251</v>
      </c>
      <c r="B252" s="2" t="str">
        <f>IF(Participant_Data!B252="","",Participant_Data!B252)</f>
        <v/>
      </c>
      <c r="C252" s="3" t="str">
        <f>IF(Participant_Data!C252="","",Participant_Data!C252)</f>
        <v/>
      </c>
      <c r="D252" s="5"/>
      <c r="E252" s="5"/>
      <c r="F252" s="5"/>
      <c r="G252" s="2" t="str">
        <f t="shared" si="6"/>
        <v/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2" t="str">
        <f t="shared" si="13"/>
        <v/>
      </c>
      <c r="V252" s="2" t="str">
        <f t="shared" si="14"/>
        <v/>
      </c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2" t="str">
        <f t="shared" si="15"/>
        <v/>
      </c>
      <c r="AJ252" s="2" t="str">
        <f t="shared" si="16"/>
        <v/>
      </c>
      <c r="AK252" s="2" t="str">
        <f t="shared" si="17"/>
        <v/>
      </c>
      <c r="AL252" s="2"/>
      <c r="AM252" s="2"/>
      <c r="AN252" t="str">
        <f>IF(OR(G252="",Participant_Data!E252=""),"",IF(Participant_Data!E252&lt;70,IF(ROUND(G252,1)&lt;18.5,"ขาด/เสี่ยงขาด",IF(ROUND(G252,1)&gt;=25,"เสี่ยงเกิน/เกิน","ปกติ")),IF(ROUND(G252,1)&lt;20,"ขาด/เสี่ยงขาด",IF(ROUND(G252,1)&gt;=25,"เสี่ยงเกิน/เกิน","ปกติ"))))</f>
        <v/>
      </c>
      <c r="AO252" t="str">
        <f>IF(OR(I252="",Participant_Data!G252=""),"",IF(Participant_Data!G252=1,IF(ROUND(I252,1)&lt;15,"ขาด/เสี่ยงขาด",IF(ROUND(I252,1)&gt;25,"เสี่ยงเกิน/เกิน","ปกติ")),IF(ROUND(I252,1)&lt;20,"ขาด/เสี่ยงขาด",IF(ROUND(I252,1)&gt;35,"เสี่ยงเกิน/เกิน","ปกติ"))))</f>
        <v/>
      </c>
      <c r="AP252" t="str">
        <f t="shared" si="7"/>
        <v/>
      </c>
    </row>
    <row r="253" spans="1:42">
      <c r="A253" s="2">
        <f>IF(Participant_Data!A253="","",Participant_Data!A253)</f>
        <v>252</v>
      </c>
      <c r="B253" s="2" t="str">
        <f>IF(Participant_Data!B253="","",Participant_Data!B253)</f>
        <v/>
      </c>
      <c r="C253" s="3" t="str">
        <f>IF(Participant_Data!C253="","",Participant_Data!C253)</f>
        <v/>
      </c>
      <c r="D253" s="5"/>
      <c r="E253" s="5"/>
      <c r="F253" s="5"/>
      <c r="G253" s="2" t="str">
        <f t="shared" si="6"/>
        <v/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2" t="str">
        <f t="shared" si="13"/>
        <v/>
      </c>
      <c r="V253" s="2" t="str">
        <f t="shared" si="14"/>
        <v/>
      </c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2" t="str">
        <f t="shared" si="15"/>
        <v/>
      </c>
      <c r="AJ253" s="2" t="str">
        <f t="shared" si="16"/>
        <v/>
      </c>
      <c r="AK253" s="2" t="str">
        <f t="shared" si="17"/>
        <v/>
      </c>
      <c r="AL253" s="2"/>
      <c r="AM253" s="2"/>
      <c r="AN253" t="str">
        <f>IF(OR(G253="",Participant_Data!E253=""),"",IF(Participant_Data!E253&lt;70,IF(ROUND(G253,1)&lt;18.5,"ขาด/เสี่ยงขาด",IF(ROUND(G253,1)&gt;=25,"เสี่ยงเกิน/เกิน","ปกติ")),IF(ROUND(G253,1)&lt;20,"ขาด/เสี่ยงขาด",IF(ROUND(G253,1)&gt;=25,"เสี่ยงเกิน/เกิน","ปกติ"))))</f>
        <v/>
      </c>
      <c r="AO253" t="str">
        <f>IF(OR(I253="",Participant_Data!G253=""),"",IF(Participant_Data!G253=1,IF(ROUND(I253,1)&lt;15,"ขาด/เสี่ยงขาด",IF(ROUND(I253,1)&gt;25,"เสี่ยงเกิน/เกิน","ปกติ")),IF(ROUND(I253,1)&lt;20,"ขาด/เสี่ยงขาด",IF(ROUND(I253,1)&gt;35,"เสี่ยงเกิน/เกิน","ปกติ"))))</f>
        <v/>
      </c>
      <c r="AP253" t="str">
        <f t="shared" si="7"/>
        <v/>
      </c>
    </row>
    <row r="254" spans="1:42">
      <c r="A254" s="2">
        <f>IF(Participant_Data!A254="","",Participant_Data!A254)</f>
        <v>253</v>
      </c>
      <c r="B254" s="2" t="str">
        <f>IF(Participant_Data!B254="","",Participant_Data!B254)</f>
        <v/>
      </c>
      <c r="C254" s="3" t="str">
        <f>IF(Participant_Data!C254="","",Participant_Data!C254)</f>
        <v/>
      </c>
      <c r="D254" s="5"/>
      <c r="E254" s="5"/>
      <c r="F254" s="5"/>
      <c r="G254" s="2" t="str">
        <f t="shared" si="6"/>
        <v/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2" t="str">
        <f t="shared" si="13"/>
        <v/>
      </c>
      <c r="V254" s="2" t="str">
        <f t="shared" si="14"/>
        <v/>
      </c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2" t="str">
        <f t="shared" si="15"/>
        <v/>
      </c>
      <c r="AJ254" s="2" t="str">
        <f t="shared" si="16"/>
        <v/>
      </c>
      <c r="AK254" s="2" t="str">
        <f t="shared" si="17"/>
        <v/>
      </c>
      <c r="AL254" s="2"/>
      <c r="AM254" s="2"/>
      <c r="AN254" t="str">
        <f>IF(OR(G254="",Participant_Data!E254=""),"",IF(Participant_Data!E254&lt;70,IF(ROUND(G254,1)&lt;18.5,"ขาด/เสี่ยงขาด",IF(ROUND(G254,1)&gt;=25,"เสี่ยงเกิน/เกิน","ปกติ")),IF(ROUND(G254,1)&lt;20,"ขาด/เสี่ยงขาด",IF(ROUND(G254,1)&gt;=25,"เสี่ยงเกิน/เกิน","ปกติ"))))</f>
        <v/>
      </c>
      <c r="AO254" t="str">
        <f>IF(OR(I254="",Participant_Data!G254=""),"",IF(Participant_Data!G254=1,IF(ROUND(I254,1)&lt;15,"ขาด/เสี่ยงขาด",IF(ROUND(I254,1)&gt;25,"เสี่ยงเกิน/เกิน","ปกติ")),IF(ROUND(I254,1)&lt;20,"ขาด/เสี่ยงขาด",IF(ROUND(I254,1)&gt;35,"เสี่ยงเกิน/เกิน","ปกติ"))))</f>
        <v/>
      </c>
      <c r="AP254" t="str">
        <f t="shared" si="7"/>
        <v/>
      </c>
    </row>
    <row r="255" spans="1:42">
      <c r="A255" s="2">
        <f>IF(Participant_Data!A255="","",Participant_Data!A255)</f>
        <v>254</v>
      </c>
      <c r="B255" s="2" t="str">
        <f>IF(Participant_Data!B255="","",Participant_Data!B255)</f>
        <v/>
      </c>
      <c r="C255" s="3" t="str">
        <f>IF(Participant_Data!C255="","",Participant_Data!C255)</f>
        <v/>
      </c>
      <c r="D255" s="5"/>
      <c r="E255" s="5"/>
      <c r="F255" s="5"/>
      <c r="G255" s="2" t="str">
        <f t="shared" si="6"/>
        <v/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2" t="str">
        <f t="shared" si="13"/>
        <v/>
      </c>
      <c r="V255" s="2" t="str">
        <f t="shared" si="14"/>
        <v/>
      </c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2" t="str">
        <f t="shared" si="15"/>
        <v/>
      </c>
      <c r="AJ255" s="2" t="str">
        <f t="shared" si="16"/>
        <v/>
      </c>
      <c r="AK255" s="2" t="str">
        <f t="shared" si="17"/>
        <v/>
      </c>
      <c r="AL255" s="2"/>
      <c r="AM255" s="2"/>
      <c r="AN255" t="str">
        <f>IF(OR(G255="",Participant_Data!E255=""),"",IF(Participant_Data!E255&lt;70,IF(ROUND(G255,1)&lt;18.5,"ขาด/เสี่ยงขาด",IF(ROUND(G255,1)&gt;=25,"เสี่ยงเกิน/เกิน","ปกติ")),IF(ROUND(G255,1)&lt;20,"ขาด/เสี่ยงขาด",IF(ROUND(G255,1)&gt;=25,"เสี่ยงเกิน/เกิน","ปกติ"))))</f>
        <v/>
      </c>
      <c r="AO255" t="str">
        <f>IF(OR(I255="",Participant_Data!G255=""),"",IF(Participant_Data!G255=1,IF(ROUND(I255,1)&lt;15,"ขาด/เสี่ยงขาด",IF(ROUND(I255,1)&gt;25,"เสี่ยงเกิน/เกิน","ปกติ")),IF(ROUND(I255,1)&lt;20,"ขาด/เสี่ยงขาด",IF(ROUND(I255,1)&gt;35,"เสี่ยงเกิน/เกิน","ปกติ"))))</f>
        <v/>
      </c>
      <c r="AP255" t="str">
        <f t="shared" si="7"/>
        <v/>
      </c>
    </row>
    <row r="256" spans="1:42">
      <c r="A256" s="2">
        <f>IF(Participant_Data!A256="","",Participant_Data!A256)</f>
        <v>255</v>
      </c>
      <c r="B256" s="2" t="str">
        <f>IF(Participant_Data!B256="","",Participant_Data!B256)</f>
        <v/>
      </c>
      <c r="C256" s="3" t="str">
        <f>IF(Participant_Data!C256="","",Participant_Data!C256)</f>
        <v/>
      </c>
      <c r="D256" s="5"/>
      <c r="E256" s="5"/>
      <c r="F256" s="5"/>
      <c r="G256" s="2" t="str">
        <f t="shared" si="6"/>
        <v/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2" t="str">
        <f t="shared" si="13"/>
        <v/>
      </c>
      <c r="V256" s="2" t="str">
        <f t="shared" si="14"/>
        <v/>
      </c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2" t="str">
        <f t="shared" si="15"/>
        <v/>
      </c>
      <c r="AJ256" s="2" t="str">
        <f t="shared" si="16"/>
        <v/>
      </c>
      <c r="AK256" s="2" t="str">
        <f t="shared" si="17"/>
        <v/>
      </c>
      <c r="AL256" s="2"/>
      <c r="AM256" s="2"/>
      <c r="AN256" t="str">
        <f>IF(OR(G256="",Participant_Data!E256=""),"",IF(Participant_Data!E256&lt;70,IF(ROUND(G256,1)&lt;18.5,"ขาด/เสี่ยงขาด",IF(ROUND(G256,1)&gt;=25,"เสี่ยงเกิน/เกิน","ปกติ")),IF(ROUND(G256,1)&lt;20,"ขาด/เสี่ยงขาด",IF(ROUND(G256,1)&gt;=25,"เสี่ยงเกิน/เกิน","ปกติ"))))</f>
        <v/>
      </c>
      <c r="AO256" t="str">
        <f>IF(OR(I256="",Participant_Data!G256=""),"",IF(Participant_Data!G256=1,IF(ROUND(I256,1)&lt;15,"ขาด/เสี่ยงขาด",IF(ROUND(I256,1)&gt;25,"เสี่ยงเกิน/เกิน","ปกติ")),IF(ROUND(I256,1)&lt;20,"ขาด/เสี่ยงขาด",IF(ROUND(I256,1)&gt;35,"เสี่ยงเกิน/เกิน","ปกติ"))))</f>
        <v/>
      </c>
      <c r="AP256" t="str">
        <f t="shared" si="7"/>
        <v/>
      </c>
    </row>
    <row r="257" spans="1:42">
      <c r="A257" s="2">
        <f>IF(Participant_Data!A257="","",Participant_Data!A257)</f>
        <v>256</v>
      </c>
      <c r="B257" s="2" t="str">
        <f>IF(Participant_Data!B257="","",Participant_Data!B257)</f>
        <v/>
      </c>
      <c r="C257" s="3" t="str">
        <f>IF(Participant_Data!C257="","",Participant_Data!C257)</f>
        <v/>
      </c>
      <c r="D257" s="5"/>
      <c r="E257" s="5"/>
      <c r="F257" s="5"/>
      <c r="G257" s="2" t="str">
        <f t="shared" si="6"/>
        <v/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2" t="str">
        <f t="shared" si="13"/>
        <v/>
      </c>
      <c r="V257" s="2" t="str">
        <f t="shared" si="14"/>
        <v/>
      </c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2" t="str">
        <f t="shared" si="15"/>
        <v/>
      </c>
      <c r="AJ257" s="2" t="str">
        <f t="shared" si="16"/>
        <v/>
      </c>
      <c r="AK257" s="2" t="str">
        <f t="shared" si="17"/>
        <v/>
      </c>
      <c r="AL257" s="2"/>
      <c r="AM257" s="2"/>
      <c r="AN257" t="str">
        <f>IF(OR(G257="",Participant_Data!E257=""),"",IF(Participant_Data!E257&lt;70,IF(ROUND(G257,1)&lt;18.5,"ขาด/เสี่ยงขาด",IF(ROUND(G257,1)&gt;=25,"เสี่ยงเกิน/เกิน","ปกติ")),IF(ROUND(G257,1)&lt;20,"ขาด/เสี่ยงขาด",IF(ROUND(G257,1)&gt;=25,"เสี่ยงเกิน/เกิน","ปกติ"))))</f>
        <v/>
      </c>
      <c r="AO257" t="str">
        <f>IF(OR(I257="",Participant_Data!G257=""),"",IF(Participant_Data!G257=1,IF(ROUND(I257,1)&lt;15,"ขาด/เสี่ยงขาด",IF(ROUND(I257,1)&gt;25,"เสี่ยงเกิน/เกิน","ปกติ")),IF(ROUND(I257,1)&lt;20,"ขาด/เสี่ยงขาด",IF(ROUND(I257,1)&gt;35,"เสี่ยงเกิน/เกิน","ปกติ"))))</f>
        <v/>
      </c>
      <c r="AP257" t="str">
        <f t="shared" si="7"/>
        <v/>
      </c>
    </row>
    <row r="258" spans="1:42">
      <c r="A258" s="2">
        <f>IF(Participant_Data!A258="","",Participant_Data!A258)</f>
        <v>257</v>
      </c>
      <c r="B258" s="2" t="str">
        <f>IF(Participant_Data!B258="","",Participant_Data!B258)</f>
        <v/>
      </c>
      <c r="C258" s="3" t="str">
        <f>IF(Participant_Data!C258="","",Participant_Data!C258)</f>
        <v/>
      </c>
      <c r="D258" s="5"/>
      <c r="E258" s="5"/>
      <c r="F258" s="5"/>
      <c r="G258" s="2" t="str">
        <f t="shared" ref="G258:G321" si="18">IF(OR(E258="",F258=""),"",F258/((E258/100)^2))</f>
        <v/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2" t="str">
        <f t="shared" si="13"/>
        <v/>
      </c>
      <c r="V258" s="2" t="str">
        <f t="shared" si="14"/>
        <v/>
      </c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2" t="str">
        <f t="shared" si="15"/>
        <v/>
      </c>
      <c r="AJ258" s="2" t="str">
        <f t="shared" si="16"/>
        <v/>
      </c>
      <c r="AK258" s="2" t="str">
        <f t="shared" si="17"/>
        <v/>
      </c>
      <c r="AL258" s="2"/>
      <c r="AM258" s="2"/>
      <c r="AN258" t="str">
        <f>IF(OR(G258="",Participant_Data!E258=""),"",IF(Participant_Data!E258&lt;70,IF(ROUND(G258,1)&lt;18.5,"ขาด/เสี่ยงขาด",IF(ROUND(G258,1)&gt;=25,"เสี่ยงเกิน/เกิน","ปกติ")),IF(ROUND(G258,1)&lt;20,"ขาด/เสี่ยงขาด",IF(ROUND(G258,1)&gt;=25,"เสี่ยงเกิน/เกิน","ปกติ"))))</f>
        <v/>
      </c>
      <c r="AO258" t="str">
        <f>IF(OR(I258="",Participant_Data!G258=""),"",IF(Participant_Data!G258=1,IF(ROUND(I258,1)&lt;15,"ขาด/เสี่ยงขาด",IF(ROUND(I258,1)&gt;25,"เสี่ยงเกิน/เกิน","ปกติ")),IF(ROUND(I258,1)&lt;20,"ขาด/เสี่ยงขาด",IF(ROUND(I258,1)&gt;35,"เสี่ยงเกิน/เกิน","ปกติ"))))</f>
        <v/>
      </c>
      <c r="AP258" t="str">
        <f t="shared" ref="AP258:AP321" si="19">IF(OR(AN258="",AO258=""),"",IF(OR(AN258="ขาด/เสี่ยงขาด",AO258="ขาด/เสี่ยงขาด"),"ขาด/เสี่ยงขาด",IF(OR(AN258="เสี่ยงเกิน/เกิน",AO258="เสี่ยงเกิน/เกิน"),"เสี่ยงเกิน/เกิน","ปกติ")))</f>
        <v/>
      </c>
    </row>
    <row r="259" spans="1:42">
      <c r="A259" s="2">
        <f>IF(Participant_Data!A259="","",Participant_Data!A259)</f>
        <v>258</v>
      </c>
      <c r="B259" s="2" t="str">
        <f>IF(Participant_Data!B259="","",Participant_Data!B259)</f>
        <v/>
      </c>
      <c r="C259" s="3" t="str">
        <f>IF(Participant_Data!C259="","",Participant_Data!C259)</f>
        <v/>
      </c>
      <c r="D259" s="5"/>
      <c r="E259" s="5"/>
      <c r="F259" s="5"/>
      <c r="G259" s="2" t="str">
        <f t="shared" si="18"/>
        <v/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2" t="str">
        <f t="shared" si="13"/>
        <v/>
      </c>
      <c r="V259" s="2" t="str">
        <f t="shared" si="14"/>
        <v/>
      </c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2" t="str">
        <f t="shared" si="15"/>
        <v/>
      </c>
      <c r="AJ259" s="2" t="str">
        <f t="shared" si="16"/>
        <v/>
      </c>
      <c r="AK259" s="2" t="str">
        <f t="shared" si="17"/>
        <v/>
      </c>
      <c r="AL259" s="2"/>
      <c r="AM259" s="2"/>
      <c r="AN259" t="str">
        <f>IF(OR(G259="",Participant_Data!E259=""),"",IF(Participant_Data!E259&lt;70,IF(ROUND(G259,1)&lt;18.5,"ขาด/เสี่ยงขาด",IF(ROUND(G259,1)&gt;=25,"เสี่ยงเกิน/เกิน","ปกติ")),IF(ROUND(G259,1)&lt;20,"ขาด/เสี่ยงขาด",IF(ROUND(G259,1)&gt;=25,"เสี่ยงเกิน/เกิน","ปกติ"))))</f>
        <v/>
      </c>
      <c r="AO259" t="str">
        <f>IF(OR(I259="",Participant_Data!G259=""),"",IF(Participant_Data!G259=1,IF(ROUND(I259,1)&lt;15,"ขาด/เสี่ยงขาด",IF(ROUND(I259,1)&gt;25,"เสี่ยงเกิน/เกิน","ปกติ")),IF(ROUND(I259,1)&lt;20,"ขาด/เสี่ยงขาด",IF(ROUND(I259,1)&gt;35,"เสี่ยงเกิน/เกิน","ปกติ"))))</f>
        <v/>
      </c>
      <c r="AP259" t="str">
        <f t="shared" si="19"/>
        <v/>
      </c>
    </row>
    <row r="260" spans="1:42">
      <c r="A260" s="2">
        <f>IF(Participant_Data!A260="","",Participant_Data!A260)</f>
        <v>259</v>
      </c>
      <c r="B260" s="2" t="str">
        <f>IF(Participant_Data!B260="","",Participant_Data!B260)</f>
        <v/>
      </c>
      <c r="C260" s="3" t="str">
        <f>IF(Participant_Data!C260="","",Participant_Data!C260)</f>
        <v/>
      </c>
      <c r="D260" s="5"/>
      <c r="E260" s="5"/>
      <c r="F260" s="5"/>
      <c r="G260" s="2" t="str">
        <f t="shared" si="18"/>
        <v/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2" t="str">
        <f t="shared" si="13"/>
        <v/>
      </c>
      <c r="V260" s="2" t="str">
        <f t="shared" si="14"/>
        <v/>
      </c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2" t="str">
        <f t="shared" si="15"/>
        <v/>
      </c>
      <c r="AJ260" s="2" t="str">
        <f t="shared" si="16"/>
        <v/>
      </c>
      <c r="AK260" s="2" t="str">
        <f t="shared" si="17"/>
        <v/>
      </c>
      <c r="AL260" s="2"/>
      <c r="AM260" s="2"/>
      <c r="AN260" t="str">
        <f>IF(OR(G260="",Participant_Data!E260=""),"",IF(Participant_Data!E260&lt;70,IF(ROUND(G260,1)&lt;18.5,"ขาด/เสี่ยงขาด",IF(ROUND(G260,1)&gt;=25,"เสี่ยงเกิน/เกิน","ปกติ")),IF(ROUND(G260,1)&lt;20,"ขาด/เสี่ยงขาด",IF(ROUND(G260,1)&gt;=25,"เสี่ยงเกิน/เกิน","ปกติ"))))</f>
        <v/>
      </c>
      <c r="AO260" t="str">
        <f>IF(OR(I260="",Participant_Data!G260=""),"",IF(Participant_Data!G260=1,IF(ROUND(I260,1)&lt;15,"ขาด/เสี่ยงขาด",IF(ROUND(I260,1)&gt;25,"เสี่ยงเกิน/เกิน","ปกติ")),IF(ROUND(I260,1)&lt;20,"ขาด/เสี่ยงขาด",IF(ROUND(I260,1)&gt;35,"เสี่ยงเกิน/เกิน","ปกติ"))))</f>
        <v/>
      </c>
      <c r="AP260" t="str">
        <f t="shared" si="19"/>
        <v/>
      </c>
    </row>
    <row r="261" spans="1:42">
      <c r="A261" s="2">
        <f>IF(Participant_Data!A261="","",Participant_Data!A261)</f>
        <v>260</v>
      </c>
      <c r="B261" s="2" t="str">
        <f>IF(Participant_Data!B261="","",Participant_Data!B261)</f>
        <v/>
      </c>
      <c r="C261" s="3" t="str">
        <f>IF(Participant_Data!C261="","",Participant_Data!C261)</f>
        <v/>
      </c>
      <c r="D261" s="5"/>
      <c r="E261" s="5"/>
      <c r="F261" s="5"/>
      <c r="G261" s="2" t="str">
        <f t="shared" si="18"/>
        <v/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2" t="str">
        <f t="shared" si="13"/>
        <v/>
      </c>
      <c r="V261" s="2" t="str">
        <f t="shared" si="14"/>
        <v/>
      </c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2" t="str">
        <f t="shared" si="15"/>
        <v/>
      </c>
      <c r="AJ261" s="2" t="str">
        <f t="shared" si="16"/>
        <v/>
      </c>
      <c r="AK261" s="2" t="str">
        <f t="shared" si="17"/>
        <v/>
      </c>
      <c r="AL261" s="2"/>
      <c r="AM261" s="2"/>
      <c r="AN261" t="str">
        <f>IF(OR(G261="",Participant_Data!E261=""),"",IF(Participant_Data!E261&lt;70,IF(ROUND(G261,1)&lt;18.5,"ขาด/เสี่ยงขาด",IF(ROUND(G261,1)&gt;=25,"เสี่ยงเกิน/เกิน","ปกติ")),IF(ROUND(G261,1)&lt;20,"ขาด/เสี่ยงขาด",IF(ROUND(G261,1)&gt;=25,"เสี่ยงเกิน/เกิน","ปกติ"))))</f>
        <v/>
      </c>
      <c r="AO261" t="str">
        <f>IF(OR(I261="",Participant_Data!G261=""),"",IF(Participant_Data!G261=1,IF(ROUND(I261,1)&lt;15,"ขาด/เสี่ยงขาด",IF(ROUND(I261,1)&gt;25,"เสี่ยงเกิน/เกิน","ปกติ")),IF(ROUND(I261,1)&lt;20,"ขาด/เสี่ยงขาด",IF(ROUND(I261,1)&gt;35,"เสี่ยงเกิน/เกิน","ปกติ"))))</f>
        <v/>
      </c>
      <c r="AP261" t="str">
        <f t="shared" si="19"/>
        <v/>
      </c>
    </row>
    <row r="262" spans="1:42">
      <c r="A262" s="2">
        <f>IF(Participant_Data!A262="","",Participant_Data!A262)</f>
        <v>261</v>
      </c>
      <c r="B262" s="2" t="str">
        <f>IF(Participant_Data!B262="","",Participant_Data!B262)</f>
        <v/>
      </c>
      <c r="C262" s="3" t="str">
        <f>IF(Participant_Data!C262="","",Participant_Data!C262)</f>
        <v/>
      </c>
      <c r="D262" s="5"/>
      <c r="E262" s="5"/>
      <c r="F262" s="5"/>
      <c r="G262" s="2" t="str">
        <f t="shared" si="18"/>
        <v/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2" t="str">
        <f t="shared" si="13"/>
        <v/>
      </c>
      <c r="V262" s="2" t="str">
        <f t="shared" si="14"/>
        <v/>
      </c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2" t="str">
        <f t="shared" si="15"/>
        <v/>
      </c>
      <c r="AJ262" s="2" t="str">
        <f t="shared" si="16"/>
        <v/>
      </c>
      <c r="AK262" s="2" t="str">
        <f t="shared" si="17"/>
        <v/>
      </c>
      <c r="AL262" s="2"/>
      <c r="AM262" s="2"/>
      <c r="AN262" t="str">
        <f>IF(OR(G262="",Participant_Data!E262=""),"",IF(Participant_Data!E262&lt;70,IF(ROUND(G262,1)&lt;18.5,"ขาด/เสี่ยงขาด",IF(ROUND(G262,1)&gt;=25,"เสี่ยงเกิน/เกิน","ปกติ")),IF(ROUND(G262,1)&lt;20,"ขาด/เสี่ยงขาด",IF(ROUND(G262,1)&gt;=25,"เสี่ยงเกิน/เกิน","ปกติ"))))</f>
        <v/>
      </c>
      <c r="AO262" t="str">
        <f>IF(OR(I262="",Participant_Data!G262=""),"",IF(Participant_Data!G262=1,IF(ROUND(I262,1)&lt;15,"ขาด/เสี่ยงขาด",IF(ROUND(I262,1)&gt;25,"เสี่ยงเกิน/เกิน","ปกติ")),IF(ROUND(I262,1)&lt;20,"ขาด/เสี่ยงขาด",IF(ROUND(I262,1)&gt;35,"เสี่ยงเกิน/เกิน","ปกติ"))))</f>
        <v/>
      </c>
      <c r="AP262" t="str">
        <f t="shared" si="19"/>
        <v/>
      </c>
    </row>
    <row r="263" spans="1:42">
      <c r="A263" s="2">
        <f>IF(Participant_Data!A263="","",Participant_Data!A263)</f>
        <v>262</v>
      </c>
      <c r="B263" s="2" t="str">
        <f>IF(Participant_Data!B263="","",Participant_Data!B263)</f>
        <v/>
      </c>
      <c r="C263" s="3" t="str">
        <f>IF(Participant_Data!C263="","",Participant_Data!C263)</f>
        <v/>
      </c>
      <c r="D263" s="5"/>
      <c r="E263" s="5"/>
      <c r="F263" s="5"/>
      <c r="G263" s="2" t="str">
        <f t="shared" si="18"/>
        <v/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2" t="str">
        <f t="shared" si="13"/>
        <v/>
      </c>
      <c r="V263" s="2" t="str">
        <f t="shared" si="14"/>
        <v/>
      </c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2" t="str">
        <f t="shared" si="15"/>
        <v/>
      </c>
      <c r="AJ263" s="2" t="str">
        <f t="shared" si="16"/>
        <v/>
      </c>
      <c r="AK263" s="2" t="str">
        <f t="shared" si="17"/>
        <v/>
      </c>
      <c r="AL263" s="2"/>
      <c r="AM263" s="2"/>
      <c r="AN263" t="str">
        <f>IF(OR(G263="",Participant_Data!E263=""),"",IF(Participant_Data!E263&lt;70,IF(ROUND(G263,1)&lt;18.5,"ขาด/เสี่ยงขาด",IF(ROUND(G263,1)&gt;=25,"เสี่ยงเกิน/เกิน","ปกติ")),IF(ROUND(G263,1)&lt;20,"ขาด/เสี่ยงขาด",IF(ROUND(G263,1)&gt;=25,"เสี่ยงเกิน/เกิน","ปกติ"))))</f>
        <v/>
      </c>
      <c r="AO263" t="str">
        <f>IF(OR(I263="",Participant_Data!G263=""),"",IF(Participant_Data!G263=1,IF(ROUND(I263,1)&lt;15,"ขาด/เสี่ยงขาด",IF(ROUND(I263,1)&gt;25,"เสี่ยงเกิน/เกิน","ปกติ")),IF(ROUND(I263,1)&lt;20,"ขาด/เสี่ยงขาด",IF(ROUND(I263,1)&gt;35,"เสี่ยงเกิน/เกิน","ปกติ"))))</f>
        <v/>
      </c>
      <c r="AP263" t="str">
        <f t="shared" si="19"/>
        <v/>
      </c>
    </row>
    <row r="264" spans="1:42">
      <c r="A264" s="2">
        <f>IF(Participant_Data!A264="","",Participant_Data!A264)</f>
        <v>263</v>
      </c>
      <c r="B264" s="2" t="str">
        <f>IF(Participant_Data!B264="","",Participant_Data!B264)</f>
        <v/>
      </c>
      <c r="C264" s="3" t="str">
        <f>IF(Participant_Data!C264="","",Participant_Data!C264)</f>
        <v/>
      </c>
      <c r="D264" s="5"/>
      <c r="E264" s="5"/>
      <c r="F264" s="5"/>
      <c r="G264" s="2" t="str">
        <f t="shared" si="18"/>
        <v/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2" t="str">
        <f t="shared" si="13"/>
        <v/>
      </c>
      <c r="V264" s="2" t="str">
        <f t="shared" si="14"/>
        <v/>
      </c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2" t="str">
        <f t="shared" si="15"/>
        <v/>
      </c>
      <c r="AJ264" s="2" t="str">
        <f t="shared" si="16"/>
        <v/>
      </c>
      <c r="AK264" s="2" t="str">
        <f t="shared" si="17"/>
        <v/>
      </c>
      <c r="AL264" s="2"/>
      <c r="AM264" s="2"/>
      <c r="AN264" t="str">
        <f>IF(OR(G264="",Participant_Data!E264=""),"",IF(Participant_Data!E264&lt;70,IF(ROUND(G264,1)&lt;18.5,"ขาด/เสี่ยงขาด",IF(ROUND(G264,1)&gt;=25,"เสี่ยงเกิน/เกิน","ปกติ")),IF(ROUND(G264,1)&lt;20,"ขาด/เสี่ยงขาด",IF(ROUND(G264,1)&gt;=25,"เสี่ยงเกิน/เกิน","ปกติ"))))</f>
        <v/>
      </c>
      <c r="AO264" t="str">
        <f>IF(OR(I264="",Participant_Data!G264=""),"",IF(Participant_Data!G264=1,IF(ROUND(I264,1)&lt;15,"ขาด/เสี่ยงขาด",IF(ROUND(I264,1)&gt;25,"เสี่ยงเกิน/เกิน","ปกติ")),IF(ROUND(I264,1)&lt;20,"ขาด/เสี่ยงขาด",IF(ROUND(I264,1)&gt;35,"เสี่ยงเกิน/เกิน","ปกติ"))))</f>
        <v/>
      </c>
      <c r="AP264" t="str">
        <f t="shared" si="19"/>
        <v/>
      </c>
    </row>
    <row r="265" spans="1:42">
      <c r="A265" s="2">
        <f>IF(Participant_Data!A265="","",Participant_Data!A265)</f>
        <v>264</v>
      </c>
      <c r="B265" s="2" t="str">
        <f>IF(Participant_Data!B265="","",Participant_Data!B265)</f>
        <v/>
      </c>
      <c r="C265" s="3" t="str">
        <f>IF(Participant_Data!C265="","",Participant_Data!C265)</f>
        <v/>
      </c>
      <c r="D265" s="5"/>
      <c r="E265" s="5"/>
      <c r="F265" s="5"/>
      <c r="G265" s="2" t="str">
        <f t="shared" si="18"/>
        <v/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2" t="str">
        <f t="shared" si="13"/>
        <v/>
      </c>
      <c r="V265" s="2" t="str">
        <f t="shared" si="14"/>
        <v/>
      </c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2" t="str">
        <f t="shared" si="15"/>
        <v/>
      </c>
      <c r="AJ265" s="2" t="str">
        <f t="shared" si="16"/>
        <v/>
      </c>
      <c r="AK265" s="2" t="str">
        <f t="shared" si="17"/>
        <v/>
      </c>
      <c r="AL265" s="2"/>
      <c r="AM265" s="2"/>
      <c r="AN265" t="str">
        <f>IF(OR(G265="",Participant_Data!E265=""),"",IF(Participant_Data!E265&lt;70,IF(ROUND(G265,1)&lt;18.5,"ขาด/เสี่ยงขาด",IF(ROUND(G265,1)&gt;=25,"เสี่ยงเกิน/เกิน","ปกติ")),IF(ROUND(G265,1)&lt;20,"ขาด/เสี่ยงขาด",IF(ROUND(G265,1)&gt;=25,"เสี่ยงเกิน/เกิน","ปกติ"))))</f>
        <v/>
      </c>
      <c r="AO265" t="str">
        <f>IF(OR(I265="",Participant_Data!G265=""),"",IF(Participant_Data!G265=1,IF(ROUND(I265,1)&lt;15,"ขาด/เสี่ยงขาด",IF(ROUND(I265,1)&gt;25,"เสี่ยงเกิน/เกิน","ปกติ")),IF(ROUND(I265,1)&lt;20,"ขาด/เสี่ยงขาด",IF(ROUND(I265,1)&gt;35,"เสี่ยงเกิน/เกิน","ปกติ"))))</f>
        <v/>
      </c>
      <c r="AP265" t="str">
        <f t="shared" si="19"/>
        <v/>
      </c>
    </row>
    <row r="266" spans="1:42">
      <c r="A266" s="2">
        <f>IF(Participant_Data!A266="","",Participant_Data!A266)</f>
        <v>265</v>
      </c>
      <c r="B266" s="2" t="str">
        <f>IF(Participant_Data!B266="","",Participant_Data!B266)</f>
        <v/>
      </c>
      <c r="C266" s="3" t="str">
        <f>IF(Participant_Data!C266="","",Participant_Data!C266)</f>
        <v/>
      </c>
      <c r="D266" s="5"/>
      <c r="E266" s="5"/>
      <c r="F266" s="5"/>
      <c r="G266" s="2" t="str">
        <f t="shared" si="18"/>
        <v/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2" t="str">
        <f t="shared" ref="U266:U297" si="20">IF(COUNTA(O266:T266)=0,"",SUM(O266:T266))</f>
        <v/>
      </c>
      <c r="V266" s="2" t="str">
        <f t="shared" ref="V266:V297" si="21">IF(U266="","",IF(U266&gt;=12,"Normal",IF(U266&gt;=8,"At risk","Malnourished")))</f>
        <v/>
      </c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2" t="str">
        <f t="shared" ref="AI266:AI297" si="22">IF(COUNTA(W266:AH266)=0,"",SUM(W266:AH266))</f>
        <v/>
      </c>
      <c r="AJ266" s="2" t="str">
        <f t="shared" ref="AJ266:AJ297" si="23">IF(OR(U266="",AI266=""),"",U266+AI266)</f>
        <v/>
      </c>
      <c r="AK266" s="2" t="str">
        <f t="shared" ref="AK266:AK297" si="24">IF(AJ266="","",IF(AJ266&gt;=24,"Normal",IF(AJ266&gt;=17,"At risk","Malnourished")))</f>
        <v/>
      </c>
      <c r="AL266" s="2"/>
      <c r="AM266" s="2"/>
      <c r="AN266" t="str">
        <f>IF(OR(G266="",Participant_Data!E266=""),"",IF(Participant_Data!E266&lt;70,IF(ROUND(G266,1)&lt;18.5,"ขาด/เสี่ยงขาด",IF(ROUND(G266,1)&gt;=25,"เสี่ยงเกิน/เกิน","ปกติ")),IF(ROUND(G266,1)&lt;20,"ขาด/เสี่ยงขาด",IF(ROUND(G266,1)&gt;=25,"เสี่ยงเกิน/เกิน","ปกติ"))))</f>
        <v/>
      </c>
      <c r="AO266" t="str">
        <f>IF(OR(I266="",Participant_Data!G266=""),"",IF(Participant_Data!G266=1,IF(ROUND(I266,1)&lt;15,"ขาด/เสี่ยงขาด",IF(ROUND(I266,1)&gt;25,"เสี่ยงเกิน/เกิน","ปกติ")),IF(ROUND(I266,1)&lt;20,"ขาด/เสี่ยงขาด",IF(ROUND(I266,1)&gt;35,"เสี่ยงเกิน/เกิน","ปกติ"))))</f>
        <v/>
      </c>
      <c r="AP266" t="str">
        <f t="shared" si="19"/>
        <v/>
      </c>
    </row>
    <row r="267" spans="1:42">
      <c r="A267" s="2">
        <f>IF(Participant_Data!A267="","",Participant_Data!A267)</f>
        <v>266</v>
      </c>
      <c r="B267" s="2" t="str">
        <f>IF(Participant_Data!B267="","",Participant_Data!B267)</f>
        <v/>
      </c>
      <c r="C267" s="3" t="str">
        <f>IF(Participant_Data!C267="","",Participant_Data!C267)</f>
        <v/>
      </c>
      <c r="D267" s="5"/>
      <c r="E267" s="5"/>
      <c r="F267" s="5"/>
      <c r="G267" s="2" t="str">
        <f t="shared" si="18"/>
        <v/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2" t="str">
        <f t="shared" si="20"/>
        <v/>
      </c>
      <c r="V267" s="2" t="str">
        <f t="shared" si="21"/>
        <v/>
      </c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2" t="str">
        <f t="shared" si="22"/>
        <v/>
      </c>
      <c r="AJ267" s="2" t="str">
        <f t="shared" si="23"/>
        <v/>
      </c>
      <c r="AK267" s="2" t="str">
        <f t="shared" si="24"/>
        <v/>
      </c>
      <c r="AL267" s="2"/>
      <c r="AM267" s="2"/>
      <c r="AN267" t="str">
        <f>IF(OR(G267="",Participant_Data!E267=""),"",IF(Participant_Data!E267&lt;70,IF(ROUND(G267,1)&lt;18.5,"ขาด/เสี่ยงขาด",IF(ROUND(G267,1)&gt;=25,"เสี่ยงเกิน/เกิน","ปกติ")),IF(ROUND(G267,1)&lt;20,"ขาด/เสี่ยงขาด",IF(ROUND(G267,1)&gt;=25,"เสี่ยงเกิน/เกิน","ปกติ"))))</f>
        <v/>
      </c>
      <c r="AO267" t="str">
        <f>IF(OR(I267="",Participant_Data!G267=""),"",IF(Participant_Data!G267=1,IF(ROUND(I267,1)&lt;15,"ขาด/เสี่ยงขาด",IF(ROUND(I267,1)&gt;25,"เสี่ยงเกิน/เกิน","ปกติ")),IF(ROUND(I267,1)&lt;20,"ขาด/เสี่ยงขาด",IF(ROUND(I267,1)&gt;35,"เสี่ยงเกิน/เกิน","ปกติ"))))</f>
        <v/>
      </c>
      <c r="AP267" t="str">
        <f t="shared" si="19"/>
        <v/>
      </c>
    </row>
    <row r="268" spans="1:42">
      <c r="A268" s="2">
        <f>IF(Participant_Data!A268="","",Participant_Data!A268)</f>
        <v>267</v>
      </c>
      <c r="B268" s="2" t="str">
        <f>IF(Participant_Data!B268="","",Participant_Data!B268)</f>
        <v/>
      </c>
      <c r="C268" s="3" t="str">
        <f>IF(Participant_Data!C268="","",Participant_Data!C268)</f>
        <v/>
      </c>
      <c r="D268" s="5"/>
      <c r="E268" s="5"/>
      <c r="F268" s="5"/>
      <c r="G268" s="2" t="str">
        <f t="shared" si="18"/>
        <v/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2" t="str">
        <f t="shared" si="20"/>
        <v/>
      </c>
      <c r="V268" s="2" t="str">
        <f t="shared" si="21"/>
        <v/>
      </c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2" t="str">
        <f t="shared" si="22"/>
        <v/>
      </c>
      <c r="AJ268" s="2" t="str">
        <f t="shared" si="23"/>
        <v/>
      </c>
      <c r="AK268" s="2" t="str">
        <f t="shared" si="24"/>
        <v/>
      </c>
      <c r="AL268" s="2"/>
      <c r="AM268" s="2"/>
      <c r="AN268" t="str">
        <f>IF(OR(G268="",Participant_Data!E268=""),"",IF(Participant_Data!E268&lt;70,IF(ROUND(G268,1)&lt;18.5,"ขาด/เสี่ยงขาด",IF(ROUND(G268,1)&gt;=25,"เสี่ยงเกิน/เกิน","ปกติ")),IF(ROUND(G268,1)&lt;20,"ขาด/เสี่ยงขาด",IF(ROUND(G268,1)&gt;=25,"เสี่ยงเกิน/เกิน","ปกติ"))))</f>
        <v/>
      </c>
      <c r="AO268" t="str">
        <f>IF(OR(I268="",Participant_Data!G268=""),"",IF(Participant_Data!G268=1,IF(ROUND(I268,1)&lt;15,"ขาด/เสี่ยงขาด",IF(ROUND(I268,1)&gt;25,"เสี่ยงเกิน/เกิน","ปกติ")),IF(ROUND(I268,1)&lt;20,"ขาด/เสี่ยงขาด",IF(ROUND(I268,1)&gt;35,"เสี่ยงเกิน/เกิน","ปกติ"))))</f>
        <v/>
      </c>
      <c r="AP268" t="str">
        <f t="shared" si="19"/>
        <v/>
      </c>
    </row>
    <row r="269" spans="1:42">
      <c r="A269" s="2">
        <f>IF(Participant_Data!A269="","",Participant_Data!A269)</f>
        <v>268</v>
      </c>
      <c r="B269" s="2" t="str">
        <f>IF(Participant_Data!B269="","",Participant_Data!B269)</f>
        <v/>
      </c>
      <c r="C269" s="3" t="str">
        <f>IF(Participant_Data!C269="","",Participant_Data!C269)</f>
        <v/>
      </c>
      <c r="D269" s="5"/>
      <c r="E269" s="5"/>
      <c r="F269" s="5"/>
      <c r="G269" s="2" t="str">
        <f t="shared" si="18"/>
        <v/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2" t="str">
        <f t="shared" si="20"/>
        <v/>
      </c>
      <c r="V269" s="2" t="str">
        <f t="shared" si="21"/>
        <v/>
      </c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2" t="str">
        <f t="shared" si="22"/>
        <v/>
      </c>
      <c r="AJ269" s="2" t="str">
        <f t="shared" si="23"/>
        <v/>
      </c>
      <c r="AK269" s="2" t="str">
        <f t="shared" si="24"/>
        <v/>
      </c>
      <c r="AL269" s="2"/>
      <c r="AM269" s="2"/>
      <c r="AN269" t="str">
        <f>IF(OR(G269="",Participant_Data!E269=""),"",IF(Participant_Data!E269&lt;70,IF(ROUND(G269,1)&lt;18.5,"ขาด/เสี่ยงขาด",IF(ROUND(G269,1)&gt;=25,"เสี่ยงเกิน/เกิน","ปกติ")),IF(ROUND(G269,1)&lt;20,"ขาด/เสี่ยงขาด",IF(ROUND(G269,1)&gt;=25,"เสี่ยงเกิน/เกิน","ปกติ"))))</f>
        <v/>
      </c>
      <c r="AO269" t="str">
        <f>IF(OR(I269="",Participant_Data!G269=""),"",IF(Participant_Data!G269=1,IF(ROUND(I269,1)&lt;15,"ขาด/เสี่ยงขาด",IF(ROUND(I269,1)&gt;25,"เสี่ยงเกิน/เกิน","ปกติ")),IF(ROUND(I269,1)&lt;20,"ขาด/เสี่ยงขาด",IF(ROUND(I269,1)&gt;35,"เสี่ยงเกิน/เกิน","ปกติ"))))</f>
        <v/>
      </c>
      <c r="AP269" t="str">
        <f t="shared" si="19"/>
        <v/>
      </c>
    </row>
    <row r="270" spans="1:42">
      <c r="A270" s="2">
        <f>IF(Participant_Data!A270="","",Participant_Data!A270)</f>
        <v>269</v>
      </c>
      <c r="B270" s="2" t="str">
        <f>IF(Participant_Data!B270="","",Participant_Data!B270)</f>
        <v/>
      </c>
      <c r="C270" s="3" t="str">
        <f>IF(Participant_Data!C270="","",Participant_Data!C270)</f>
        <v/>
      </c>
      <c r="D270" s="5"/>
      <c r="E270" s="5"/>
      <c r="F270" s="5"/>
      <c r="G270" s="2" t="str">
        <f t="shared" si="18"/>
        <v/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2" t="str">
        <f t="shared" si="20"/>
        <v/>
      </c>
      <c r="V270" s="2" t="str">
        <f t="shared" si="21"/>
        <v/>
      </c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2" t="str">
        <f t="shared" si="22"/>
        <v/>
      </c>
      <c r="AJ270" s="2" t="str">
        <f t="shared" si="23"/>
        <v/>
      </c>
      <c r="AK270" s="2" t="str">
        <f t="shared" si="24"/>
        <v/>
      </c>
      <c r="AL270" s="2"/>
      <c r="AM270" s="2"/>
      <c r="AN270" t="str">
        <f>IF(OR(G270="",Participant_Data!E270=""),"",IF(Participant_Data!E270&lt;70,IF(ROUND(G270,1)&lt;18.5,"ขาด/เสี่ยงขาด",IF(ROUND(G270,1)&gt;=25,"เสี่ยงเกิน/เกิน","ปกติ")),IF(ROUND(G270,1)&lt;20,"ขาด/เสี่ยงขาด",IF(ROUND(G270,1)&gt;=25,"เสี่ยงเกิน/เกิน","ปกติ"))))</f>
        <v/>
      </c>
      <c r="AO270" t="str">
        <f>IF(OR(I270="",Participant_Data!G270=""),"",IF(Participant_Data!G270=1,IF(ROUND(I270,1)&lt;15,"ขาด/เสี่ยงขาด",IF(ROUND(I270,1)&gt;25,"เสี่ยงเกิน/เกิน","ปกติ")),IF(ROUND(I270,1)&lt;20,"ขาด/เสี่ยงขาด",IF(ROUND(I270,1)&gt;35,"เสี่ยงเกิน/เกิน","ปกติ"))))</f>
        <v/>
      </c>
      <c r="AP270" t="str">
        <f t="shared" si="19"/>
        <v/>
      </c>
    </row>
    <row r="271" spans="1:42">
      <c r="A271" s="2">
        <f>IF(Participant_Data!A271="","",Participant_Data!A271)</f>
        <v>270</v>
      </c>
      <c r="B271" s="2" t="str">
        <f>IF(Participant_Data!B271="","",Participant_Data!B271)</f>
        <v/>
      </c>
      <c r="C271" s="3" t="str">
        <f>IF(Participant_Data!C271="","",Participant_Data!C271)</f>
        <v/>
      </c>
      <c r="D271" s="5"/>
      <c r="E271" s="5"/>
      <c r="F271" s="5"/>
      <c r="G271" s="2" t="str">
        <f t="shared" si="18"/>
        <v/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2" t="str">
        <f t="shared" si="20"/>
        <v/>
      </c>
      <c r="V271" s="2" t="str">
        <f t="shared" si="21"/>
        <v/>
      </c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2" t="str">
        <f t="shared" si="22"/>
        <v/>
      </c>
      <c r="AJ271" s="2" t="str">
        <f t="shared" si="23"/>
        <v/>
      </c>
      <c r="AK271" s="2" t="str">
        <f t="shared" si="24"/>
        <v/>
      </c>
      <c r="AL271" s="2"/>
      <c r="AM271" s="2"/>
      <c r="AN271" t="str">
        <f>IF(OR(G271="",Participant_Data!E271=""),"",IF(Participant_Data!E271&lt;70,IF(ROUND(G271,1)&lt;18.5,"ขาด/เสี่ยงขาด",IF(ROUND(G271,1)&gt;=25,"เสี่ยงเกิน/เกิน","ปกติ")),IF(ROUND(G271,1)&lt;20,"ขาด/เสี่ยงขาด",IF(ROUND(G271,1)&gt;=25,"เสี่ยงเกิน/เกิน","ปกติ"))))</f>
        <v/>
      </c>
      <c r="AO271" t="str">
        <f>IF(OR(I271="",Participant_Data!G271=""),"",IF(Participant_Data!G271=1,IF(ROUND(I271,1)&lt;15,"ขาด/เสี่ยงขาด",IF(ROUND(I271,1)&gt;25,"เสี่ยงเกิน/เกิน","ปกติ")),IF(ROUND(I271,1)&lt;20,"ขาด/เสี่ยงขาด",IF(ROUND(I271,1)&gt;35,"เสี่ยงเกิน/เกิน","ปกติ"))))</f>
        <v/>
      </c>
      <c r="AP271" t="str">
        <f t="shared" si="19"/>
        <v/>
      </c>
    </row>
    <row r="272" spans="1:42">
      <c r="A272" s="2">
        <f>IF(Participant_Data!A272="","",Participant_Data!A272)</f>
        <v>271</v>
      </c>
      <c r="B272" s="2" t="str">
        <f>IF(Participant_Data!B272="","",Participant_Data!B272)</f>
        <v/>
      </c>
      <c r="C272" s="3" t="str">
        <f>IF(Participant_Data!C272="","",Participant_Data!C272)</f>
        <v/>
      </c>
      <c r="D272" s="5"/>
      <c r="E272" s="5"/>
      <c r="F272" s="5"/>
      <c r="G272" s="2" t="str">
        <f t="shared" si="18"/>
        <v/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2" t="str">
        <f t="shared" si="20"/>
        <v/>
      </c>
      <c r="V272" s="2" t="str">
        <f t="shared" si="21"/>
        <v/>
      </c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2" t="str">
        <f t="shared" si="22"/>
        <v/>
      </c>
      <c r="AJ272" s="2" t="str">
        <f t="shared" si="23"/>
        <v/>
      </c>
      <c r="AK272" s="2" t="str">
        <f t="shared" si="24"/>
        <v/>
      </c>
      <c r="AL272" s="2"/>
      <c r="AM272" s="2"/>
      <c r="AN272" t="str">
        <f>IF(OR(G272="",Participant_Data!E272=""),"",IF(Participant_Data!E272&lt;70,IF(ROUND(G272,1)&lt;18.5,"ขาด/เสี่ยงขาด",IF(ROUND(G272,1)&gt;=25,"เสี่ยงเกิน/เกิน","ปกติ")),IF(ROUND(G272,1)&lt;20,"ขาด/เสี่ยงขาด",IF(ROUND(G272,1)&gt;=25,"เสี่ยงเกิน/เกิน","ปกติ"))))</f>
        <v/>
      </c>
      <c r="AO272" t="str">
        <f>IF(OR(I272="",Participant_Data!G272=""),"",IF(Participant_Data!G272=1,IF(ROUND(I272,1)&lt;15,"ขาด/เสี่ยงขาด",IF(ROUND(I272,1)&gt;25,"เสี่ยงเกิน/เกิน","ปกติ")),IF(ROUND(I272,1)&lt;20,"ขาด/เสี่ยงขาด",IF(ROUND(I272,1)&gt;35,"เสี่ยงเกิน/เกิน","ปกติ"))))</f>
        <v/>
      </c>
      <c r="AP272" t="str">
        <f t="shared" si="19"/>
        <v/>
      </c>
    </row>
    <row r="273" spans="1:42">
      <c r="A273" s="2">
        <f>IF(Participant_Data!A273="","",Participant_Data!A273)</f>
        <v>272</v>
      </c>
      <c r="B273" s="2" t="str">
        <f>IF(Participant_Data!B273="","",Participant_Data!B273)</f>
        <v/>
      </c>
      <c r="C273" s="3" t="str">
        <f>IF(Participant_Data!C273="","",Participant_Data!C273)</f>
        <v/>
      </c>
      <c r="D273" s="5"/>
      <c r="E273" s="5"/>
      <c r="F273" s="5"/>
      <c r="G273" s="2" t="str">
        <f t="shared" si="18"/>
        <v/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2" t="str">
        <f t="shared" si="20"/>
        <v/>
      </c>
      <c r="V273" s="2" t="str">
        <f t="shared" si="21"/>
        <v/>
      </c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2" t="str">
        <f t="shared" si="22"/>
        <v/>
      </c>
      <c r="AJ273" s="2" t="str">
        <f t="shared" si="23"/>
        <v/>
      </c>
      <c r="AK273" s="2" t="str">
        <f t="shared" si="24"/>
        <v/>
      </c>
      <c r="AL273" s="2"/>
      <c r="AM273" s="2"/>
      <c r="AN273" t="str">
        <f>IF(OR(G273="",Participant_Data!E273=""),"",IF(Participant_Data!E273&lt;70,IF(ROUND(G273,1)&lt;18.5,"ขาด/เสี่ยงขาด",IF(ROUND(G273,1)&gt;=25,"เสี่ยงเกิน/เกิน","ปกติ")),IF(ROUND(G273,1)&lt;20,"ขาด/เสี่ยงขาด",IF(ROUND(G273,1)&gt;=25,"เสี่ยงเกิน/เกิน","ปกติ"))))</f>
        <v/>
      </c>
      <c r="AO273" t="str">
        <f>IF(OR(I273="",Participant_Data!G273=""),"",IF(Participant_Data!G273=1,IF(ROUND(I273,1)&lt;15,"ขาด/เสี่ยงขาด",IF(ROUND(I273,1)&gt;25,"เสี่ยงเกิน/เกิน","ปกติ")),IF(ROUND(I273,1)&lt;20,"ขาด/เสี่ยงขาด",IF(ROUND(I273,1)&gt;35,"เสี่ยงเกิน/เกิน","ปกติ"))))</f>
        <v/>
      </c>
      <c r="AP273" t="str">
        <f t="shared" si="19"/>
        <v/>
      </c>
    </row>
    <row r="274" spans="1:42">
      <c r="A274" s="2">
        <f>IF(Participant_Data!A274="","",Participant_Data!A274)</f>
        <v>273</v>
      </c>
      <c r="B274" s="2" t="str">
        <f>IF(Participant_Data!B274="","",Participant_Data!B274)</f>
        <v/>
      </c>
      <c r="C274" s="3" t="str">
        <f>IF(Participant_Data!C274="","",Participant_Data!C274)</f>
        <v/>
      </c>
      <c r="D274" s="5"/>
      <c r="E274" s="5"/>
      <c r="F274" s="5"/>
      <c r="G274" s="2" t="str">
        <f t="shared" si="18"/>
        <v/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2" t="str">
        <f t="shared" si="20"/>
        <v/>
      </c>
      <c r="V274" s="2" t="str">
        <f t="shared" si="21"/>
        <v/>
      </c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2" t="str">
        <f t="shared" si="22"/>
        <v/>
      </c>
      <c r="AJ274" s="2" t="str">
        <f t="shared" si="23"/>
        <v/>
      </c>
      <c r="AK274" s="2" t="str">
        <f t="shared" si="24"/>
        <v/>
      </c>
      <c r="AL274" s="2"/>
      <c r="AM274" s="2"/>
      <c r="AN274" t="str">
        <f>IF(OR(G274="",Participant_Data!E274=""),"",IF(Participant_Data!E274&lt;70,IF(ROUND(G274,1)&lt;18.5,"ขาด/เสี่ยงขาด",IF(ROUND(G274,1)&gt;=25,"เสี่ยงเกิน/เกิน","ปกติ")),IF(ROUND(G274,1)&lt;20,"ขาด/เสี่ยงขาด",IF(ROUND(G274,1)&gt;=25,"เสี่ยงเกิน/เกิน","ปกติ"))))</f>
        <v/>
      </c>
      <c r="AO274" t="str">
        <f>IF(OR(I274="",Participant_Data!G274=""),"",IF(Participant_Data!G274=1,IF(ROUND(I274,1)&lt;15,"ขาด/เสี่ยงขาด",IF(ROUND(I274,1)&gt;25,"เสี่ยงเกิน/เกิน","ปกติ")),IF(ROUND(I274,1)&lt;20,"ขาด/เสี่ยงขาด",IF(ROUND(I274,1)&gt;35,"เสี่ยงเกิน/เกิน","ปกติ"))))</f>
        <v/>
      </c>
      <c r="AP274" t="str">
        <f t="shared" si="19"/>
        <v/>
      </c>
    </row>
    <row r="275" spans="1:42">
      <c r="A275" s="2">
        <f>IF(Participant_Data!A275="","",Participant_Data!A275)</f>
        <v>274</v>
      </c>
      <c r="B275" s="2" t="str">
        <f>IF(Participant_Data!B275="","",Participant_Data!B275)</f>
        <v/>
      </c>
      <c r="C275" s="3" t="str">
        <f>IF(Participant_Data!C275="","",Participant_Data!C275)</f>
        <v/>
      </c>
      <c r="D275" s="5"/>
      <c r="E275" s="5"/>
      <c r="F275" s="5"/>
      <c r="G275" s="2" t="str">
        <f t="shared" si="18"/>
        <v/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2" t="str">
        <f t="shared" si="20"/>
        <v/>
      </c>
      <c r="V275" s="2" t="str">
        <f t="shared" si="21"/>
        <v/>
      </c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2" t="str">
        <f t="shared" si="22"/>
        <v/>
      </c>
      <c r="AJ275" s="2" t="str">
        <f t="shared" si="23"/>
        <v/>
      </c>
      <c r="AK275" s="2" t="str">
        <f t="shared" si="24"/>
        <v/>
      </c>
      <c r="AL275" s="2"/>
      <c r="AM275" s="2"/>
      <c r="AN275" t="str">
        <f>IF(OR(G275="",Participant_Data!E275=""),"",IF(Participant_Data!E275&lt;70,IF(ROUND(G275,1)&lt;18.5,"ขาด/เสี่ยงขาด",IF(ROUND(G275,1)&gt;=25,"เสี่ยงเกิน/เกิน","ปกติ")),IF(ROUND(G275,1)&lt;20,"ขาด/เสี่ยงขาด",IF(ROUND(G275,1)&gt;=25,"เสี่ยงเกิน/เกิน","ปกติ"))))</f>
        <v/>
      </c>
      <c r="AO275" t="str">
        <f>IF(OR(I275="",Participant_Data!G275=""),"",IF(Participant_Data!G275=1,IF(ROUND(I275,1)&lt;15,"ขาด/เสี่ยงขาด",IF(ROUND(I275,1)&gt;25,"เสี่ยงเกิน/เกิน","ปกติ")),IF(ROUND(I275,1)&lt;20,"ขาด/เสี่ยงขาด",IF(ROUND(I275,1)&gt;35,"เสี่ยงเกิน/เกิน","ปกติ"))))</f>
        <v/>
      </c>
      <c r="AP275" t="str">
        <f t="shared" si="19"/>
        <v/>
      </c>
    </row>
    <row r="276" spans="1:42">
      <c r="A276" s="2">
        <f>IF(Participant_Data!A276="","",Participant_Data!A276)</f>
        <v>275</v>
      </c>
      <c r="B276" s="2" t="str">
        <f>IF(Participant_Data!B276="","",Participant_Data!B276)</f>
        <v/>
      </c>
      <c r="C276" s="3" t="str">
        <f>IF(Participant_Data!C276="","",Participant_Data!C276)</f>
        <v/>
      </c>
      <c r="D276" s="5"/>
      <c r="E276" s="5"/>
      <c r="F276" s="5"/>
      <c r="G276" s="2" t="str">
        <f t="shared" si="18"/>
        <v/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2" t="str">
        <f t="shared" si="20"/>
        <v/>
      </c>
      <c r="V276" s="2" t="str">
        <f t="shared" si="21"/>
        <v/>
      </c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2" t="str">
        <f t="shared" si="22"/>
        <v/>
      </c>
      <c r="AJ276" s="2" t="str">
        <f t="shared" si="23"/>
        <v/>
      </c>
      <c r="AK276" s="2" t="str">
        <f t="shared" si="24"/>
        <v/>
      </c>
      <c r="AL276" s="2"/>
      <c r="AM276" s="2"/>
      <c r="AN276" t="str">
        <f>IF(OR(G276="",Participant_Data!E276=""),"",IF(Participant_Data!E276&lt;70,IF(ROUND(G276,1)&lt;18.5,"ขาด/เสี่ยงขาด",IF(ROUND(G276,1)&gt;=25,"เสี่ยงเกิน/เกิน","ปกติ")),IF(ROUND(G276,1)&lt;20,"ขาด/เสี่ยงขาด",IF(ROUND(G276,1)&gt;=25,"เสี่ยงเกิน/เกิน","ปกติ"))))</f>
        <v/>
      </c>
      <c r="AO276" t="str">
        <f>IF(OR(I276="",Participant_Data!G276=""),"",IF(Participant_Data!G276=1,IF(ROUND(I276,1)&lt;15,"ขาด/เสี่ยงขาด",IF(ROUND(I276,1)&gt;25,"เสี่ยงเกิน/เกิน","ปกติ")),IF(ROUND(I276,1)&lt;20,"ขาด/เสี่ยงขาด",IF(ROUND(I276,1)&gt;35,"เสี่ยงเกิน/เกิน","ปกติ"))))</f>
        <v/>
      </c>
      <c r="AP276" t="str">
        <f t="shared" si="19"/>
        <v/>
      </c>
    </row>
    <row r="277" spans="1:42">
      <c r="A277" s="2">
        <f>IF(Participant_Data!A277="","",Participant_Data!A277)</f>
        <v>276</v>
      </c>
      <c r="B277" s="2" t="str">
        <f>IF(Participant_Data!B277="","",Participant_Data!B277)</f>
        <v/>
      </c>
      <c r="C277" s="3" t="str">
        <f>IF(Participant_Data!C277="","",Participant_Data!C277)</f>
        <v/>
      </c>
      <c r="D277" s="5"/>
      <c r="E277" s="5"/>
      <c r="F277" s="5"/>
      <c r="G277" s="2" t="str">
        <f t="shared" si="18"/>
        <v/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2" t="str">
        <f t="shared" si="20"/>
        <v/>
      </c>
      <c r="V277" s="2" t="str">
        <f t="shared" si="21"/>
        <v/>
      </c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2" t="str">
        <f t="shared" si="22"/>
        <v/>
      </c>
      <c r="AJ277" s="2" t="str">
        <f t="shared" si="23"/>
        <v/>
      </c>
      <c r="AK277" s="2" t="str">
        <f t="shared" si="24"/>
        <v/>
      </c>
      <c r="AL277" s="2"/>
      <c r="AM277" s="2"/>
      <c r="AN277" t="str">
        <f>IF(OR(G277="",Participant_Data!E277=""),"",IF(Participant_Data!E277&lt;70,IF(ROUND(G277,1)&lt;18.5,"ขาด/เสี่ยงขาด",IF(ROUND(G277,1)&gt;=25,"เสี่ยงเกิน/เกิน","ปกติ")),IF(ROUND(G277,1)&lt;20,"ขาด/เสี่ยงขาด",IF(ROUND(G277,1)&gt;=25,"เสี่ยงเกิน/เกิน","ปกติ"))))</f>
        <v/>
      </c>
      <c r="AO277" t="str">
        <f>IF(OR(I277="",Participant_Data!G277=""),"",IF(Participant_Data!G277=1,IF(ROUND(I277,1)&lt;15,"ขาด/เสี่ยงขาด",IF(ROUND(I277,1)&gt;25,"เสี่ยงเกิน/เกิน","ปกติ")),IF(ROUND(I277,1)&lt;20,"ขาด/เสี่ยงขาด",IF(ROUND(I277,1)&gt;35,"เสี่ยงเกิน/เกิน","ปกติ"))))</f>
        <v/>
      </c>
      <c r="AP277" t="str">
        <f t="shared" si="19"/>
        <v/>
      </c>
    </row>
    <row r="278" spans="1:42">
      <c r="A278" s="2">
        <f>IF(Participant_Data!A278="","",Participant_Data!A278)</f>
        <v>277</v>
      </c>
      <c r="B278" s="2" t="str">
        <f>IF(Participant_Data!B278="","",Participant_Data!B278)</f>
        <v/>
      </c>
      <c r="C278" s="3" t="str">
        <f>IF(Participant_Data!C278="","",Participant_Data!C278)</f>
        <v/>
      </c>
      <c r="D278" s="5"/>
      <c r="E278" s="5"/>
      <c r="F278" s="5"/>
      <c r="G278" s="2" t="str">
        <f t="shared" si="18"/>
        <v/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2" t="str">
        <f t="shared" si="20"/>
        <v/>
      </c>
      <c r="V278" s="2" t="str">
        <f t="shared" si="21"/>
        <v/>
      </c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2" t="str">
        <f t="shared" si="22"/>
        <v/>
      </c>
      <c r="AJ278" s="2" t="str">
        <f t="shared" si="23"/>
        <v/>
      </c>
      <c r="AK278" s="2" t="str">
        <f t="shared" si="24"/>
        <v/>
      </c>
      <c r="AL278" s="2"/>
      <c r="AM278" s="2"/>
      <c r="AN278" t="str">
        <f>IF(OR(G278="",Participant_Data!E278=""),"",IF(Participant_Data!E278&lt;70,IF(ROUND(G278,1)&lt;18.5,"ขาด/เสี่ยงขาด",IF(ROUND(G278,1)&gt;=25,"เสี่ยงเกิน/เกิน","ปกติ")),IF(ROUND(G278,1)&lt;20,"ขาด/เสี่ยงขาด",IF(ROUND(G278,1)&gt;=25,"เสี่ยงเกิน/เกิน","ปกติ"))))</f>
        <v/>
      </c>
      <c r="AO278" t="str">
        <f>IF(OR(I278="",Participant_Data!G278=""),"",IF(Participant_Data!G278=1,IF(ROUND(I278,1)&lt;15,"ขาด/เสี่ยงขาด",IF(ROUND(I278,1)&gt;25,"เสี่ยงเกิน/เกิน","ปกติ")),IF(ROUND(I278,1)&lt;20,"ขาด/เสี่ยงขาด",IF(ROUND(I278,1)&gt;35,"เสี่ยงเกิน/เกิน","ปกติ"))))</f>
        <v/>
      </c>
      <c r="AP278" t="str">
        <f t="shared" si="19"/>
        <v/>
      </c>
    </row>
    <row r="279" spans="1:42">
      <c r="A279" s="2">
        <f>IF(Participant_Data!A279="","",Participant_Data!A279)</f>
        <v>278</v>
      </c>
      <c r="B279" s="2" t="str">
        <f>IF(Participant_Data!B279="","",Participant_Data!B279)</f>
        <v/>
      </c>
      <c r="C279" s="3" t="str">
        <f>IF(Participant_Data!C279="","",Participant_Data!C279)</f>
        <v/>
      </c>
      <c r="D279" s="5"/>
      <c r="E279" s="5"/>
      <c r="F279" s="5"/>
      <c r="G279" s="2" t="str">
        <f t="shared" si="18"/>
        <v/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2" t="str">
        <f t="shared" si="20"/>
        <v/>
      </c>
      <c r="V279" s="2" t="str">
        <f t="shared" si="21"/>
        <v/>
      </c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2" t="str">
        <f t="shared" si="22"/>
        <v/>
      </c>
      <c r="AJ279" s="2" t="str">
        <f t="shared" si="23"/>
        <v/>
      </c>
      <c r="AK279" s="2" t="str">
        <f t="shared" si="24"/>
        <v/>
      </c>
      <c r="AL279" s="2"/>
      <c r="AM279" s="2"/>
      <c r="AN279" t="str">
        <f>IF(OR(G279="",Participant_Data!E279=""),"",IF(Participant_Data!E279&lt;70,IF(ROUND(G279,1)&lt;18.5,"ขาด/เสี่ยงขาด",IF(ROUND(G279,1)&gt;=25,"เสี่ยงเกิน/เกิน","ปกติ")),IF(ROUND(G279,1)&lt;20,"ขาด/เสี่ยงขาด",IF(ROUND(G279,1)&gt;=25,"เสี่ยงเกิน/เกิน","ปกติ"))))</f>
        <v/>
      </c>
      <c r="AO279" t="str">
        <f>IF(OR(I279="",Participant_Data!G279=""),"",IF(Participant_Data!G279=1,IF(ROUND(I279,1)&lt;15,"ขาด/เสี่ยงขาด",IF(ROUND(I279,1)&gt;25,"เสี่ยงเกิน/เกิน","ปกติ")),IF(ROUND(I279,1)&lt;20,"ขาด/เสี่ยงขาด",IF(ROUND(I279,1)&gt;35,"เสี่ยงเกิน/เกิน","ปกติ"))))</f>
        <v/>
      </c>
      <c r="AP279" t="str">
        <f t="shared" si="19"/>
        <v/>
      </c>
    </row>
    <row r="280" spans="1:42">
      <c r="A280" s="2">
        <f>IF(Participant_Data!A280="","",Participant_Data!A280)</f>
        <v>279</v>
      </c>
      <c r="B280" s="2" t="str">
        <f>IF(Participant_Data!B280="","",Participant_Data!B280)</f>
        <v/>
      </c>
      <c r="C280" s="3" t="str">
        <f>IF(Participant_Data!C280="","",Participant_Data!C280)</f>
        <v/>
      </c>
      <c r="D280" s="5"/>
      <c r="E280" s="5"/>
      <c r="F280" s="5"/>
      <c r="G280" s="2" t="str">
        <f t="shared" si="18"/>
        <v/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2" t="str">
        <f t="shared" si="20"/>
        <v/>
      </c>
      <c r="V280" s="2" t="str">
        <f t="shared" si="21"/>
        <v/>
      </c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2" t="str">
        <f t="shared" si="22"/>
        <v/>
      </c>
      <c r="AJ280" s="2" t="str">
        <f t="shared" si="23"/>
        <v/>
      </c>
      <c r="AK280" s="2" t="str">
        <f t="shared" si="24"/>
        <v/>
      </c>
      <c r="AL280" s="2"/>
      <c r="AM280" s="2"/>
      <c r="AN280" t="str">
        <f>IF(OR(G280="",Participant_Data!E280=""),"",IF(Participant_Data!E280&lt;70,IF(ROUND(G280,1)&lt;18.5,"ขาด/เสี่ยงขาด",IF(ROUND(G280,1)&gt;=25,"เสี่ยงเกิน/เกิน","ปกติ")),IF(ROUND(G280,1)&lt;20,"ขาด/เสี่ยงขาด",IF(ROUND(G280,1)&gt;=25,"เสี่ยงเกิน/เกิน","ปกติ"))))</f>
        <v/>
      </c>
      <c r="AO280" t="str">
        <f>IF(OR(I280="",Participant_Data!G280=""),"",IF(Participant_Data!G280=1,IF(ROUND(I280,1)&lt;15,"ขาด/เสี่ยงขาด",IF(ROUND(I280,1)&gt;25,"เสี่ยงเกิน/เกิน","ปกติ")),IF(ROUND(I280,1)&lt;20,"ขาด/เสี่ยงขาด",IF(ROUND(I280,1)&gt;35,"เสี่ยงเกิน/เกิน","ปกติ"))))</f>
        <v/>
      </c>
      <c r="AP280" t="str">
        <f t="shared" si="19"/>
        <v/>
      </c>
    </row>
    <row r="281" spans="1:42">
      <c r="A281" s="2">
        <f>IF(Participant_Data!A281="","",Participant_Data!A281)</f>
        <v>280</v>
      </c>
      <c r="B281" s="2" t="str">
        <f>IF(Participant_Data!B281="","",Participant_Data!B281)</f>
        <v/>
      </c>
      <c r="C281" s="3" t="str">
        <f>IF(Participant_Data!C281="","",Participant_Data!C281)</f>
        <v/>
      </c>
      <c r="D281" s="5"/>
      <c r="E281" s="5"/>
      <c r="F281" s="5"/>
      <c r="G281" s="2" t="str">
        <f t="shared" si="18"/>
        <v/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2" t="str">
        <f t="shared" si="20"/>
        <v/>
      </c>
      <c r="V281" s="2" t="str">
        <f t="shared" si="21"/>
        <v/>
      </c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2" t="str">
        <f t="shared" si="22"/>
        <v/>
      </c>
      <c r="AJ281" s="2" t="str">
        <f t="shared" si="23"/>
        <v/>
      </c>
      <c r="AK281" s="2" t="str">
        <f t="shared" si="24"/>
        <v/>
      </c>
      <c r="AL281" s="2"/>
      <c r="AM281" s="2"/>
      <c r="AN281" t="str">
        <f>IF(OR(G281="",Participant_Data!E281=""),"",IF(Participant_Data!E281&lt;70,IF(ROUND(G281,1)&lt;18.5,"ขาด/เสี่ยงขาด",IF(ROUND(G281,1)&gt;=25,"เสี่ยงเกิน/เกิน","ปกติ")),IF(ROUND(G281,1)&lt;20,"ขาด/เสี่ยงขาด",IF(ROUND(G281,1)&gt;=25,"เสี่ยงเกิน/เกิน","ปกติ"))))</f>
        <v/>
      </c>
      <c r="AO281" t="str">
        <f>IF(OR(I281="",Participant_Data!G281=""),"",IF(Participant_Data!G281=1,IF(ROUND(I281,1)&lt;15,"ขาด/เสี่ยงขาด",IF(ROUND(I281,1)&gt;25,"เสี่ยงเกิน/เกิน","ปกติ")),IF(ROUND(I281,1)&lt;20,"ขาด/เสี่ยงขาด",IF(ROUND(I281,1)&gt;35,"เสี่ยงเกิน/เกิน","ปกติ"))))</f>
        <v/>
      </c>
      <c r="AP281" t="str">
        <f t="shared" si="19"/>
        <v/>
      </c>
    </row>
    <row r="282" spans="1:42">
      <c r="A282" s="2">
        <f>IF(Participant_Data!A282="","",Participant_Data!A282)</f>
        <v>281</v>
      </c>
      <c r="B282" s="2" t="str">
        <f>IF(Participant_Data!B282="","",Participant_Data!B282)</f>
        <v/>
      </c>
      <c r="C282" s="3" t="str">
        <f>IF(Participant_Data!C282="","",Participant_Data!C282)</f>
        <v/>
      </c>
      <c r="D282" s="5"/>
      <c r="E282" s="5"/>
      <c r="F282" s="5"/>
      <c r="G282" s="2" t="str">
        <f t="shared" si="18"/>
        <v/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2" t="str">
        <f t="shared" si="20"/>
        <v/>
      </c>
      <c r="V282" s="2" t="str">
        <f t="shared" si="21"/>
        <v/>
      </c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2" t="str">
        <f t="shared" si="22"/>
        <v/>
      </c>
      <c r="AJ282" s="2" t="str">
        <f t="shared" si="23"/>
        <v/>
      </c>
      <c r="AK282" s="2" t="str">
        <f t="shared" si="24"/>
        <v/>
      </c>
      <c r="AL282" s="2"/>
      <c r="AM282" s="2"/>
      <c r="AN282" t="str">
        <f>IF(OR(G282="",Participant_Data!E282=""),"",IF(Participant_Data!E282&lt;70,IF(ROUND(G282,1)&lt;18.5,"ขาด/เสี่ยงขาด",IF(ROUND(G282,1)&gt;=25,"เสี่ยงเกิน/เกิน","ปกติ")),IF(ROUND(G282,1)&lt;20,"ขาด/เสี่ยงขาด",IF(ROUND(G282,1)&gt;=25,"เสี่ยงเกิน/เกิน","ปกติ"))))</f>
        <v/>
      </c>
      <c r="AO282" t="str">
        <f>IF(OR(I282="",Participant_Data!G282=""),"",IF(Participant_Data!G282=1,IF(ROUND(I282,1)&lt;15,"ขาด/เสี่ยงขาด",IF(ROUND(I282,1)&gt;25,"เสี่ยงเกิน/เกิน","ปกติ")),IF(ROUND(I282,1)&lt;20,"ขาด/เสี่ยงขาด",IF(ROUND(I282,1)&gt;35,"เสี่ยงเกิน/เกิน","ปกติ"))))</f>
        <v/>
      </c>
      <c r="AP282" t="str">
        <f t="shared" si="19"/>
        <v/>
      </c>
    </row>
    <row r="283" spans="1:42">
      <c r="A283" s="2">
        <f>IF(Participant_Data!A283="","",Participant_Data!A283)</f>
        <v>282</v>
      </c>
      <c r="B283" s="2" t="str">
        <f>IF(Participant_Data!B283="","",Participant_Data!B283)</f>
        <v/>
      </c>
      <c r="C283" s="3" t="str">
        <f>IF(Participant_Data!C283="","",Participant_Data!C283)</f>
        <v/>
      </c>
      <c r="D283" s="5"/>
      <c r="E283" s="5"/>
      <c r="F283" s="5"/>
      <c r="G283" s="2" t="str">
        <f t="shared" si="18"/>
        <v/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2" t="str">
        <f t="shared" si="20"/>
        <v/>
      </c>
      <c r="V283" s="2" t="str">
        <f t="shared" si="21"/>
        <v/>
      </c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2" t="str">
        <f t="shared" si="22"/>
        <v/>
      </c>
      <c r="AJ283" s="2" t="str">
        <f t="shared" si="23"/>
        <v/>
      </c>
      <c r="AK283" s="2" t="str">
        <f t="shared" si="24"/>
        <v/>
      </c>
      <c r="AL283" s="2"/>
      <c r="AM283" s="2"/>
      <c r="AN283" t="str">
        <f>IF(OR(G283="",Participant_Data!E283=""),"",IF(Participant_Data!E283&lt;70,IF(ROUND(G283,1)&lt;18.5,"ขาด/เสี่ยงขาด",IF(ROUND(G283,1)&gt;=25,"เสี่ยงเกิน/เกิน","ปกติ")),IF(ROUND(G283,1)&lt;20,"ขาด/เสี่ยงขาด",IF(ROUND(G283,1)&gt;=25,"เสี่ยงเกิน/เกิน","ปกติ"))))</f>
        <v/>
      </c>
      <c r="AO283" t="str">
        <f>IF(OR(I283="",Participant_Data!G283=""),"",IF(Participant_Data!G283=1,IF(ROUND(I283,1)&lt;15,"ขาด/เสี่ยงขาด",IF(ROUND(I283,1)&gt;25,"เสี่ยงเกิน/เกิน","ปกติ")),IF(ROUND(I283,1)&lt;20,"ขาด/เสี่ยงขาด",IF(ROUND(I283,1)&gt;35,"เสี่ยงเกิน/เกิน","ปกติ"))))</f>
        <v/>
      </c>
      <c r="AP283" t="str">
        <f t="shared" si="19"/>
        <v/>
      </c>
    </row>
    <row r="284" spans="1:42">
      <c r="A284" s="2">
        <f>IF(Participant_Data!A284="","",Participant_Data!A284)</f>
        <v>283</v>
      </c>
      <c r="B284" s="2" t="str">
        <f>IF(Participant_Data!B284="","",Participant_Data!B284)</f>
        <v/>
      </c>
      <c r="C284" s="3" t="str">
        <f>IF(Participant_Data!C284="","",Participant_Data!C284)</f>
        <v/>
      </c>
      <c r="D284" s="5"/>
      <c r="E284" s="5"/>
      <c r="F284" s="5"/>
      <c r="G284" s="2" t="str">
        <f t="shared" si="18"/>
        <v/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2" t="str">
        <f t="shared" si="20"/>
        <v/>
      </c>
      <c r="V284" s="2" t="str">
        <f t="shared" si="21"/>
        <v/>
      </c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2" t="str">
        <f t="shared" si="22"/>
        <v/>
      </c>
      <c r="AJ284" s="2" t="str">
        <f t="shared" si="23"/>
        <v/>
      </c>
      <c r="AK284" s="2" t="str">
        <f t="shared" si="24"/>
        <v/>
      </c>
      <c r="AL284" s="2"/>
      <c r="AM284" s="2"/>
      <c r="AN284" t="str">
        <f>IF(OR(G284="",Participant_Data!E284=""),"",IF(Participant_Data!E284&lt;70,IF(ROUND(G284,1)&lt;18.5,"ขาด/เสี่ยงขาด",IF(ROUND(G284,1)&gt;=25,"เสี่ยงเกิน/เกิน","ปกติ")),IF(ROUND(G284,1)&lt;20,"ขาด/เสี่ยงขาด",IF(ROUND(G284,1)&gt;=25,"เสี่ยงเกิน/เกิน","ปกติ"))))</f>
        <v/>
      </c>
      <c r="AO284" t="str">
        <f>IF(OR(I284="",Participant_Data!G284=""),"",IF(Participant_Data!G284=1,IF(ROUND(I284,1)&lt;15,"ขาด/เสี่ยงขาด",IF(ROUND(I284,1)&gt;25,"เสี่ยงเกิน/เกิน","ปกติ")),IF(ROUND(I284,1)&lt;20,"ขาด/เสี่ยงขาด",IF(ROUND(I284,1)&gt;35,"เสี่ยงเกิน/เกิน","ปกติ"))))</f>
        <v/>
      </c>
      <c r="AP284" t="str">
        <f t="shared" si="19"/>
        <v/>
      </c>
    </row>
    <row r="285" spans="1:42">
      <c r="A285" s="2">
        <f>IF(Participant_Data!A285="","",Participant_Data!A285)</f>
        <v>284</v>
      </c>
      <c r="B285" s="2" t="str">
        <f>IF(Participant_Data!B285="","",Participant_Data!B285)</f>
        <v/>
      </c>
      <c r="C285" s="3" t="str">
        <f>IF(Participant_Data!C285="","",Participant_Data!C285)</f>
        <v/>
      </c>
      <c r="D285" s="5"/>
      <c r="E285" s="5"/>
      <c r="F285" s="5"/>
      <c r="G285" s="2" t="str">
        <f t="shared" si="18"/>
        <v/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2" t="str">
        <f t="shared" si="20"/>
        <v/>
      </c>
      <c r="V285" s="2" t="str">
        <f t="shared" si="21"/>
        <v/>
      </c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2" t="str">
        <f t="shared" si="22"/>
        <v/>
      </c>
      <c r="AJ285" s="2" t="str">
        <f t="shared" si="23"/>
        <v/>
      </c>
      <c r="AK285" s="2" t="str">
        <f t="shared" si="24"/>
        <v/>
      </c>
      <c r="AL285" s="2"/>
      <c r="AM285" s="2"/>
      <c r="AN285" t="str">
        <f>IF(OR(G285="",Participant_Data!E285=""),"",IF(Participant_Data!E285&lt;70,IF(ROUND(G285,1)&lt;18.5,"ขาด/เสี่ยงขาด",IF(ROUND(G285,1)&gt;=25,"เสี่ยงเกิน/เกิน","ปกติ")),IF(ROUND(G285,1)&lt;20,"ขาด/เสี่ยงขาด",IF(ROUND(G285,1)&gt;=25,"เสี่ยงเกิน/เกิน","ปกติ"))))</f>
        <v/>
      </c>
      <c r="AO285" t="str">
        <f>IF(OR(I285="",Participant_Data!G285=""),"",IF(Participant_Data!G285=1,IF(ROUND(I285,1)&lt;15,"ขาด/เสี่ยงขาด",IF(ROUND(I285,1)&gt;25,"เสี่ยงเกิน/เกิน","ปกติ")),IF(ROUND(I285,1)&lt;20,"ขาด/เสี่ยงขาด",IF(ROUND(I285,1)&gt;35,"เสี่ยงเกิน/เกิน","ปกติ"))))</f>
        <v/>
      </c>
      <c r="AP285" t="str">
        <f t="shared" si="19"/>
        <v/>
      </c>
    </row>
    <row r="286" spans="1:42">
      <c r="A286" s="2">
        <f>IF(Participant_Data!A286="","",Participant_Data!A286)</f>
        <v>285</v>
      </c>
      <c r="B286" s="2" t="str">
        <f>IF(Participant_Data!B286="","",Participant_Data!B286)</f>
        <v/>
      </c>
      <c r="C286" s="3" t="str">
        <f>IF(Participant_Data!C286="","",Participant_Data!C286)</f>
        <v/>
      </c>
      <c r="D286" s="5"/>
      <c r="E286" s="5"/>
      <c r="F286" s="5"/>
      <c r="G286" s="2" t="str">
        <f t="shared" si="18"/>
        <v/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2" t="str">
        <f t="shared" si="20"/>
        <v/>
      </c>
      <c r="V286" s="2" t="str">
        <f t="shared" si="21"/>
        <v/>
      </c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2" t="str">
        <f t="shared" si="22"/>
        <v/>
      </c>
      <c r="AJ286" s="2" t="str">
        <f t="shared" si="23"/>
        <v/>
      </c>
      <c r="AK286" s="2" t="str">
        <f t="shared" si="24"/>
        <v/>
      </c>
      <c r="AL286" s="2"/>
      <c r="AM286" s="2"/>
      <c r="AN286" t="str">
        <f>IF(OR(G286="",Participant_Data!E286=""),"",IF(Participant_Data!E286&lt;70,IF(ROUND(G286,1)&lt;18.5,"ขาด/เสี่ยงขาด",IF(ROUND(G286,1)&gt;=25,"เสี่ยงเกิน/เกิน","ปกติ")),IF(ROUND(G286,1)&lt;20,"ขาด/เสี่ยงขาด",IF(ROUND(G286,1)&gt;=25,"เสี่ยงเกิน/เกิน","ปกติ"))))</f>
        <v/>
      </c>
      <c r="AO286" t="str">
        <f>IF(OR(I286="",Participant_Data!G286=""),"",IF(Participant_Data!G286=1,IF(ROUND(I286,1)&lt;15,"ขาด/เสี่ยงขาด",IF(ROUND(I286,1)&gt;25,"เสี่ยงเกิน/เกิน","ปกติ")),IF(ROUND(I286,1)&lt;20,"ขาด/เสี่ยงขาด",IF(ROUND(I286,1)&gt;35,"เสี่ยงเกิน/เกิน","ปกติ"))))</f>
        <v/>
      </c>
      <c r="AP286" t="str">
        <f t="shared" si="19"/>
        <v/>
      </c>
    </row>
    <row r="287" spans="1:42">
      <c r="A287" s="2">
        <f>IF(Participant_Data!A287="","",Participant_Data!A287)</f>
        <v>286</v>
      </c>
      <c r="B287" s="2" t="str">
        <f>IF(Participant_Data!B287="","",Participant_Data!B287)</f>
        <v/>
      </c>
      <c r="C287" s="3" t="str">
        <f>IF(Participant_Data!C287="","",Participant_Data!C287)</f>
        <v/>
      </c>
      <c r="D287" s="5"/>
      <c r="E287" s="5"/>
      <c r="F287" s="5"/>
      <c r="G287" s="2" t="str">
        <f t="shared" si="18"/>
        <v/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2" t="str">
        <f t="shared" si="20"/>
        <v/>
      </c>
      <c r="V287" s="2" t="str">
        <f t="shared" si="21"/>
        <v/>
      </c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2" t="str">
        <f t="shared" si="22"/>
        <v/>
      </c>
      <c r="AJ287" s="2" t="str">
        <f t="shared" si="23"/>
        <v/>
      </c>
      <c r="AK287" s="2" t="str">
        <f t="shared" si="24"/>
        <v/>
      </c>
      <c r="AL287" s="2"/>
      <c r="AM287" s="2"/>
      <c r="AN287" t="str">
        <f>IF(OR(G287="",Participant_Data!E287=""),"",IF(Participant_Data!E287&lt;70,IF(ROUND(G287,1)&lt;18.5,"ขาด/เสี่ยงขาด",IF(ROUND(G287,1)&gt;=25,"เสี่ยงเกิน/เกิน","ปกติ")),IF(ROUND(G287,1)&lt;20,"ขาด/เสี่ยงขาด",IF(ROUND(G287,1)&gt;=25,"เสี่ยงเกิน/เกิน","ปกติ"))))</f>
        <v/>
      </c>
      <c r="AO287" t="str">
        <f>IF(OR(I287="",Participant_Data!G287=""),"",IF(Participant_Data!G287=1,IF(ROUND(I287,1)&lt;15,"ขาด/เสี่ยงขาด",IF(ROUND(I287,1)&gt;25,"เสี่ยงเกิน/เกิน","ปกติ")),IF(ROUND(I287,1)&lt;20,"ขาด/เสี่ยงขาด",IF(ROUND(I287,1)&gt;35,"เสี่ยงเกิน/เกิน","ปกติ"))))</f>
        <v/>
      </c>
      <c r="AP287" t="str">
        <f t="shared" si="19"/>
        <v/>
      </c>
    </row>
    <row r="288" spans="1:42">
      <c r="A288" s="2">
        <f>IF(Participant_Data!A288="","",Participant_Data!A288)</f>
        <v>287</v>
      </c>
      <c r="B288" s="2" t="str">
        <f>IF(Participant_Data!B288="","",Participant_Data!B288)</f>
        <v/>
      </c>
      <c r="C288" s="3" t="str">
        <f>IF(Participant_Data!C288="","",Participant_Data!C288)</f>
        <v/>
      </c>
      <c r="D288" s="5"/>
      <c r="E288" s="5"/>
      <c r="F288" s="5"/>
      <c r="G288" s="2" t="str">
        <f t="shared" si="18"/>
        <v/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2" t="str">
        <f t="shared" si="20"/>
        <v/>
      </c>
      <c r="V288" s="2" t="str">
        <f t="shared" si="21"/>
        <v/>
      </c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2" t="str">
        <f t="shared" si="22"/>
        <v/>
      </c>
      <c r="AJ288" s="2" t="str">
        <f t="shared" si="23"/>
        <v/>
      </c>
      <c r="AK288" s="2" t="str">
        <f t="shared" si="24"/>
        <v/>
      </c>
      <c r="AL288" s="2"/>
      <c r="AM288" s="2"/>
      <c r="AN288" t="str">
        <f>IF(OR(G288="",Participant_Data!E288=""),"",IF(Participant_Data!E288&lt;70,IF(ROUND(G288,1)&lt;18.5,"ขาด/เสี่ยงขาด",IF(ROUND(G288,1)&gt;=25,"เสี่ยงเกิน/เกิน","ปกติ")),IF(ROUND(G288,1)&lt;20,"ขาด/เสี่ยงขาด",IF(ROUND(G288,1)&gt;=25,"เสี่ยงเกิน/เกิน","ปกติ"))))</f>
        <v/>
      </c>
      <c r="AO288" t="str">
        <f>IF(OR(I288="",Participant_Data!G288=""),"",IF(Participant_Data!G288=1,IF(ROUND(I288,1)&lt;15,"ขาด/เสี่ยงขาด",IF(ROUND(I288,1)&gt;25,"เสี่ยงเกิน/เกิน","ปกติ")),IF(ROUND(I288,1)&lt;20,"ขาด/เสี่ยงขาด",IF(ROUND(I288,1)&gt;35,"เสี่ยงเกิน/เกิน","ปกติ"))))</f>
        <v/>
      </c>
      <c r="AP288" t="str">
        <f t="shared" si="19"/>
        <v/>
      </c>
    </row>
    <row r="289" spans="1:42">
      <c r="A289" s="2">
        <f>IF(Participant_Data!A289="","",Participant_Data!A289)</f>
        <v>288</v>
      </c>
      <c r="B289" s="2" t="str">
        <f>IF(Participant_Data!B289="","",Participant_Data!B289)</f>
        <v/>
      </c>
      <c r="C289" s="3" t="str">
        <f>IF(Participant_Data!C289="","",Participant_Data!C289)</f>
        <v/>
      </c>
      <c r="D289" s="5"/>
      <c r="E289" s="5"/>
      <c r="F289" s="5"/>
      <c r="G289" s="2" t="str">
        <f t="shared" si="18"/>
        <v/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2" t="str">
        <f t="shared" si="20"/>
        <v/>
      </c>
      <c r="V289" s="2" t="str">
        <f t="shared" si="21"/>
        <v/>
      </c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2" t="str">
        <f t="shared" si="22"/>
        <v/>
      </c>
      <c r="AJ289" s="2" t="str">
        <f t="shared" si="23"/>
        <v/>
      </c>
      <c r="AK289" s="2" t="str">
        <f t="shared" si="24"/>
        <v/>
      </c>
      <c r="AL289" s="2"/>
      <c r="AM289" s="2"/>
      <c r="AN289" t="str">
        <f>IF(OR(G289="",Participant_Data!E289=""),"",IF(Participant_Data!E289&lt;70,IF(ROUND(G289,1)&lt;18.5,"ขาด/เสี่ยงขาด",IF(ROUND(G289,1)&gt;=25,"เสี่ยงเกิน/เกิน","ปกติ")),IF(ROUND(G289,1)&lt;20,"ขาด/เสี่ยงขาด",IF(ROUND(G289,1)&gt;=25,"เสี่ยงเกิน/เกิน","ปกติ"))))</f>
        <v/>
      </c>
      <c r="AO289" t="str">
        <f>IF(OR(I289="",Participant_Data!G289=""),"",IF(Participant_Data!G289=1,IF(ROUND(I289,1)&lt;15,"ขาด/เสี่ยงขาด",IF(ROUND(I289,1)&gt;25,"เสี่ยงเกิน/เกิน","ปกติ")),IF(ROUND(I289,1)&lt;20,"ขาด/เสี่ยงขาด",IF(ROUND(I289,1)&gt;35,"เสี่ยงเกิน/เกิน","ปกติ"))))</f>
        <v/>
      </c>
      <c r="AP289" t="str">
        <f t="shared" si="19"/>
        <v/>
      </c>
    </row>
    <row r="290" spans="1:42">
      <c r="A290" s="2">
        <f>IF(Participant_Data!A290="","",Participant_Data!A290)</f>
        <v>289</v>
      </c>
      <c r="B290" s="2" t="str">
        <f>IF(Participant_Data!B290="","",Participant_Data!B290)</f>
        <v/>
      </c>
      <c r="C290" s="3" t="str">
        <f>IF(Participant_Data!C290="","",Participant_Data!C290)</f>
        <v/>
      </c>
      <c r="D290" s="5"/>
      <c r="E290" s="5"/>
      <c r="F290" s="5"/>
      <c r="G290" s="2" t="str">
        <f t="shared" si="18"/>
        <v/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2" t="str">
        <f t="shared" si="20"/>
        <v/>
      </c>
      <c r="V290" s="2" t="str">
        <f t="shared" si="21"/>
        <v/>
      </c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2" t="str">
        <f t="shared" si="22"/>
        <v/>
      </c>
      <c r="AJ290" s="2" t="str">
        <f t="shared" si="23"/>
        <v/>
      </c>
      <c r="AK290" s="2" t="str">
        <f t="shared" si="24"/>
        <v/>
      </c>
      <c r="AL290" s="2"/>
      <c r="AM290" s="2"/>
      <c r="AN290" t="str">
        <f>IF(OR(G290="",Participant_Data!E290=""),"",IF(Participant_Data!E290&lt;70,IF(ROUND(G290,1)&lt;18.5,"ขาด/เสี่ยงขาด",IF(ROUND(G290,1)&gt;=25,"เสี่ยงเกิน/เกิน","ปกติ")),IF(ROUND(G290,1)&lt;20,"ขาด/เสี่ยงขาด",IF(ROUND(G290,1)&gt;=25,"เสี่ยงเกิน/เกิน","ปกติ"))))</f>
        <v/>
      </c>
      <c r="AO290" t="str">
        <f>IF(OR(I290="",Participant_Data!G290=""),"",IF(Participant_Data!G290=1,IF(ROUND(I290,1)&lt;15,"ขาด/เสี่ยงขาด",IF(ROUND(I290,1)&gt;25,"เสี่ยงเกิน/เกิน","ปกติ")),IF(ROUND(I290,1)&lt;20,"ขาด/เสี่ยงขาด",IF(ROUND(I290,1)&gt;35,"เสี่ยงเกิน/เกิน","ปกติ"))))</f>
        <v/>
      </c>
      <c r="AP290" t="str">
        <f t="shared" si="19"/>
        <v/>
      </c>
    </row>
    <row r="291" spans="1:42">
      <c r="A291" s="2">
        <f>IF(Participant_Data!A291="","",Participant_Data!A291)</f>
        <v>290</v>
      </c>
      <c r="B291" s="2" t="str">
        <f>IF(Participant_Data!B291="","",Participant_Data!B291)</f>
        <v/>
      </c>
      <c r="C291" s="3" t="str">
        <f>IF(Participant_Data!C291="","",Participant_Data!C291)</f>
        <v/>
      </c>
      <c r="D291" s="5"/>
      <c r="E291" s="5"/>
      <c r="F291" s="5"/>
      <c r="G291" s="2" t="str">
        <f t="shared" si="18"/>
        <v/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2" t="str">
        <f t="shared" si="20"/>
        <v/>
      </c>
      <c r="V291" s="2" t="str">
        <f t="shared" si="21"/>
        <v/>
      </c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2" t="str">
        <f t="shared" si="22"/>
        <v/>
      </c>
      <c r="AJ291" s="2" t="str">
        <f t="shared" si="23"/>
        <v/>
      </c>
      <c r="AK291" s="2" t="str">
        <f t="shared" si="24"/>
        <v/>
      </c>
      <c r="AL291" s="2"/>
      <c r="AM291" s="2"/>
      <c r="AN291" t="str">
        <f>IF(OR(G291="",Participant_Data!E291=""),"",IF(Participant_Data!E291&lt;70,IF(ROUND(G291,1)&lt;18.5,"ขาด/เสี่ยงขาด",IF(ROUND(G291,1)&gt;=25,"เสี่ยงเกิน/เกิน","ปกติ")),IF(ROUND(G291,1)&lt;20,"ขาด/เสี่ยงขาด",IF(ROUND(G291,1)&gt;=25,"เสี่ยงเกิน/เกิน","ปกติ"))))</f>
        <v/>
      </c>
      <c r="AO291" t="str">
        <f>IF(OR(I291="",Participant_Data!G291=""),"",IF(Participant_Data!G291=1,IF(ROUND(I291,1)&lt;15,"ขาด/เสี่ยงขาด",IF(ROUND(I291,1)&gt;25,"เสี่ยงเกิน/เกิน","ปกติ")),IF(ROUND(I291,1)&lt;20,"ขาด/เสี่ยงขาด",IF(ROUND(I291,1)&gt;35,"เสี่ยงเกิน/เกิน","ปกติ"))))</f>
        <v/>
      </c>
      <c r="AP291" t="str">
        <f t="shared" si="19"/>
        <v/>
      </c>
    </row>
    <row r="292" spans="1:42">
      <c r="A292" s="2">
        <f>IF(Participant_Data!A292="","",Participant_Data!A292)</f>
        <v>291</v>
      </c>
      <c r="B292" s="2" t="str">
        <f>IF(Participant_Data!B292="","",Participant_Data!B292)</f>
        <v/>
      </c>
      <c r="C292" s="3" t="str">
        <f>IF(Participant_Data!C292="","",Participant_Data!C292)</f>
        <v/>
      </c>
      <c r="D292" s="5"/>
      <c r="E292" s="5"/>
      <c r="F292" s="5"/>
      <c r="G292" s="2" t="str">
        <f t="shared" si="18"/>
        <v/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2" t="str">
        <f t="shared" si="20"/>
        <v/>
      </c>
      <c r="V292" s="2" t="str">
        <f t="shared" si="21"/>
        <v/>
      </c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2" t="str">
        <f t="shared" si="22"/>
        <v/>
      </c>
      <c r="AJ292" s="2" t="str">
        <f t="shared" si="23"/>
        <v/>
      </c>
      <c r="AK292" s="2" t="str">
        <f t="shared" si="24"/>
        <v/>
      </c>
      <c r="AL292" s="2"/>
      <c r="AM292" s="2"/>
      <c r="AN292" t="str">
        <f>IF(OR(G292="",Participant_Data!E292=""),"",IF(Participant_Data!E292&lt;70,IF(ROUND(G292,1)&lt;18.5,"ขาด/เสี่ยงขาด",IF(ROUND(G292,1)&gt;=25,"เสี่ยงเกิน/เกิน","ปกติ")),IF(ROUND(G292,1)&lt;20,"ขาด/เสี่ยงขาด",IF(ROUND(G292,1)&gt;=25,"เสี่ยงเกิน/เกิน","ปกติ"))))</f>
        <v/>
      </c>
      <c r="AO292" t="str">
        <f>IF(OR(I292="",Participant_Data!G292=""),"",IF(Participant_Data!G292=1,IF(ROUND(I292,1)&lt;15,"ขาด/เสี่ยงขาด",IF(ROUND(I292,1)&gt;25,"เสี่ยงเกิน/เกิน","ปกติ")),IF(ROUND(I292,1)&lt;20,"ขาด/เสี่ยงขาด",IF(ROUND(I292,1)&gt;35,"เสี่ยงเกิน/เกิน","ปกติ"))))</f>
        <v/>
      </c>
      <c r="AP292" t="str">
        <f t="shared" si="19"/>
        <v/>
      </c>
    </row>
    <row r="293" spans="1:42">
      <c r="A293" s="2">
        <f>IF(Participant_Data!A293="","",Participant_Data!A293)</f>
        <v>292</v>
      </c>
      <c r="B293" s="2" t="str">
        <f>IF(Participant_Data!B293="","",Participant_Data!B293)</f>
        <v/>
      </c>
      <c r="C293" s="3" t="str">
        <f>IF(Participant_Data!C293="","",Participant_Data!C293)</f>
        <v/>
      </c>
      <c r="D293" s="5"/>
      <c r="E293" s="5"/>
      <c r="F293" s="5"/>
      <c r="G293" s="2" t="str">
        <f t="shared" si="18"/>
        <v/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2" t="str">
        <f t="shared" si="20"/>
        <v/>
      </c>
      <c r="V293" s="2" t="str">
        <f t="shared" si="21"/>
        <v/>
      </c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2" t="str">
        <f t="shared" si="22"/>
        <v/>
      </c>
      <c r="AJ293" s="2" t="str">
        <f t="shared" si="23"/>
        <v/>
      </c>
      <c r="AK293" s="2" t="str">
        <f t="shared" si="24"/>
        <v/>
      </c>
      <c r="AL293" s="2"/>
      <c r="AM293" s="2"/>
      <c r="AN293" t="str">
        <f>IF(OR(G293="",Participant_Data!E293=""),"",IF(Participant_Data!E293&lt;70,IF(ROUND(G293,1)&lt;18.5,"ขาด/เสี่ยงขาด",IF(ROUND(G293,1)&gt;=25,"เสี่ยงเกิน/เกิน","ปกติ")),IF(ROUND(G293,1)&lt;20,"ขาด/เสี่ยงขาด",IF(ROUND(G293,1)&gt;=25,"เสี่ยงเกิน/เกิน","ปกติ"))))</f>
        <v/>
      </c>
      <c r="AO293" t="str">
        <f>IF(OR(I293="",Participant_Data!G293=""),"",IF(Participant_Data!G293=1,IF(ROUND(I293,1)&lt;15,"ขาด/เสี่ยงขาด",IF(ROUND(I293,1)&gt;25,"เสี่ยงเกิน/เกิน","ปกติ")),IF(ROUND(I293,1)&lt;20,"ขาด/เสี่ยงขาด",IF(ROUND(I293,1)&gt;35,"เสี่ยงเกิน/เกิน","ปกติ"))))</f>
        <v/>
      </c>
      <c r="AP293" t="str">
        <f t="shared" si="19"/>
        <v/>
      </c>
    </row>
    <row r="294" spans="1:42">
      <c r="A294" s="2">
        <f>IF(Participant_Data!A294="","",Participant_Data!A294)</f>
        <v>293</v>
      </c>
      <c r="B294" s="2" t="str">
        <f>IF(Participant_Data!B294="","",Participant_Data!B294)</f>
        <v/>
      </c>
      <c r="C294" s="3" t="str">
        <f>IF(Participant_Data!C294="","",Participant_Data!C294)</f>
        <v/>
      </c>
      <c r="D294" s="5"/>
      <c r="E294" s="5"/>
      <c r="F294" s="5"/>
      <c r="G294" s="2" t="str">
        <f t="shared" si="18"/>
        <v/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2" t="str">
        <f t="shared" si="20"/>
        <v/>
      </c>
      <c r="V294" s="2" t="str">
        <f t="shared" si="21"/>
        <v/>
      </c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2" t="str">
        <f t="shared" si="22"/>
        <v/>
      </c>
      <c r="AJ294" s="2" t="str">
        <f t="shared" si="23"/>
        <v/>
      </c>
      <c r="AK294" s="2" t="str">
        <f t="shared" si="24"/>
        <v/>
      </c>
      <c r="AL294" s="2"/>
      <c r="AM294" s="2"/>
      <c r="AN294" t="str">
        <f>IF(OR(G294="",Participant_Data!E294=""),"",IF(Participant_Data!E294&lt;70,IF(ROUND(G294,1)&lt;18.5,"ขาด/เสี่ยงขาด",IF(ROUND(G294,1)&gt;=25,"เสี่ยงเกิน/เกิน","ปกติ")),IF(ROUND(G294,1)&lt;20,"ขาด/เสี่ยงขาด",IF(ROUND(G294,1)&gt;=25,"เสี่ยงเกิน/เกิน","ปกติ"))))</f>
        <v/>
      </c>
      <c r="AO294" t="str">
        <f>IF(OR(I294="",Participant_Data!G294=""),"",IF(Participant_Data!G294=1,IF(ROUND(I294,1)&lt;15,"ขาด/เสี่ยงขาด",IF(ROUND(I294,1)&gt;25,"เสี่ยงเกิน/เกิน","ปกติ")),IF(ROUND(I294,1)&lt;20,"ขาด/เสี่ยงขาด",IF(ROUND(I294,1)&gt;35,"เสี่ยงเกิน/เกิน","ปกติ"))))</f>
        <v/>
      </c>
      <c r="AP294" t="str">
        <f t="shared" si="19"/>
        <v/>
      </c>
    </row>
    <row r="295" spans="1:42">
      <c r="A295" s="2">
        <f>IF(Participant_Data!A295="","",Participant_Data!A295)</f>
        <v>294</v>
      </c>
      <c r="B295" s="2" t="str">
        <f>IF(Participant_Data!B295="","",Participant_Data!B295)</f>
        <v/>
      </c>
      <c r="C295" s="3" t="str">
        <f>IF(Participant_Data!C295="","",Participant_Data!C295)</f>
        <v/>
      </c>
      <c r="D295" s="5"/>
      <c r="E295" s="5"/>
      <c r="F295" s="5"/>
      <c r="G295" s="2" t="str">
        <f t="shared" si="18"/>
        <v/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2" t="str">
        <f t="shared" si="20"/>
        <v/>
      </c>
      <c r="V295" s="2" t="str">
        <f t="shared" si="21"/>
        <v/>
      </c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2" t="str">
        <f t="shared" si="22"/>
        <v/>
      </c>
      <c r="AJ295" s="2" t="str">
        <f t="shared" si="23"/>
        <v/>
      </c>
      <c r="AK295" s="2" t="str">
        <f t="shared" si="24"/>
        <v/>
      </c>
      <c r="AL295" s="2"/>
      <c r="AM295" s="2"/>
      <c r="AN295" t="str">
        <f>IF(OR(G295="",Participant_Data!E295=""),"",IF(Participant_Data!E295&lt;70,IF(ROUND(G295,1)&lt;18.5,"ขาด/เสี่ยงขาด",IF(ROUND(G295,1)&gt;=25,"เสี่ยงเกิน/เกิน","ปกติ")),IF(ROUND(G295,1)&lt;20,"ขาด/เสี่ยงขาด",IF(ROUND(G295,1)&gt;=25,"เสี่ยงเกิน/เกิน","ปกติ"))))</f>
        <v/>
      </c>
      <c r="AO295" t="str">
        <f>IF(OR(I295="",Participant_Data!G295=""),"",IF(Participant_Data!G295=1,IF(ROUND(I295,1)&lt;15,"ขาด/เสี่ยงขาด",IF(ROUND(I295,1)&gt;25,"เสี่ยงเกิน/เกิน","ปกติ")),IF(ROUND(I295,1)&lt;20,"ขาด/เสี่ยงขาด",IF(ROUND(I295,1)&gt;35,"เสี่ยงเกิน/เกิน","ปกติ"))))</f>
        <v/>
      </c>
      <c r="AP295" t="str">
        <f t="shared" si="19"/>
        <v/>
      </c>
    </row>
    <row r="296" spans="1:42">
      <c r="A296" s="2">
        <f>IF(Participant_Data!A296="","",Participant_Data!A296)</f>
        <v>295</v>
      </c>
      <c r="B296" s="2" t="str">
        <f>IF(Participant_Data!B296="","",Participant_Data!B296)</f>
        <v/>
      </c>
      <c r="C296" s="3" t="str">
        <f>IF(Participant_Data!C296="","",Participant_Data!C296)</f>
        <v/>
      </c>
      <c r="D296" s="5"/>
      <c r="E296" s="5"/>
      <c r="F296" s="5"/>
      <c r="G296" s="2" t="str">
        <f t="shared" si="18"/>
        <v/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2" t="str">
        <f t="shared" si="20"/>
        <v/>
      </c>
      <c r="V296" s="2" t="str">
        <f t="shared" si="21"/>
        <v/>
      </c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2" t="str">
        <f t="shared" si="22"/>
        <v/>
      </c>
      <c r="AJ296" s="2" t="str">
        <f t="shared" si="23"/>
        <v/>
      </c>
      <c r="AK296" s="2" t="str">
        <f t="shared" si="24"/>
        <v/>
      </c>
      <c r="AL296" s="2"/>
      <c r="AM296" s="2"/>
      <c r="AN296" t="str">
        <f>IF(OR(G296="",Participant_Data!E296=""),"",IF(Participant_Data!E296&lt;70,IF(ROUND(G296,1)&lt;18.5,"ขาด/เสี่ยงขาด",IF(ROUND(G296,1)&gt;=25,"เสี่ยงเกิน/เกิน","ปกติ")),IF(ROUND(G296,1)&lt;20,"ขาด/เสี่ยงขาด",IF(ROUND(G296,1)&gt;=25,"เสี่ยงเกิน/เกิน","ปกติ"))))</f>
        <v/>
      </c>
      <c r="AO296" t="str">
        <f>IF(OR(I296="",Participant_Data!G296=""),"",IF(Participant_Data!G296=1,IF(ROUND(I296,1)&lt;15,"ขาด/เสี่ยงขาด",IF(ROUND(I296,1)&gt;25,"เสี่ยงเกิน/เกิน","ปกติ")),IF(ROUND(I296,1)&lt;20,"ขาด/เสี่ยงขาด",IF(ROUND(I296,1)&gt;35,"เสี่ยงเกิน/เกิน","ปกติ"))))</f>
        <v/>
      </c>
      <c r="AP296" t="str">
        <f t="shared" si="19"/>
        <v/>
      </c>
    </row>
    <row r="297" spans="1:42">
      <c r="A297" s="2">
        <f>IF(Participant_Data!A297="","",Participant_Data!A297)</f>
        <v>296</v>
      </c>
      <c r="B297" s="2" t="str">
        <f>IF(Participant_Data!B297="","",Participant_Data!B297)</f>
        <v/>
      </c>
      <c r="C297" s="3" t="str">
        <f>IF(Participant_Data!C297="","",Participant_Data!C297)</f>
        <v/>
      </c>
      <c r="D297" s="5"/>
      <c r="E297" s="5"/>
      <c r="F297" s="5"/>
      <c r="G297" s="2" t="str">
        <f t="shared" si="18"/>
        <v/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2" t="str">
        <f t="shared" si="20"/>
        <v/>
      </c>
      <c r="V297" s="2" t="str">
        <f t="shared" si="21"/>
        <v/>
      </c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2" t="str">
        <f t="shared" si="22"/>
        <v/>
      </c>
      <c r="AJ297" s="2" t="str">
        <f t="shared" si="23"/>
        <v/>
      </c>
      <c r="AK297" s="2" t="str">
        <f t="shared" si="24"/>
        <v/>
      </c>
      <c r="AL297" s="2"/>
      <c r="AM297" s="2"/>
      <c r="AN297" t="str">
        <f>IF(OR(G297="",Participant_Data!E297=""),"",IF(Participant_Data!E297&lt;70,IF(ROUND(G297,1)&lt;18.5,"ขาด/เสี่ยงขาด",IF(ROUND(G297,1)&gt;=25,"เสี่ยงเกิน/เกิน","ปกติ")),IF(ROUND(G297,1)&lt;20,"ขาด/เสี่ยงขาด",IF(ROUND(G297,1)&gt;=25,"เสี่ยงเกิน/เกิน","ปกติ"))))</f>
        <v/>
      </c>
      <c r="AO297" t="str">
        <f>IF(OR(I297="",Participant_Data!G297=""),"",IF(Participant_Data!G297=1,IF(ROUND(I297,1)&lt;15,"ขาด/เสี่ยงขาด",IF(ROUND(I297,1)&gt;25,"เสี่ยงเกิน/เกิน","ปกติ")),IF(ROUND(I297,1)&lt;20,"ขาด/เสี่ยงขาด",IF(ROUND(I297,1)&gt;35,"เสี่ยงเกิน/เกิน","ปกติ"))))</f>
        <v/>
      </c>
      <c r="AP297" t="str">
        <f t="shared" si="19"/>
        <v/>
      </c>
    </row>
    <row r="298" spans="1:42">
      <c r="A298" s="2">
        <f>IF(Participant_Data!A298="","",Participant_Data!A298)</f>
        <v>297</v>
      </c>
      <c r="B298" s="2" t="str">
        <f>IF(Participant_Data!B298="","",Participant_Data!B298)</f>
        <v/>
      </c>
      <c r="C298" s="3" t="str">
        <f>IF(Participant_Data!C298="","",Participant_Data!C298)</f>
        <v/>
      </c>
      <c r="D298" s="5"/>
      <c r="E298" s="5"/>
      <c r="F298" s="5"/>
      <c r="G298" s="2" t="str">
        <f t="shared" si="18"/>
        <v/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2" t="str">
        <f t="shared" ref="U298:U329" si="25">IF(COUNTA(O298:T298)=0,"",SUM(O298:T298))</f>
        <v/>
      </c>
      <c r="V298" s="2" t="str">
        <f t="shared" ref="V298:V329" si="26">IF(U298="","",IF(U298&gt;=12,"Normal",IF(U298&gt;=8,"At risk","Malnourished")))</f>
        <v/>
      </c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2" t="str">
        <f t="shared" ref="AI298:AI329" si="27">IF(COUNTA(W298:AH298)=0,"",SUM(W298:AH298))</f>
        <v/>
      </c>
      <c r="AJ298" s="2" t="str">
        <f t="shared" ref="AJ298:AJ329" si="28">IF(OR(U298="",AI298=""),"",U298+AI298)</f>
        <v/>
      </c>
      <c r="AK298" s="2" t="str">
        <f t="shared" ref="AK298:AK329" si="29">IF(AJ298="","",IF(AJ298&gt;=24,"Normal",IF(AJ298&gt;=17,"At risk","Malnourished")))</f>
        <v/>
      </c>
      <c r="AL298" s="2"/>
      <c r="AM298" s="2"/>
      <c r="AN298" t="str">
        <f>IF(OR(G298="",Participant_Data!E298=""),"",IF(Participant_Data!E298&lt;70,IF(ROUND(G298,1)&lt;18.5,"ขาด/เสี่ยงขาด",IF(ROUND(G298,1)&gt;=25,"เสี่ยงเกิน/เกิน","ปกติ")),IF(ROUND(G298,1)&lt;20,"ขาด/เสี่ยงขาด",IF(ROUND(G298,1)&gt;=25,"เสี่ยงเกิน/เกิน","ปกติ"))))</f>
        <v/>
      </c>
      <c r="AO298" t="str">
        <f>IF(OR(I298="",Participant_Data!G298=""),"",IF(Participant_Data!G298=1,IF(ROUND(I298,1)&lt;15,"ขาด/เสี่ยงขาด",IF(ROUND(I298,1)&gt;25,"เสี่ยงเกิน/เกิน","ปกติ")),IF(ROUND(I298,1)&lt;20,"ขาด/เสี่ยงขาด",IF(ROUND(I298,1)&gt;35,"เสี่ยงเกิน/เกิน","ปกติ"))))</f>
        <v/>
      </c>
      <c r="AP298" t="str">
        <f t="shared" si="19"/>
        <v/>
      </c>
    </row>
    <row r="299" spans="1:42">
      <c r="A299" s="2">
        <f>IF(Participant_Data!A299="","",Participant_Data!A299)</f>
        <v>298</v>
      </c>
      <c r="B299" s="2" t="str">
        <f>IF(Participant_Data!B299="","",Participant_Data!B299)</f>
        <v/>
      </c>
      <c r="C299" s="3" t="str">
        <f>IF(Participant_Data!C299="","",Participant_Data!C299)</f>
        <v/>
      </c>
      <c r="D299" s="5"/>
      <c r="E299" s="5"/>
      <c r="F299" s="5"/>
      <c r="G299" s="2" t="str">
        <f t="shared" si="18"/>
        <v/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2" t="str">
        <f t="shared" si="25"/>
        <v/>
      </c>
      <c r="V299" s="2" t="str">
        <f t="shared" si="26"/>
        <v/>
      </c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2" t="str">
        <f t="shared" si="27"/>
        <v/>
      </c>
      <c r="AJ299" s="2" t="str">
        <f t="shared" si="28"/>
        <v/>
      </c>
      <c r="AK299" s="2" t="str">
        <f t="shared" si="29"/>
        <v/>
      </c>
      <c r="AL299" s="2"/>
      <c r="AM299" s="2"/>
      <c r="AN299" t="str">
        <f>IF(OR(G299="",Participant_Data!E299=""),"",IF(Participant_Data!E299&lt;70,IF(ROUND(G299,1)&lt;18.5,"ขาด/เสี่ยงขาด",IF(ROUND(G299,1)&gt;=25,"เสี่ยงเกิน/เกิน","ปกติ")),IF(ROUND(G299,1)&lt;20,"ขาด/เสี่ยงขาด",IF(ROUND(G299,1)&gt;=25,"เสี่ยงเกิน/เกิน","ปกติ"))))</f>
        <v/>
      </c>
      <c r="AO299" t="str">
        <f>IF(OR(I299="",Participant_Data!G299=""),"",IF(Participant_Data!G299=1,IF(ROUND(I299,1)&lt;15,"ขาด/เสี่ยงขาด",IF(ROUND(I299,1)&gt;25,"เสี่ยงเกิน/เกิน","ปกติ")),IF(ROUND(I299,1)&lt;20,"ขาด/เสี่ยงขาด",IF(ROUND(I299,1)&gt;35,"เสี่ยงเกิน/เกิน","ปกติ"))))</f>
        <v/>
      </c>
      <c r="AP299" t="str">
        <f t="shared" si="19"/>
        <v/>
      </c>
    </row>
    <row r="300" spans="1:42">
      <c r="A300" s="2">
        <f>IF(Participant_Data!A300="","",Participant_Data!A300)</f>
        <v>299</v>
      </c>
      <c r="B300" s="2" t="str">
        <f>IF(Participant_Data!B300="","",Participant_Data!B300)</f>
        <v/>
      </c>
      <c r="C300" s="3" t="str">
        <f>IF(Participant_Data!C300="","",Participant_Data!C300)</f>
        <v/>
      </c>
      <c r="D300" s="5"/>
      <c r="E300" s="5"/>
      <c r="F300" s="5"/>
      <c r="G300" s="2" t="str">
        <f t="shared" si="18"/>
        <v/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2" t="str">
        <f t="shared" si="25"/>
        <v/>
      </c>
      <c r="V300" s="2" t="str">
        <f t="shared" si="26"/>
        <v/>
      </c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2" t="str">
        <f t="shared" si="27"/>
        <v/>
      </c>
      <c r="AJ300" s="2" t="str">
        <f t="shared" si="28"/>
        <v/>
      </c>
      <c r="AK300" s="2" t="str">
        <f t="shared" si="29"/>
        <v/>
      </c>
      <c r="AL300" s="2"/>
      <c r="AM300" s="2"/>
      <c r="AN300" t="str">
        <f>IF(OR(G300="",Participant_Data!E300=""),"",IF(Participant_Data!E300&lt;70,IF(ROUND(G300,1)&lt;18.5,"ขาด/เสี่ยงขาด",IF(ROUND(G300,1)&gt;=25,"เสี่ยงเกิน/เกิน","ปกติ")),IF(ROUND(G300,1)&lt;20,"ขาด/เสี่ยงขาด",IF(ROUND(G300,1)&gt;=25,"เสี่ยงเกิน/เกิน","ปกติ"))))</f>
        <v/>
      </c>
      <c r="AO300" t="str">
        <f>IF(OR(I300="",Participant_Data!G300=""),"",IF(Participant_Data!G300=1,IF(ROUND(I300,1)&lt;15,"ขาด/เสี่ยงขาด",IF(ROUND(I300,1)&gt;25,"เสี่ยงเกิน/เกิน","ปกติ")),IF(ROUND(I300,1)&lt;20,"ขาด/เสี่ยงขาด",IF(ROUND(I300,1)&gt;35,"เสี่ยงเกิน/เกิน","ปกติ"))))</f>
        <v/>
      </c>
      <c r="AP300" t="str">
        <f t="shared" si="19"/>
        <v/>
      </c>
    </row>
    <row r="301" spans="1:42">
      <c r="A301" s="2">
        <f>IF(Participant_Data!A301="","",Participant_Data!A301)</f>
        <v>300</v>
      </c>
      <c r="B301" s="2" t="str">
        <f>IF(Participant_Data!B301="","",Participant_Data!B301)</f>
        <v/>
      </c>
      <c r="C301" s="3" t="str">
        <f>IF(Participant_Data!C301="","",Participant_Data!C301)</f>
        <v/>
      </c>
      <c r="D301" s="5"/>
      <c r="E301" s="5"/>
      <c r="F301" s="5"/>
      <c r="G301" s="2" t="str">
        <f t="shared" si="18"/>
        <v/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2" t="str">
        <f t="shared" si="25"/>
        <v/>
      </c>
      <c r="V301" s="2" t="str">
        <f t="shared" si="26"/>
        <v/>
      </c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2" t="str">
        <f t="shared" si="27"/>
        <v/>
      </c>
      <c r="AJ301" s="2" t="str">
        <f t="shared" si="28"/>
        <v/>
      </c>
      <c r="AK301" s="2" t="str">
        <f t="shared" si="29"/>
        <v/>
      </c>
      <c r="AL301" s="2"/>
      <c r="AM301" s="2"/>
      <c r="AN301" t="str">
        <f>IF(OR(G301="",Participant_Data!E301=""),"",IF(Participant_Data!E301&lt;70,IF(ROUND(G301,1)&lt;18.5,"ขาด/เสี่ยงขาด",IF(ROUND(G301,1)&gt;=25,"เสี่ยงเกิน/เกิน","ปกติ")),IF(ROUND(G301,1)&lt;20,"ขาด/เสี่ยงขาด",IF(ROUND(G301,1)&gt;=25,"เสี่ยงเกิน/เกิน","ปกติ"))))</f>
        <v/>
      </c>
      <c r="AO301" t="str">
        <f>IF(OR(I301="",Participant_Data!G301=""),"",IF(Participant_Data!G301=1,IF(ROUND(I301,1)&lt;15,"ขาด/เสี่ยงขาด",IF(ROUND(I301,1)&gt;25,"เสี่ยงเกิน/เกิน","ปกติ")),IF(ROUND(I301,1)&lt;20,"ขาด/เสี่ยงขาด",IF(ROUND(I301,1)&gt;35,"เสี่ยงเกิน/เกิน","ปกติ"))))</f>
        <v/>
      </c>
      <c r="AP301" t="str">
        <f t="shared" si="19"/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1"/>
  <sheetViews>
    <sheetView topLeftCell="C1" workbookViewId="0">
      <selection activeCell="H210" sqref="H210"/>
    </sheetView>
  </sheetViews>
  <sheetFormatPr baseColWidth="10" defaultColWidth="8.83203125" defaultRowHeight="15"/>
  <cols>
    <col min="1" max="2" width="14" customWidth="1"/>
    <col min="3" max="3" width="18.83203125" customWidth="1"/>
    <col min="4" max="4" width="18.5" customWidth="1"/>
    <col min="5" max="10" width="14" customWidth="1"/>
    <col min="11" max="11" width="12.6640625" customWidth="1"/>
    <col min="12" max="12" width="15.33203125" customWidth="1"/>
    <col min="13" max="13" width="12.5" customWidth="1"/>
    <col min="14" max="14" width="11" customWidth="1"/>
    <col min="15" max="15" width="11.6640625" customWidth="1"/>
  </cols>
  <sheetData>
    <row r="1" spans="1:15" ht="32" customHeight="1">
      <c r="A1" s="1" t="s">
        <v>0</v>
      </c>
      <c r="B1" s="1" t="s">
        <v>1</v>
      </c>
      <c r="C1" s="1" t="s">
        <v>2</v>
      </c>
      <c r="D1" s="1" t="s">
        <v>127</v>
      </c>
      <c r="E1" s="10" t="s">
        <v>128</v>
      </c>
      <c r="F1" s="10" t="s">
        <v>129</v>
      </c>
      <c r="G1" s="10" t="s">
        <v>130</v>
      </c>
      <c r="H1" s="10" t="s">
        <v>131</v>
      </c>
      <c r="I1" s="10" t="s">
        <v>132</v>
      </c>
      <c r="J1" s="11" t="s">
        <v>133</v>
      </c>
      <c r="K1" s="10" t="s">
        <v>134</v>
      </c>
      <c r="L1" s="10" t="s">
        <v>135</v>
      </c>
      <c r="M1" s="10" t="s">
        <v>136</v>
      </c>
      <c r="N1" s="10" t="s">
        <v>137</v>
      </c>
      <c r="O1" s="10" t="s">
        <v>138</v>
      </c>
    </row>
    <row r="2" spans="1:15">
      <c r="A2" s="2">
        <f>IF(Participant_Data!A2="","",Participant_Data!A2)</f>
        <v>1</v>
      </c>
      <c r="B2" s="2" t="str">
        <f>IF(Participant_Data!B2="","",Participant_Data!B2)</f>
        <v/>
      </c>
      <c r="C2" s="3" t="str">
        <f>IF(Participant_Data!C2="","",Participant_Data!C2)</f>
        <v/>
      </c>
      <c r="D2" s="5"/>
      <c r="E2" s="23">
        <v>4</v>
      </c>
      <c r="F2" s="23">
        <v>4</v>
      </c>
      <c r="G2" s="23">
        <v>4</v>
      </c>
      <c r="H2" s="23">
        <v>4</v>
      </c>
      <c r="I2" s="23">
        <v>4</v>
      </c>
      <c r="J2" s="23">
        <v>4</v>
      </c>
      <c r="K2" s="23">
        <v>4</v>
      </c>
      <c r="L2" s="23"/>
      <c r="M2" s="23">
        <f t="shared" ref="M2:M65" si="0">SUM(E2:K2)</f>
        <v>28</v>
      </c>
    </row>
    <row r="3" spans="1:15">
      <c r="A3" s="2">
        <f>IF(Participant_Data!A3="","",Participant_Data!A3)</f>
        <v>2</v>
      </c>
      <c r="B3" s="2" t="str">
        <f>IF(Participant_Data!B3="","",Participant_Data!B3)</f>
        <v/>
      </c>
      <c r="C3" s="3" t="str">
        <f>IF(Participant_Data!C3="","",Participant_Data!C3)</f>
        <v/>
      </c>
      <c r="D3" s="5"/>
      <c r="E3" s="23">
        <v>5</v>
      </c>
      <c r="F3" s="23">
        <v>5</v>
      </c>
      <c r="G3" s="23">
        <v>5</v>
      </c>
      <c r="H3" s="23">
        <v>5</v>
      </c>
      <c r="I3" s="23">
        <v>5</v>
      </c>
      <c r="J3" s="23">
        <v>5</v>
      </c>
      <c r="K3" s="23">
        <v>5</v>
      </c>
      <c r="L3" s="23"/>
      <c r="M3" s="23">
        <f t="shared" si="0"/>
        <v>35</v>
      </c>
    </row>
    <row r="4" spans="1:15">
      <c r="A4" s="2">
        <f>IF(Participant_Data!A4="","",Participant_Data!A4)</f>
        <v>3</v>
      </c>
      <c r="B4" s="2" t="str">
        <f>IF(Participant_Data!B4="","",Participant_Data!B4)</f>
        <v/>
      </c>
      <c r="C4" s="3" t="str">
        <f>IF(Participant_Data!C4="","",Participant_Data!C4)</f>
        <v/>
      </c>
      <c r="D4" s="5"/>
      <c r="E4" s="23">
        <v>5</v>
      </c>
      <c r="F4" s="23">
        <v>5</v>
      </c>
      <c r="G4" s="23">
        <v>5</v>
      </c>
      <c r="H4" s="23">
        <v>4</v>
      </c>
      <c r="I4" s="23">
        <v>4</v>
      </c>
      <c r="J4" s="23">
        <v>4</v>
      </c>
      <c r="K4" s="23">
        <v>5</v>
      </c>
      <c r="L4" s="23"/>
      <c r="M4" s="23">
        <f t="shared" si="0"/>
        <v>32</v>
      </c>
    </row>
    <row r="5" spans="1:15">
      <c r="A5" s="2">
        <f>IF(Participant_Data!A5="","",Participant_Data!A5)</f>
        <v>4</v>
      </c>
      <c r="B5" s="2" t="str">
        <f>IF(Participant_Data!B5="","",Participant_Data!B5)</f>
        <v/>
      </c>
      <c r="C5" s="3" t="str">
        <f>IF(Participant_Data!C5="","",Participant_Data!C5)</f>
        <v/>
      </c>
      <c r="D5" s="5"/>
      <c r="E5" s="23">
        <v>4</v>
      </c>
      <c r="F5" s="23">
        <v>4</v>
      </c>
      <c r="G5" s="23">
        <v>4</v>
      </c>
      <c r="H5" s="23">
        <v>4</v>
      </c>
      <c r="I5" s="23">
        <v>4</v>
      </c>
      <c r="J5" s="23">
        <v>4</v>
      </c>
      <c r="K5" s="23">
        <v>4</v>
      </c>
      <c r="L5" s="23"/>
      <c r="M5" s="23">
        <f t="shared" si="0"/>
        <v>28</v>
      </c>
    </row>
    <row r="6" spans="1:15">
      <c r="A6" s="2">
        <f>IF(Participant_Data!A6="","",Participant_Data!A6)</f>
        <v>5</v>
      </c>
      <c r="B6" s="2" t="str">
        <f>IF(Participant_Data!B6="","",Participant_Data!B6)</f>
        <v/>
      </c>
      <c r="C6" s="3" t="str">
        <f>IF(Participant_Data!C6="","",Participant_Data!C6)</f>
        <v/>
      </c>
      <c r="D6" s="5"/>
      <c r="E6" s="23">
        <v>4</v>
      </c>
      <c r="F6" s="23">
        <v>4</v>
      </c>
      <c r="G6" s="23">
        <v>4</v>
      </c>
      <c r="H6" s="23">
        <v>3</v>
      </c>
      <c r="I6" s="23">
        <v>3</v>
      </c>
      <c r="J6" s="23">
        <v>4</v>
      </c>
      <c r="K6" s="23">
        <v>4</v>
      </c>
      <c r="L6" s="23"/>
      <c r="M6" s="23">
        <f t="shared" si="0"/>
        <v>26</v>
      </c>
    </row>
    <row r="7" spans="1:15">
      <c r="A7" s="2">
        <f>IF(Participant_Data!A7="","",Participant_Data!A7)</f>
        <v>6</v>
      </c>
      <c r="B7" s="2" t="str">
        <f>IF(Participant_Data!B7="","",Participant_Data!B7)</f>
        <v/>
      </c>
      <c r="C7" s="3" t="str">
        <f>IF(Participant_Data!C7="","",Participant_Data!C7)</f>
        <v/>
      </c>
      <c r="D7" s="5"/>
      <c r="E7" s="24">
        <v>5</v>
      </c>
      <c r="F7" s="24">
        <v>4</v>
      </c>
      <c r="G7" s="24">
        <v>5</v>
      </c>
      <c r="H7" s="24">
        <v>5</v>
      </c>
      <c r="I7" s="24">
        <v>5</v>
      </c>
      <c r="J7" s="24">
        <v>5</v>
      </c>
      <c r="K7" s="24">
        <v>5</v>
      </c>
      <c r="L7" s="16"/>
      <c r="M7" s="24">
        <f t="shared" si="0"/>
        <v>34</v>
      </c>
    </row>
    <row r="8" spans="1:15">
      <c r="A8" s="2">
        <f>IF(Participant_Data!A8="","",Participant_Data!A8)</f>
        <v>7</v>
      </c>
      <c r="B8" s="2" t="str">
        <f>IF(Participant_Data!B8="","",Participant_Data!B8)</f>
        <v/>
      </c>
      <c r="C8" s="3" t="str">
        <f>IF(Participant_Data!C8="","",Participant_Data!C8)</f>
        <v/>
      </c>
      <c r="D8" s="5"/>
      <c r="E8" s="24">
        <v>4</v>
      </c>
      <c r="F8" s="24">
        <v>4</v>
      </c>
      <c r="G8" s="24">
        <v>5</v>
      </c>
      <c r="H8" s="24">
        <v>4</v>
      </c>
      <c r="I8" s="24">
        <v>4</v>
      </c>
      <c r="J8" s="24">
        <v>5</v>
      </c>
      <c r="K8" s="24">
        <v>4</v>
      </c>
      <c r="L8" s="16" t="s">
        <v>139</v>
      </c>
      <c r="M8" s="24">
        <f t="shared" si="0"/>
        <v>30</v>
      </c>
    </row>
    <row r="9" spans="1:15">
      <c r="A9" s="2">
        <f>IF(Participant_Data!A9="","",Participant_Data!A9)</f>
        <v>8</v>
      </c>
      <c r="B9" s="2" t="str">
        <f>IF(Participant_Data!B9="","",Participant_Data!B9)</f>
        <v/>
      </c>
      <c r="C9" s="3" t="str">
        <f>IF(Participant_Data!C9="","",Participant_Data!C9)</f>
        <v/>
      </c>
      <c r="D9" s="5"/>
      <c r="E9" s="24">
        <v>4</v>
      </c>
      <c r="F9" s="24">
        <v>4</v>
      </c>
      <c r="G9" s="24">
        <v>4</v>
      </c>
      <c r="H9" s="24">
        <v>3</v>
      </c>
      <c r="I9" s="24">
        <v>3</v>
      </c>
      <c r="J9" s="24">
        <v>4</v>
      </c>
      <c r="K9" s="24">
        <v>4</v>
      </c>
      <c r="L9" s="16"/>
      <c r="M9" s="24">
        <f t="shared" si="0"/>
        <v>26</v>
      </c>
    </row>
    <row r="10" spans="1:15">
      <c r="A10" s="2">
        <f>IF(Participant_Data!A10="","",Participant_Data!A10)</f>
        <v>9</v>
      </c>
      <c r="B10" s="2" t="str">
        <f>IF(Participant_Data!B10="","",Participant_Data!B10)</f>
        <v/>
      </c>
      <c r="C10" s="3" t="str">
        <f>IF(Participant_Data!C10="","",Participant_Data!C10)</f>
        <v/>
      </c>
      <c r="D10" s="5"/>
      <c r="E10" s="24">
        <v>3</v>
      </c>
      <c r="F10" s="24">
        <v>3</v>
      </c>
      <c r="G10" s="24">
        <v>3</v>
      </c>
      <c r="H10" s="24">
        <v>3</v>
      </c>
      <c r="I10" s="24">
        <v>3</v>
      </c>
      <c r="J10" s="24">
        <v>4</v>
      </c>
      <c r="K10" s="24">
        <v>4</v>
      </c>
      <c r="L10" s="16"/>
      <c r="M10" s="24">
        <f t="shared" si="0"/>
        <v>23</v>
      </c>
    </row>
    <row r="11" spans="1:15">
      <c r="A11" s="2">
        <f>IF(Participant_Data!A11="","",Participant_Data!A11)</f>
        <v>10</v>
      </c>
      <c r="B11" s="2" t="str">
        <f>IF(Participant_Data!B11="","",Participant_Data!B11)</f>
        <v/>
      </c>
      <c r="C11" s="3" t="str">
        <f>IF(Participant_Data!C11="","",Participant_Data!C11)</f>
        <v/>
      </c>
      <c r="D11" s="5"/>
      <c r="E11" s="24">
        <v>4</v>
      </c>
      <c r="F11" s="24">
        <v>4</v>
      </c>
      <c r="G11" s="24">
        <v>4</v>
      </c>
      <c r="H11" s="24">
        <v>3</v>
      </c>
      <c r="I11" s="24">
        <v>3</v>
      </c>
      <c r="J11" s="24">
        <v>4</v>
      </c>
      <c r="K11" s="24">
        <v>4</v>
      </c>
      <c r="L11" s="16"/>
      <c r="M11" s="24">
        <f t="shared" si="0"/>
        <v>26</v>
      </c>
    </row>
    <row r="12" spans="1:15">
      <c r="A12" s="2">
        <f>IF(Participant_Data!A12="","",Participant_Data!A12)</f>
        <v>11</v>
      </c>
      <c r="B12" s="2" t="str">
        <f>IF(Participant_Data!B12="","",Participant_Data!B12)</f>
        <v/>
      </c>
      <c r="C12" s="3" t="str">
        <f>IF(Participant_Data!C12="","",Participant_Data!C12)</f>
        <v/>
      </c>
      <c r="D12" s="5"/>
      <c r="E12" s="24">
        <v>4</v>
      </c>
      <c r="F12" s="24">
        <v>4</v>
      </c>
      <c r="G12" s="24">
        <v>4</v>
      </c>
      <c r="H12" s="24">
        <v>4</v>
      </c>
      <c r="I12" s="24">
        <v>4</v>
      </c>
      <c r="J12" s="24">
        <v>4</v>
      </c>
      <c r="K12" s="24">
        <v>5</v>
      </c>
      <c r="L12" s="16"/>
      <c r="M12" s="24">
        <f t="shared" si="0"/>
        <v>29</v>
      </c>
    </row>
    <row r="13" spans="1:15">
      <c r="A13" s="2">
        <f>IF(Participant_Data!A13="","",Participant_Data!A13)</f>
        <v>12</v>
      </c>
      <c r="B13" s="2" t="str">
        <f>IF(Participant_Data!B13="","",Participant_Data!B13)</f>
        <v/>
      </c>
      <c r="C13" s="3" t="str">
        <f>IF(Participant_Data!C13="","",Participant_Data!C13)</f>
        <v/>
      </c>
      <c r="D13" s="5"/>
      <c r="E13" s="24">
        <v>5</v>
      </c>
      <c r="F13" s="24">
        <v>4</v>
      </c>
      <c r="G13" s="24">
        <v>5</v>
      </c>
      <c r="H13" s="24">
        <v>5</v>
      </c>
      <c r="I13" s="24">
        <v>5</v>
      </c>
      <c r="J13" s="24">
        <v>4</v>
      </c>
      <c r="K13" s="24">
        <v>5</v>
      </c>
      <c r="L13" s="16"/>
      <c r="M13" s="24">
        <f t="shared" si="0"/>
        <v>33</v>
      </c>
    </row>
    <row r="14" spans="1:15">
      <c r="A14" s="2">
        <f>IF(Participant_Data!A14="","",Participant_Data!A14)</f>
        <v>13</v>
      </c>
      <c r="B14" s="2" t="str">
        <f>IF(Participant_Data!B14="","",Participant_Data!B14)</f>
        <v/>
      </c>
      <c r="C14" s="3" t="str">
        <f>IF(Participant_Data!C14="","",Participant_Data!C14)</f>
        <v/>
      </c>
      <c r="D14" s="5"/>
      <c r="E14" s="24">
        <v>4</v>
      </c>
      <c r="F14" s="24">
        <v>4</v>
      </c>
      <c r="G14" s="24">
        <v>4</v>
      </c>
      <c r="H14" s="24">
        <v>4</v>
      </c>
      <c r="I14" s="24">
        <v>4</v>
      </c>
      <c r="J14" s="24">
        <v>4</v>
      </c>
      <c r="K14" s="24">
        <v>4</v>
      </c>
      <c r="L14" s="16"/>
      <c r="M14" s="24">
        <f t="shared" si="0"/>
        <v>28</v>
      </c>
    </row>
    <row r="15" spans="1:15">
      <c r="A15" s="2">
        <f>IF(Participant_Data!A15="","",Participant_Data!A15)</f>
        <v>14</v>
      </c>
      <c r="B15" s="2" t="str">
        <f>IF(Participant_Data!B15="","",Participant_Data!B15)</f>
        <v/>
      </c>
      <c r="C15" s="3" t="str">
        <f>IF(Participant_Data!C15="","",Participant_Data!C15)</f>
        <v/>
      </c>
      <c r="D15" s="5"/>
      <c r="E15" s="24">
        <v>4</v>
      </c>
      <c r="F15" s="24">
        <v>4</v>
      </c>
      <c r="G15" s="24">
        <v>4</v>
      </c>
      <c r="H15" s="24">
        <v>4</v>
      </c>
      <c r="I15" s="24">
        <v>4</v>
      </c>
      <c r="J15" s="24">
        <v>4</v>
      </c>
      <c r="K15" s="24">
        <v>4</v>
      </c>
      <c r="L15" s="16" t="s">
        <v>140</v>
      </c>
      <c r="M15" s="24">
        <f t="shared" si="0"/>
        <v>28</v>
      </c>
    </row>
    <row r="16" spans="1:15">
      <c r="A16" s="2">
        <f>IF(Participant_Data!A16="","",Participant_Data!A16)</f>
        <v>15</v>
      </c>
      <c r="B16" s="2" t="str">
        <f>IF(Participant_Data!B16="","",Participant_Data!B16)</f>
        <v/>
      </c>
      <c r="C16" s="3" t="str">
        <f>IF(Participant_Data!C16="","",Participant_Data!C16)</f>
        <v/>
      </c>
      <c r="D16" s="5"/>
      <c r="E16" s="24">
        <v>4</v>
      </c>
      <c r="F16" s="24">
        <v>4</v>
      </c>
      <c r="G16" s="24">
        <v>4</v>
      </c>
      <c r="H16" s="24">
        <v>4</v>
      </c>
      <c r="I16" s="24">
        <v>4</v>
      </c>
      <c r="J16" s="24">
        <v>4</v>
      </c>
      <c r="K16" s="24">
        <v>5</v>
      </c>
      <c r="L16" s="16"/>
      <c r="M16" s="24">
        <f t="shared" si="0"/>
        <v>29</v>
      </c>
    </row>
    <row r="17" spans="1:13">
      <c r="A17" s="2">
        <f>IF(Participant_Data!A17="","",Participant_Data!A17)</f>
        <v>16</v>
      </c>
      <c r="B17" s="2" t="str">
        <f>IF(Participant_Data!B17="","",Participant_Data!B17)</f>
        <v/>
      </c>
      <c r="C17" s="3" t="str">
        <f>IF(Participant_Data!C17="","",Participant_Data!C17)</f>
        <v/>
      </c>
      <c r="D17" s="5"/>
      <c r="E17" s="24">
        <v>5</v>
      </c>
      <c r="F17" s="24">
        <v>4</v>
      </c>
      <c r="G17" s="24">
        <v>5</v>
      </c>
      <c r="H17" s="24">
        <v>5</v>
      </c>
      <c r="I17" s="24">
        <v>5</v>
      </c>
      <c r="J17" s="24">
        <v>4</v>
      </c>
      <c r="K17" s="24">
        <v>5</v>
      </c>
      <c r="L17" s="16"/>
      <c r="M17" s="24">
        <f t="shared" si="0"/>
        <v>33</v>
      </c>
    </row>
    <row r="18" spans="1:13">
      <c r="A18" s="2">
        <f>IF(Participant_Data!A18="","",Participant_Data!A18)</f>
        <v>17</v>
      </c>
      <c r="B18" s="2" t="str">
        <f>IF(Participant_Data!B18="","",Participant_Data!B18)</f>
        <v/>
      </c>
      <c r="C18" s="3" t="str">
        <f>IF(Participant_Data!C18="","",Participant_Data!C18)</f>
        <v/>
      </c>
      <c r="D18" s="5"/>
      <c r="E18" s="24">
        <v>5</v>
      </c>
      <c r="F18" s="24">
        <v>5</v>
      </c>
      <c r="G18" s="24">
        <v>5</v>
      </c>
      <c r="H18" s="24">
        <v>5</v>
      </c>
      <c r="I18" s="24">
        <v>5</v>
      </c>
      <c r="J18" s="24">
        <v>5</v>
      </c>
      <c r="K18" s="24">
        <v>5</v>
      </c>
      <c r="L18" s="16"/>
      <c r="M18" s="24">
        <f t="shared" si="0"/>
        <v>35</v>
      </c>
    </row>
    <row r="19" spans="1:13">
      <c r="A19" s="2">
        <f>IF(Participant_Data!A19="","",Participant_Data!A19)</f>
        <v>18</v>
      </c>
      <c r="B19" s="2" t="str">
        <f>IF(Participant_Data!B19="","",Participant_Data!B19)</f>
        <v/>
      </c>
      <c r="C19" s="3" t="str">
        <f>IF(Participant_Data!C19="","",Participant_Data!C19)</f>
        <v/>
      </c>
      <c r="D19" s="5"/>
      <c r="E19" s="24">
        <v>4</v>
      </c>
      <c r="F19" s="24">
        <v>4</v>
      </c>
      <c r="G19" s="24">
        <v>3</v>
      </c>
      <c r="H19" s="24">
        <v>3</v>
      </c>
      <c r="I19" s="24">
        <v>4</v>
      </c>
      <c r="J19" s="24">
        <v>5</v>
      </c>
      <c r="K19" s="24">
        <v>5</v>
      </c>
      <c r="L19" s="16"/>
      <c r="M19" s="24">
        <f t="shared" si="0"/>
        <v>28</v>
      </c>
    </row>
    <row r="20" spans="1:13">
      <c r="A20" s="2">
        <f>IF(Participant_Data!A20="","",Participant_Data!A20)</f>
        <v>19</v>
      </c>
      <c r="B20" s="2" t="str">
        <f>IF(Participant_Data!B20="","",Participant_Data!B20)</f>
        <v/>
      </c>
      <c r="C20" s="3" t="str">
        <f>IF(Participant_Data!C20="","",Participant_Data!C20)</f>
        <v/>
      </c>
      <c r="D20" s="5"/>
      <c r="E20" s="24">
        <v>5</v>
      </c>
      <c r="F20" s="24">
        <v>4</v>
      </c>
      <c r="G20" s="24">
        <v>4</v>
      </c>
      <c r="H20" s="24">
        <v>3</v>
      </c>
      <c r="I20" s="24">
        <v>3</v>
      </c>
      <c r="J20" s="24">
        <v>3</v>
      </c>
      <c r="K20" s="24">
        <v>3</v>
      </c>
      <c r="L20" s="16"/>
      <c r="M20" s="24">
        <f t="shared" si="0"/>
        <v>25</v>
      </c>
    </row>
    <row r="21" spans="1:13">
      <c r="A21" s="2">
        <f>IF(Participant_Data!A21="","",Participant_Data!A21)</f>
        <v>20</v>
      </c>
      <c r="B21" s="2" t="str">
        <f>IF(Participant_Data!B21="","",Participant_Data!B21)</f>
        <v/>
      </c>
      <c r="C21" s="3" t="str">
        <f>IF(Participant_Data!C21="","",Participant_Data!C21)</f>
        <v/>
      </c>
      <c r="D21" s="5"/>
      <c r="E21" s="24">
        <v>5</v>
      </c>
      <c r="F21" s="24">
        <v>4</v>
      </c>
      <c r="G21" s="24">
        <v>4</v>
      </c>
      <c r="H21" s="24">
        <v>4</v>
      </c>
      <c r="I21" s="24">
        <v>4</v>
      </c>
      <c r="J21" s="24">
        <v>5</v>
      </c>
      <c r="K21" s="24">
        <v>5</v>
      </c>
      <c r="L21" s="16"/>
      <c r="M21" s="24">
        <f t="shared" si="0"/>
        <v>31</v>
      </c>
    </row>
    <row r="22" spans="1:13">
      <c r="A22" s="2">
        <f>IF(Participant_Data!A22="","",Participant_Data!A22)</f>
        <v>21</v>
      </c>
      <c r="B22" s="2" t="str">
        <f>IF(Participant_Data!B22="","",Participant_Data!B22)</f>
        <v/>
      </c>
      <c r="C22" s="3" t="str">
        <f>IF(Participant_Data!C22="","",Participant_Data!C22)</f>
        <v/>
      </c>
      <c r="D22" s="5"/>
      <c r="E22" s="24">
        <v>3</v>
      </c>
      <c r="F22" s="24">
        <v>3</v>
      </c>
      <c r="G22" s="24">
        <v>3</v>
      </c>
      <c r="H22" s="24">
        <v>3</v>
      </c>
      <c r="I22" s="24">
        <v>3</v>
      </c>
      <c r="J22" s="24">
        <v>3</v>
      </c>
      <c r="K22" s="24">
        <v>4</v>
      </c>
      <c r="L22" s="16" t="s">
        <v>141</v>
      </c>
      <c r="M22" s="24">
        <f t="shared" si="0"/>
        <v>22</v>
      </c>
    </row>
    <row r="23" spans="1:13">
      <c r="A23" s="2">
        <f>IF(Participant_Data!A23="","",Participant_Data!A23)</f>
        <v>22</v>
      </c>
      <c r="B23" s="2" t="str">
        <f>IF(Participant_Data!B23="","",Participant_Data!B23)</f>
        <v/>
      </c>
      <c r="C23" s="3" t="str">
        <f>IF(Participant_Data!C23="","",Participant_Data!C23)</f>
        <v/>
      </c>
      <c r="D23" s="5"/>
      <c r="E23" s="24">
        <v>4</v>
      </c>
      <c r="F23" s="24">
        <v>5</v>
      </c>
      <c r="G23" s="24">
        <v>4</v>
      </c>
      <c r="H23" s="24">
        <v>4</v>
      </c>
      <c r="I23" s="24">
        <v>5</v>
      </c>
      <c r="J23" s="24">
        <v>5</v>
      </c>
      <c r="K23" s="24">
        <v>5</v>
      </c>
      <c r="L23" s="16"/>
      <c r="M23" s="24">
        <f t="shared" si="0"/>
        <v>32</v>
      </c>
    </row>
    <row r="24" spans="1:13">
      <c r="A24" s="2">
        <f>IF(Participant_Data!A24="","",Participant_Data!A24)</f>
        <v>23</v>
      </c>
      <c r="B24" s="2" t="str">
        <f>IF(Participant_Data!B24="","",Participant_Data!B24)</f>
        <v/>
      </c>
      <c r="C24" s="3" t="str">
        <f>IF(Participant_Data!C24="","",Participant_Data!C24)</f>
        <v/>
      </c>
      <c r="D24" s="5"/>
      <c r="E24" s="24">
        <v>4</v>
      </c>
      <c r="F24" s="24">
        <v>4</v>
      </c>
      <c r="G24" s="24">
        <v>4</v>
      </c>
      <c r="H24" s="24">
        <v>3</v>
      </c>
      <c r="I24" s="24">
        <v>4</v>
      </c>
      <c r="J24" s="24">
        <v>4</v>
      </c>
      <c r="K24" s="24">
        <v>5</v>
      </c>
      <c r="L24" s="16"/>
      <c r="M24" s="24">
        <f t="shared" si="0"/>
        <v>28</v>
      </c>
    </row>
    <row r="25" spans="1:13">
      <c r="A25" s="2">
        <f>IF(Participant_Data!A25="","",Participant_Data!A25)</f>
        <v>24</v>
      </c>
      <c r="B25" s="2" t="str">
        <f>IF(Participant_Data!B25="","",Participant_Data!B25)</f>
        <v/>
      </c>
      <c r="C25" s="3" t="str">
        <f>IF(Participant_Data!C25="","",Participant_Data!C25)</f>
        <v/>
      </c>
      <c r="D25" s="5"/>
      <c r="E25" s="24">
        <v>3</v>
      </c>
      <c r="F25" s="24">
        <v>3</v>
      </c>
      <c r="G25" s="24">
        <v>4</v>
      </c>
      <c r="H25" s="24">
        <v>3</v>
      </c>
      <c r="I25" s="24">
        <v>3</v>
      </c>
      <c r="J25" s="24">
        <v>4</v>
      </c>
      <c r="K25" s="24">
        <v>4</v>
      </c>
      <c r="L25" s="16"/>
      <c r="M25" s="24">
        <f t="shared" si="0"/>
        <v>24</v>
      </c>
    </row>
    <row r="26" spans="1:13">
      <c r="A26" s="2">
        <f>IF(Participant_Data!A26="","",Participant_Data!A26)</f>
        <v>25</v>
      </c>
      <c r="B26" s="2" t="str">
        <f>IF(Participant_Data!B26="","",Participant_Data!B26)</f>
        <v/>
      </c>
      <c r="C26" s="3" t="str">
        <f>IF(Participant_Data!C26="","",Participant_Data!C26)</f>
        <v/>
      </c>
      <c r="D26" s="5"/>
      <c r="E26" s="24">
        <v>4</v>
      </c>
      <c r="F26" s="24">
        <v>3</v>
      </c>
      <c r="G26" s="24">
        <v>4</v>
      </c>
      <c r="H26" s="24">
        <v>5</v>
      </c>
      <c r="I26" s="24">
        <v>5</v>
      </c>
      <c r="J26" s="24">
        <v>4</v>
      </c>
      <c r="K26" s="24">
        <v>5</v>
      </c>
      <c r="L26" s="16"/>
      <c r="M26" s="24">
        <f t="shared" si="0"/>
        <v>30</v>
      </c>
    </row>
    <row r="27" spans="1:13">
      <c r="A27" s="2">
        <f>IF(Participant_Data!A27="","",Participant_Data!A27)</f>
        <v>26</v>
      </c>
      <c r="B27" s="2" t="str">
        <f>IF(Participant_Data!B27="","",Participant_Data!B27)</f>
        <v/>
      </c>
      <c r="C27" s="3" t="str">
        <f>IF(Participant_Data!C27="","",Participant_Data!C27)</f>
        <v/>
      </c>
      <c r="D27" s="5"/>
      <c r="E27" s="24">
        <v>3</v>
      </c>
      <c r="F27" s="24">
        <v>3</v>
      </c>
      <c r="G27" s="24">
        <v>4</v>
      </c>
      <c r="H27" s="24">
        <v>3</v>
      </c>
      <c r="I27" s="24">
        <v>3</v>
      </c>
      <c r="J27" s="24">
        <v>3</v>
      </c>
      <c r="K27" s="24">
        <v>3</v>
      </c>
      <c r="L27" s="16"/>
      <c r="M27" s="24">
        <f t="shared" si="0"/>
        <v>22</v>
      </c>
    </row>
    <row r="28" spans="1:13">
      <c r="A28" s="2">
        <f>IF(Participant_Data!A28="","",Participant_Data!A28)</f>
        <v>27</v>
      </c>
      <c r="B28" s="2" t="str">
        <f>IF(Participant_Data!B28="","",Participant_Data!B28)</f>
        <v/>
      </c>
      <c r="C28" s="3" t="str">
        <f>IF(Participant_Data!C28="","",Participant_Data!C28)</f>
        <v/>
      </c>
      <c r="D28" s="5"/>
      <c r="E28" s="24">
        <v>4</v>
      </c>
      <c r="F28" s="24">
        <v>4</v>
      </c>
      <c r="G28" s="24">
        <v>4</v>
      </c>
      <c r="H28" s="24">
        <v>3</v>
      </c>
      <c r="I28" s="24">
        <v>4</v>
      </c>
      <c r="J28" s="24">
        <v>4</v>
      </c>
      <c r="K28" s="24">
        <v>4</v>
      </c>
      <c r="L28" s="16" t="s">
        <v>142</v>
      </c>
      <c r="M28" s="24">
        <f t="shared" si="0"/>
        <v>27</v>
      </c>
    </row>
    <row r="29" spans="1:13">
      <c r="A29" s="2">
        <f>IF(Participant_Data!A29="","",Participant_Data!A29)</f>
        <v>28</v>
      </c>
      <c r="B29" s="2" t="str">
        <f>IF(Participant_Data!B29="","",Participant_Data!B29)</f>
        <v/>
      </c>
      <c r="C29" s="3" t="str">
        <f>IF(Participant_Data!C29="","",Participant_Data!C29)</f>
        <v/>
      </c>
      <c r="D29" s="5"/>
      <c r="E29" s="24">
        <v>5</v>
      </c>
      <c r="F29" s="24">
        <v>5</v>
      </c>
      <c r="G29" s="24">
        <v>5</v>
      </c>
      <c r="H29" s="24">
        <v>5</v>
      </c>
      <c r="I29" s="24">
        <v>5</v>
      </c>
      <c r="J29" s="24">
        <v>5</v>
      </c>
      <c r="K29" s="24">
        <v>5</v>
      </c>
      <c r="L29" s="16"/>
      <c r="M29" s="24">
        <f t="shared" si="0"/>
        <v>35</v>
      </c>
    </row>
    <row r="30" spans="1:13">
      <c r="A30" s="2">
        <f>IF(Participant_Data!A30="","",Participant_Data!A30)</f>
        <v>29</v>
      </c>
      <c r="B30" s="2" t="str">
        <f>IF(Participant_Data!B30="","",Participant_Data!B30)</f>
        <v/>
      </c>
      <c r="C30" s="3" t="str">
        <f>IF(Participant_Data!C30="","",Participant_Data!C30)</f>
        <v/>
      </c>
      <c r="D30" s="5"/>
      <c r="E30" s="24">
        <v>4</v>
      </c>
      <c r="F30" s="24">
        <v>4</v>
      </c>
      <c r="G30" s="24">
        <v>5</v>
      </c>
      <c r="H30" s="24">
        <v>4</v>
      </c>
      <c r="I30" s="24">
        <v>4</v>
      </c>
      <c r="J30" s="24">
        <v>4</v>
      </c>
      <c r="K30" s="24">
        <v>5</v>
      </c>
      <c r="L30" s="16"/>
      <c r="M30" s="24">
        <f t="shared" si="0"/>
        <v>30</v>
      </c>
    </row>
    <row r="31" spans="1:13">
      <c r="A31" s="2">
        <f>IF(Participant_Data!A31="","",Participant_Data!A31)</f>
        <v>30</v>
      </c>
      <c r="B31" s="2" t="str">
        <f>IF(Participant_Data!B31="","",Participant_Data!B31)</f>
        <v/>
      </c>
      <c r="C31" s="3" t="str">
        <f>IF(Participant_Data!C31="","",Participant_Data!C31)</f>
        <v/>
      </c>
      <c r="D31" s="5"/>
      <c r="E31" s="24">
        <v>4</v>
      </c>
      <c r="F31" s="24">
        <v>4</v>
      </c>
      <c r="G31" s="24">
        <v>4</v>
      </c>
      <c r="H31" s="24">
        <v>4</v>
      </c>
      <c r="I31" s="24">
        <v>4</v>
      </c>
      <c r="J31" s="24">
        <v>4</v>
      </c>
      <c r="K31" s="24">
        <v>4</v>
      </c>
      <c r="L31" s="16" t="s">
        <v>143</v>
      </c>
      <c r="M31" s="24">
        <f t="shared" si="0"/>
        <v>28</v>
      </c>
    </row>
    <row r="32" spans="1:13">
      <c r="A32" s="2">
        <f>IF(Participant_Data!A32="","",Participant_Data!A32)</f>
        <v>31</v>
      </c>
      <c r="B32" s="2" t="str">
        <f>IF(Participant_Data!B32="","",Participant_Data!B32)</f>
        <v/>
      </c>
      <c r="C32" s="3" t="str">
        <f>IF(Participant_Data!C32="","",Participant_Data!C32)</f>
        <v/>
      </c>
      <c r="D32" s="5"/>
      <c r="E32" s="24">
        <v>4</v>
      </c>
      <c r="F32" s="24">
        <v>4</v>
      </c>
      <c r="G32" s="24">
        <v>5</v>
      </c>
      <c r="H32" s="24">
        <v>4</v>
      </c>
      <c r="I32" s="24">
        <v>4</v>
      </c>
      <c r="J32" s="24">
        <v>5</v>
      </c>
      <c r="K32" s="24">
        <v>5</v>
      </c>
      <c r="L32" s="16"/>
      <c r="M32" s="24">
        <f t="shared" si="0"/>
        <v>31</v>
      </c>
    </row>
    <row r="33" spans="1:13">
      <c r="A33" s="2">
        <f>IF(Participant_Data!A33="","",Participant_Data!A33)</f>
        <v>32</v>
      </c>
      <c r="B33" s="2" t="str">
        <f>IF(Participant_Data!B33="","",Participant_Data!B33)</f>
        <v/>
      </c>
      <c r="C33" s="3" t="str">
        <f>IF(Participant_Data!C33="","",Participant_Data!C33)</f>
        <v/>
      </c>
      <c r="D33" s="5"/>
      <c r="E33" s="24">
        <v>3</v>
      </c>
      <c r="F33" s="24">
        <v>3</v>
      </c>
      <c r="G33" s="24">
        <v>3</v>
      </c>
      <c r="H33" s="24">
        <v>3</v>
      </c>
      <c r="I33" s="24">
        <v>3</v>
      </c>
      <c r="J33" s="24">
        <v>4</v>
      </c>
      <c r="K33" s="24">
        <v>4</v>
      </c>
      <c r="L33" s="16"/>
      <c r="M33" s="24">
        <f t="shared" si="0"/>
        <v>23</v>
      </c>
    </row>
    <row r="34" spans="1:13">
      <c r="A34" s="2">
        <f>IF(Participant_Data!A34="","",Participant_Data!A34)</f>
        <v>33</v>
      </c>
      <c r="B34" s="2" t="str">
        <f>IF(Participant_Data!B34="","",Participant_Data!B34)</f>
        <v/>
      </c>
      <c r="C34" s="3" t="str">
        <f>IF(Participant_Data!C34="","",Participant_Data!C34)</f>
        <v/>
      </c>
      <c r="D34" s="5"/>
      <c r="E34" s="24">
        <v>4</v>
      </c>
      <c r="F34" s="24">
        <v>4</v>
      </c>
      <c r="G34" s="24">
        <v>3</v>
      </c>
      <c r="H34" s="24">
        <v>4</v>
      </c>
      <c r="I34" s="24">
        <v>4</v>
      </c>
      <c r="J34" s="24">
        <v>4</v>
      </c>
      <c r="K34" s="24">
        <v>4</v>
      </c>
      <c r="L34" s="16" t="s">
        <v>144</v>
      </c>
      <c r="M34" s="24">
        <f t="shared" si="0"/>
        <v>27</v>
      </c>
    </row>
    <row r="35" spans="1:13">
      <c r="A35" s="2">
        <f>IF(Participant_Data!A35="","",Participant_Data!A35)</f>
        <v>34</v>
      </c>
      <c r="B35" s="2" t="str">
        <f>IF(Participant_Data!B35="","",Participant_Data!B35)</f>
        <v/>
      </c>
      <c r="C35" s="3" t="str">
        <f>IF(Participant_Data!C35="","",Participant_Data!C35)</f>
        <v/>
      </c>
      <c r="D35" s="5"/>
      <c r="E35" s="24">
        <v>4</v>
      </c>
      <c r="F35" s="24">
        <v>4</v>
      </c>
      <c r="G35" s="24">
        <v>4</v>
      </c>
      <c r="H35" s="24">
        <v>4</v>
      </c>
      <c r="I35" s="24">
        <v>4</v>
      </c>
      <c r="J35" s="24">
        <v>4</v>
      </c>
      <c r="K35" s="24">
        <v>4</v>
      </c>
      <c r="L35" s="16"/>
      <c r="M35" s="24">
        <f t="shared" si="0"/>
        <v>28</v>
      </c>
    </row>
    <row r="36" spans="1:13">
      <c r="A36" s="2">
        <f>IF(Participant_Data!A36="","",Participant_Data!A36)</f>
        <v>35</v>
      </c>
      <c r="B36" s="2" t="str">
        <f>IF(Participant_Data!B36="","",Participant_Data!B36)</f>
        <v/>
      </c>
      <c r="C36" s="3" t="str">
        <f>IF(Participant_Data!C36="","",Participant_Data!C36)</f>
        <v/>
      </c>
      <c r="D36" s="5"/>
      <c r="E36" s="24">
        <v>4</v>
      </c>
      <c r="F36" s="24">
        <v>3</v>
      </c>
      <c r="G36" s="24">
        <v>4</v>
      </c>
      <c r="H36" s="24">
        <v>3</v>
      </c>
      <c r="I36" s="24">
        <v>3</v>
      </c>
      <c r="J36" s="24">
        <v>3</v>
      </c>
      <c r="K36" s="24">
        <v>3</v>
      </c>
      <c r="L36" s="16"/>
      <c r="M36" s="24">
        <f t="shared" si="0"/>
        <v>23</v>
      </c>
    </row>
    <row r="37" spans="1:13">
      <c r="A37" s="2">
        <f>IF(Participant_Data!A37="","",Participant_Data!A37)</f>
        <v>36</v>
      </c>
      <c r="B37" s="2" t="str">
        <f>IF(Participant_Data!B37="","",Participant_Data!B37)</f>
        <v/>
      </c>
      <c r="C37" s="3" t="str">
        <f>IF(Participant_Data!C37="","",Participant_Data!C37)</f>
        <v/>
      </c>
      <c r="D37" s="5"/>
      <c r="E37" s="24">
        <v>4</v>
      </c>
      <c r="F37" s="24">
        <v>4</v>
      </c>
      <c r="G37" s="24">
        <v>4</v>
      </c>
      <c r="H37" s="24">
        <v>4</v>
      </c>
      <c r="I37" s="24">
        <v>4</v>
      </c>
      <c r="J37" s="24">
        <v>4</v>
      </c>
      <c r="K37" s="24">
        <v>5</v>
      </c>
      <c r="L37" s="16"/>
      <c r="M37" s="24">
        <f t="shared" si="0"/>
        <v>29</v>
      </c>
    </row>
    <row r="38" spans="1:13">
      <c r="A38" s="2">
        <f>IF(Participant_Data!A38="","",Participant_Data!A38)</f>
        <v>37</v>
      </c>
      <c r="B38" s="2" t="str">
        <f>IF(Participant_Data!B38="","",Participant_Data!B38)</f>
        <v/>
      </c>
      <c r="C38" s="3" t="str">
        <f>IF(Participant_Data!C38="","",Participant_Data!C38)</f>
        <v/>
      </c>
      <c r="D38" s="5"/>
      <c r="E38" s="24">
        <v>5</v>
      </c>
      <c r="F38" s="24">
        <v>5</v>
      </c>
      <c r="G38" s="24">
        <v>5</v>
      </c>
      <c r="H38" s="24">
        <v>5</v>
      </c>
      <c r="I38" s="24">
        <v>5</v>
      </c>
      <c r="J38" s="24">
        <v>5</v>
      </c>
      <c r="K38" s="24">
        <v>5</v>
      </c>
      <c r="L38" s="16"/>
      <c r="M38" s="24">
        <f t="shared" si="0"/>
        <v>35</v>
      </c>
    </row>
    <row r="39" spans="1:13">
      <c r="A39" s="2">
        <f>IF(Participant_Data!A39="","",Participant_Data!A39)</f>
        <v>38</v>
      </c>
      <c r="B39" s="2" t="str">
        <f>IF(Participant_Data!B39="","",Participant_Data!B39)</f>
        <v/>
      </c>
      <c r="C39" s="3" t="str">
        <f>IF(Participant_Data!C39="","",Participant_Data!C39)</f>
        <v/>
      </c>
      <c r="D39" s="5"/>
      <c r="E39" s="24">
        <v>5</v>
      </c>
      <c r="F39" s="24">
        <v>5</v>
      </c>
      <c r="G39" s="24">
        <v>5</v>
      </c>
      <c r="H39" s="24">
        <v>5</v>
      </c>
      <c r="I39" s="24">
        <v>5</v>
      </c>
      <c r="J39" s="24">
        <v>5</v>
      </c>
      <c r="K39" s="24">
        <v>5</v>
      </c>
      <c r="L39" s="16"/>
      <c r="M39" s="24">
        <f t="shared" si="0"/>
        <v>35</v>
      </c>
    </row>
    <row r="40" spans="1:13">
      <c r="A40" s="2">
        <f>IF(Participant_Data!A40="","",Participant_Data!A40)</f>
        <v>39</v>
      </c>
      <c r="B40" s="2" t="str">
        <f>IF(Participant_Data!B40="","",Participant_Data!B40)</f>
        <v/>
      </c>
      <c r="C40" s="3" t="str">
        <f>IF(Participant_Data!C40="","",Participant_Data!C40)</f>
        <v/>
      </c>
      <c r="D40" s="5"/>
      <c r="E40" s="24">
        <v>3</v>
      </c>
      <c r="F40" s="24">
        <v>3</v>
      </c>
      <c r="G40" s="24">
        <v>2</v>
      </c>
      <c r="H40" s="24">
        <v>2</v>
      </c>
      <c r="I40" s="24">
        <v>3</v>
      </c>
      <c r="J40" s="24">
        <v>3</v>
      </c>
      <c r="K40" s="24">
        <v>3</v>
      </c>
      <c r="L40" s="16"/>
      <c r="M40" s="24">
        <f t="shared" si="0"/>
        <v>19</v>
      </c>
    </row>
    <row r="41" spans="1:13">
      <c r="A41" s="2">
        <f>IF(Participant_Data!A41="","",Participant_Data!A41)</f>
        <v>40</v>
      </c>
      <c r="B41" s="2" t="str">
        <f>IF(Participant_Data!B41="","",Participant_Data!B41)</f>
        <v/>
      </c>
      <c r="C41" s="3" t="str">
        <f>IF(Participant_Data!C41="","",Participant_Data!C41)</f>
        <v/>
      </c>
      <c r="D41" s="5"/>
      <c r="E41" s="24">
        <v>4</v>
      </c>
      <c r="F41" s="24">
        <v>3</v>
      </c>
      <c r="G41" s="24">
        <v>4</v>
      </c>
      <c r="H41" s="24">
        <v>3</v>
      </c>
      <c r="I41" s="24">
        <v>4</v>
      </c>
      <c r="J41" s="24">
        <v>4</v>
      </c>
      <c r="K41" s="24">
        <v>4</v>
      </c>
      <c r="L41" s="16"/>
      <c r="M41" s="24">
        <f t="shared" si="0"/>
        <v>26</v>
      </c>
    </row>
    <row r="42" spans="1:13">
      <c r="A42" s="2">
        <f>IF(Participant_Data!A42="","",Participant_Data!A42)</f>
        <v>41</v>
      </c>
      <c r="B42" s="2" t="str">
        <f>IF(Participant_Data!B42="","",Participant_Data!B42)</f>
        <v/>
      </c>
      <c r="C42" s="3" t="str">
        <f>IF(Participant_Data!C42="","",Participant_Data!C42)</f>
        <v/>
      </c>
      <c r="D42" s="5"/>
      <c r="E42" s="24">
        <v>4</v>
      </c>
      <c r="F42" s="24">
        <v>3</v>
      </c>
      <c r="G42" s="24">
        <v>4</v>
      </c>
      <c r="H42" s="24">
        <v>3</v>
      </c>
      <c r="I42" s="24">
        <v>4</v>
      </c>
      <c r="J42" s="24">
        <v>4</v>
      </c>
      <c r="K42" s="24">
        <v>4</v>
      </c>
      <c r="L42" s="16"/>
      <c r="M42" s="24">
        <f t="shared" si="0"/>
        <v>26</v>
      </c>
    </row>
    <row r="43" spans="1:13">
      <c r="A43" s="2">
        <f>IF(Participant_Data!A43="","",Participant_Data!A43)</f>
        <v>42</v>
      </c>
      <c r="B43" s="2" t="str">
        <f>IF(Participant_Data!B43="","",Participant_Data!B43)</f>
        <v/>
      </c>
      <c r="C43" s="3" t="str">
        <f>IF(Participant_Data!C43="","",Participant_Data!C43)</f>
        <v/>
      </c>
      <c r="D43" s="5"/>
      <c r="E43" s="24">
        <v>5</v>
      </c>
      <c r="F43" s="24">
        <v>5</v>
      </c>
      <c r="G43" s="24">
        <v>4</v>
      </c>
      <c r="H43" s="24">
        <v>3</v>
      </c>
      <c r="I43" s="24">
        <v>3</v>
      </c>
      <c r="J43" s="24">
        <v>5</v>
      </c>
      <c r="K43" s="24">
        <v>5</v>
      </c>
      <c r="L43" s="16"/>
      <c r="M43" s="24">
        <f t="shared" si="0"/>
        <v>30</v>
      </c>
    </row>
    <row r="44" spans="1:13">
      <c r="A44" s="2">
        <f>IF(Participant_Data!A44="","",Participant_Data!A44)</f>
        <v>43</v>
      </c>
      <c r="B44" s="2" t="str">
        <f>IF(Participant_Data!B44="","",Participant_Data!B44)</f>
        <v/>
      </c>
      <c r="C44" s="3" t="str">
        <f>IF(Participant_Data!C44="","",Participant_Data!C44)</f>
        <v/>
      </c>
      <c r="D44" s="5"/>
      <c r="E44" s="24">
        <v>3</v>
      </c>
      <c r="F44" s="24">
        <v>3</v>
      </c>
      <c r="G44" s="24">
        <v>4</v>
      </c>
      <c r="H44" s="24">
        <v>4</v>
      </c>
      <c r="I44" s="24">
        <v>4</v>
      </c>
      <c r="J44" s="24">
        <v>5</v>
      </c>
      <c r="K44" s="24">
        <v>5</v>
      </c>
      <c r="L44" s="16"/>
      <c r="M44" s="24">
        <f t="shared" si="0"/>
        <v>28</v>
      </c>
    </row>
    <row r="45" spans="1:13">
      <c r="A45" s="2">
        <f>IF(Participant_Data!A45="","",Participant_Data!A45)</f>
        <v>44</v>
      </c>
      <c r="B45" s="2" t="str">
        <f>IF(Participant_Data!B45="","",Participant_Data!B45)</f>
        <v/>
      </c>
      <c r="C45" s="3" t="str">
        <f>IF(Participant_Data!C45="","",Participant_Data!C45)</f>
        <v/>
      </c>
      <c r="D45" s="5"/>
      <c r="E45" s="24">
        <v>5</v>
      </c>
      <c r="F45" s="24">
        <v>5</v>
      </c>
      <c r="G45" s="24">
        <v>5</v>
      </c>
      <c r="H45" s="24">
        <v>5</v>
      </c>
      <c r="I45" s="24">
        <v>5</v>
      </c>
      <c r="J45" s="24">
        <v>5</v>
      </c>
      <c r="K45" s="24">
        <v>5</v>
      </c>
      <c r="L45" s="16"/>
      <c r="M45" s="24">
        <f t="shared" si="0"/>
        <v>35</v>
      </c>
    </row>
    <row r="46" spans="1:13">
      <c r="A46" s="2">
        <f>IF(Participant_Data!A46="","",Participant_Data!A46)</f>
        <v>45</v>
      </c>
      <c r="B46" s="2" t="str">
        <f>IF(Participant_Data!B46="","",Participant_Data!B46)</f>
        <v/>
      </c>
      <c r="C46" s="3" t="str">
        <f>IF(Participant_Data!C46="","",Participant_Data!C46)</f>
        <v/>
      </c>
      <c r="D46" s="5"/>
      <c r="E46" s="24">
        <v>4</v>
      </c>
      <c r="F46" s="24">
        <v>4</v>
      </c>
      <c r="G46" s="24">
        <v>3</v>
      </c>
      <c r="H46" s="24">
        <v>3</v>
      </c>
      <c r="I46" s="24">
        <v>3</v>
      </c>
      <c r="J46" s="24">
        <v>4</v>
      </c>
      <c r="K46" s="24">
        <v>4</v>
      </c>
      <c r="L46" s="16"/>
      <c r="M46" s="24">
        <f t="shared" si="0"/>
        <v>25</v>
      </c>
    </row>
    <row r="47" spans="1:13">
      <c r="A47" s="2">
        <f>IF(Participant_Data!A47="","",Participant_Data!A47)</f>
        <v>46</v>
      </c>
      <c r="B47" s="2" t="str">
        <f>IF(Participant_Data!B47="","",Participant_Data!B47)</f>
        <v/>
      </c>
      <c r="C47" s="3" t="str">
        <f>IF(Participant_Data!C47="","",Participant_Data!C47)</f>
        <v/>
      </c>
      <c r="D47" s="5"/>
      <c r="E47" s="24">
        <v>5</v>
      </c>
      <c r="F47" s="24">
        <v>5</v>
      </c>
      <c r="G47" s="24">
        <v>5</v>
      </c>
      <c r="H47" s="24">
        <v>5</v>
      </c>
      <c r="I47" s="24">
        <v>5</v>
      </c>
      <c r="J47" s="24">
        <v>5</v>
      </c>
      <c r="K47" s="24">
        <v>5</v>
      </c>
      <c r="L47" s="16" t="s">
        <v>145</v>
      </c>
      <c r="M47" s="24">
        <f t="shared" si="0"/>
        <v>35</v>
      </c>
    </row>
    <row r="48" spans="1:13">
      <c r="A48" s="2">
        <f>IF(Participant_Data!A48="","",Participant_Data!A48)</f>
        <v>47</v>
      </c>
      <c r="B48" s="2" t="str">
        <f>IF(Participant_Data!B48="","",Participant_Data!B48)</f>
        <v/>
      </c>
      <c r="C48" s="3" t="str">
        <f>IF(Participant_Data!C48="","",Participant_Data!C48)</f>
        <v/>
      </c>
      <c r="D48" s="5"/>
      <c r="E48" s="24">
        <v>4</v>
      </c>
      <c r="F48" s="24">
        <v>4</v>
      </c>
      <c r="G48" s="24">
        <v>4</v>
      </c>
      <c r="H48" s="24">
        <v>4</v>
      </c>
      <c r="I48" s="24">
        <v>4</v>
      </c>
      <c r="J48" s="24">
        <v>4</v>
      </c>
      <c r="K48" s="24">
        <v>4</v>
      </c>
      <c r="L48" s="16"/>
      <c r="M48" s="24">
        <f t="shared" si="0"/>
        <v>28</v>
      </c>
    </row>
    <row r="49" spans="1:13">
      <c r="A49" s="2">
        <f>IF(Participant_Data!A49="","",Participant_Data!A49)</f>
        <v>48</v>
      </c>
      <c r="B49" s="2" t="str">
        <f>IF(Participant_Data!B49="","",Participant_Data!B49)</f>
        <v/>
      </c>
      <c r="C49" s="3" t="str">
        <f>IF(Participant_Data!C49="","",Participant_Data!C49)</f>
        <v/>
      </c>
      <c r="D49" s="5"/>
      <c r="E49" s="24">
        <v>4</v>
      </c>
      <c r="F49" s="24">
        <v>4</v>
      </c>
      <c r="G49" s="24">
        <v>4</v>
      </c>
      <c r="H49" s="24">
        <v>4</v>
      </c>
      <c r="I49" s="24">
        <v>4</v>
      </c>
      <c r="J49" s="24">
        <v>4</v>
      </c>
      <c r="K49" s="24">
        <v>4</v>
      </c>
      <c r="L49" s="16"/>
      <c r="M49" s="24">
        <f t="shared" si="0"/>
        <v>28</v>
      </c>
    </row>
    <row r="50" spans="1:13">
      <c r="A50" s="2">
        <f>IF(Participant_Data!A50="","",Participant_Data!A50)</f>
        <v>49</v>
      </c>
      <c r="B50" s="2" t="str">
        <f>IF(Participant_Data!B50="","",Participant_Data!B50)</f>
        <v/>
      </c>
      <c r="C50" s="3" t="str">
        <f>IF(Participant_Data!C50="","",Participant_Data!C50)</f>
        <v/>
      </c>
      <c r="D50" s="5"/>
      <c r="E50" s="24">
        <v>5</v>
      </c>
      <c r="F50" s="24">
        <v>5</v>
      </c>
      <c r="G50" s="24">
        <v>4</v>
      </c>
      <c r="H50" s="24">
        <v>4</v>
      </c>
      <c r="I50" s="24">
        <v>5</v>
      </c>
      <c r="J50" s="24">
        <v>5</v>
      </c>
      <c r="K50" s="24">
        <v>5</v>
      </c>
      <c r="L50" s="16"/>
      <c r="M50" s="24">
        <f t="shared" si="0"/>
        <v>33</v>
      </c>
    </row>
    <row r="51" spans="1:13">
      <c r="A51" s="2">
        <f>IF(Participant_Data!A51="","",Participant_Data!A51)</f>
        <v>50</v>
      </c>
      <c r="B51" s="2" t="str">
        <f>IF(Participant_Data!B51="","",Participant_Data!B51)</f>
        <v/>
      </c>
      <c r="C51" s="3" t="str">
        <f>IF(Participant_Data!C51="","",Participant_Data!C51)</f>
        <v/>
      </c>
      <c r="D51" s="5"/>
      <c r="E51" s="24">
        <v>5</v>
      </c>
      <c r="F51" s="24">
        <v>5</v>
      </c>
      <c r="G51" s="24">
        <v>4</v>
      </c>
      <c r="H51" s="24">
        <v>4</v>
      </c>
      <c r="I51" s="24">
        <v>5</v>
      </c>
      <c r="J51" s="24">
        <v>5</v>
      </c>
      <c r="K51" s="24">
        <v>5</v>
      </c>
      <c r="L51" s="16"/>
      <c r="M51" s="24">
        <f t="shared" si="0"/>
        <v>33</v>
      </c>
    </row>
    <row r="52" spans="1:13">
      <c r="A52" s="2">
        <f>IF(Participant_Data!A52="","",Participant_Data!A52)</f>
        <v>51</v>
      </c>
      <c r="B52" s="2" t="str">
        <f>IF(Participant_Data!B52="","",Participant_Data!B52)</f>
        <v/>
      </c>
      <c r="C52" s="3" t="str">
        <f>IF(Participant_Data!C52="","",Participant_Data!C52)</f>
        <v/>
      </c>
      <c r="D52" s="5"/>
      <c r="E52" s="24">
        <v>5</v>
      </c>
      <c r="F52" s="24">
        <v>5</v>
      </c>
      <c r="G52" s="24">
        <v>5</v>
      </c>
      <c r="H52" s="24">
        <v>4</v>
      </c>
      <c r="I52" s="24">
        <v>5</v>
      </c>
      <c r="J52" s="24">
        <v>5</v>
      </c>
      <c r="K52" s="24">
        <v>5</v>
      </c>
      <c r="L52" s="16"/>
      <c r="M52" s="24">
        <f t="shared" si="0"/>
        <v>34</v>
      </c>
    </row>
    <row r="53" spans="1:13">
      <c r="A53" s="2">
        <f>IF(Participant_Data!A53="","",Participant_Data!A53)</f>
        <v>52</v>
      </c>
      <c r="B53" s="2" t="str">
        <f>IF(Participant_Data!B53="","",Participant_Data!B53)</f>
        <v/>
      </c>
      <c r="C53" s="3" t="str">
        <f>IF(Participant_Data!C53="","",Participant_Data!C53)</f>
        <v/>
      </c>
      <c r="D53" s="5"/>
      <c r="E53" s="24">
        <v>4</v>
      </c>
      <c r="F53" s="24">
        <v>4</v>
      </c>
      <c r="G53" s="24">
        <v>3</v>
      </c>
      <c r="H53" s="24">
        <v>4</v>
      </c>
      <c r="I53" s="24">
        <v>4</v>
      </c>
      <c r="J53" s="24">
        <v>4</v>
      </c>
      <c r="K53" s="24">
        <v>4</v>
      </c>
      <c r="L53" s="16"/>
      <c r="M53" s="24">
        <f t="shared" si="0"/>
        <v>27</v>
      </c>
    </row>
    <row r="54" spans="1:13">
      <c r="A54" s="2">
        <f>IF(Participant_Data!A54="","",Participant_Data!A54)</f>
        <v>53</v>
      </c>
      <c r="B54" s="2" t="str">
        <f>IF(Participant_Data!B54="","",Participant_Data!B54)</f>
        <v/>
      </c>
      <c r="C54" s="3" t="str">
        <f>IF(Participant_Data!C54="","",Participant_Data!C54)</f>
        <v/>
      </c>
      <c r="D54" s="5"/>
      <c r="E54" s="24">
        <v>3</v>
      </c>
      <c r="F54" s="24">
        <v>2</v>
      </c>
      <c r="G54" s="24">
        <v>3</v>
      </c>
      <c r="H54" s="24">
        <v>2</v>
      </c>
      <c r="I54" s="24">
        <v>3</v>
      </c>
      <c r="J54" s="24">
        <v>3</v>
      </c>
      <c r="K54" s="24">
        <v>3</v>
      </c>
      <c r="L54" s="16"/>
      <c r="M54" s="24">
        <f t="shared" si="0"/>
        <v>19</v>
      </c>
    </row>
    <row r="55" spans="1:13">
      <c r="A55" s="2">
        <f>IF(Participant_Data!A55="","",Participant_Data!A55)</f>
        <v>54</v>
      </c>
      <c r="B55" s="2" t="str">
        <f>IF(Participant_Data!B55="","",Participant_Data!B55)</f>
        <v/>
      </c>
      <c r="C55" s="3" t="str">
        <f>IF(Participant_Data!C55="","",Participant_Data!C55)</f>
        <v/>
      </c>
      <c r="D55" s="5"/>
      <c r="E55" s="24">
        <v>5</v>
      </c>
      <c r="F55" s="24">
        <v>5</v>
      </c>
      <c r="G55" s="24">
        <v>5</v>
      </c>
      <c r="H55" s="24">
        <v>5</v>
      </c>
      <c r="I55" s="24">
        <v>5</v>
      </c>
      <c r="J55" s="24">
        <v>5</v>
      </c>
      <c r="K55" s="24">
        <v>5</v>
      </c>
      <c r="L55" s="16"/>
      <c r="M55" s="24">
        <f t="shared" si="0"/>
        <v>35</v>
      </c>
    </row>
    <row r="56" spans="1:13">
      <c r="A56" s="2">
        <f>IF(Participant_Data!A56="","",Participant_Data!A56)</f>
        <v>55</v>
      </c>
      <c r="B56" s="2" t="str">
        <f>IF(Participant_Data!B56="","",Participant_Data!B56)</f>
        <v/>
      </c>
      <c r="C56" s="3" t="str">
        <f>IF(Participant_Data!C56="","",Participant_Data!C56)</f>
        <v/>
      </c>
      <c r="D56" s="5"/>
      <c r="E56" s="24">
        <v>5</v>
      </c>
      <c r="F56" s="24">
        <v>5</v>
      </c>
      <c r="G56" s="24">
        <v>5</v>
      </c>
      <c r="H56" s="24">
        <v>5</v>
      </c>
      <c r="I56" s="24">
        <v>5</v>
      </c>
      <c r="J56" s="24">
        <v>5</v>
      </c>
      <c r="K56" s="24">
        <v>5</v>
      </c>
      <c r="L56" s="16"/>
      <c r="M56" s="24">
        <f t="shared" si="0"/>
        <v>35</v>
      </c>
    </row>
    <row r="57" spans="1:13">
      <c r="A57" s="2">
        <f>IF(Participant_Data!A57="","",Participant_Data!A57)</f>
        <v>56</v>
      </c>
      <c r="B57" s="2" t="str">
        <f>IF(Participant_Data!B57="","",Participant_Data!B57)</f>
        <v/>
      </c>
      <c r="C57" s="3" t="str">
        <f>IF(Participant_Data!C57="","",Participant_Data!C57)</f>
        <v/>
      </c>
      <c r="D57" s="5"/>
      <c r="E57" s="24">
        <v>5</v>
      </c>
      <c r="F57" s="24">
        <v>5</v>
      </c>
      <c r="G57" s="24">
        <v>5</v>
      </c>
      <c r="H57" s="24">
        <v>5</v>
      </c>
      <c r="I57" s="24">
        <v>5</v>
      </c>
      <c r="J57" s="24">
        <v>5</v>
      </c>
      <c r="K57" s="24">
        <v>5</v>
      </c>
      <c r="L57" s="16"/>
      <c r="M57" s="24">
        <f t="shared" si="0"/>
        <v>35</v>
      </c>
    </row>
    <row r="58" spans="1:13">
      <c r="A58" s="2">
        <f>IF(Participant_Data!A58="","",Participant_Data!A58)</f>
        <v>57</v>
      </c>
      <c r="B58" s="2" t="str">
        <f>IF(Participant_Data!B58="","",Participant_Data!B58)</f>
        <v/>
      </c>
      <c r="C58" s="3" t="str">
        <f>IF(Participant_Data!C58="","",Participant_Data!C58)</f>
        <v/>
      </c>
      <c r="D58" s="5"/>
      <c r="E58" s="24">
        <v>5</v>
      </c>
      <c r="F58" s="24">
        <v>4</v>
      </c>
      <c r="G58" s="24">
        <v>5</v>
      </c>
      <c r="H58" s="24">
        <v>5</v>
      </c>
      <c r="I58" s="24">
        <v>5</v>
      </c>
      <c r="J58" s="24">
        <v>5</v>
      </c>
      <c r="K58" s="24">
        <v>5</v>
      </c>
      <c r="L58" s="16"/>
      <c r="M58" s="24">
        <f t="shared" si="0"/>
        <v>34</v>
      </c>
    </row>
    <row r="59" spans="1:13">
      <c r="A59" s="2">
        <f>IF(Participant_Data!A59="","",Participant_Data!A59)</f>
        <v>58</v>
      </c>
      <c r="B59" s="2" t="str">
        <f>IF(Participant_Data!B59="","",Participant_Data!B59)</f>
        <v/>
      </c>
      <c r="C59" s="3" t="str">
        <f>IF(Participant_Data!C59="","",Participant_Data!C59)</f>
        <v/>
      </c>
      <c r="D59" s="5"/>
      <c r="E59" s="24">
        <v>5</v>
      </c>
      <c r="F59" s="24">
        <v>5</v>
      </c>
      <c r="G59" s="24">
        <v>4</v>
      </c>
      <c r="H59" s="24">
        <v>5</v>
      </c>
      <c r="I59" s="24">
        <v>5</v>
      </c>
      <c r="J59" s="24">
        <v>5</v>
      </c>
      <c r="K59" s="24">
        <v>5</v>
      </c>
      <c r="L59" s="16"/>
      <c r="M59" s="24">
        <f t="shared" si="0"/>
        <v>34</v>
      </c>
    </row>
    <row r="60" spans="1:13">
      <c r="A60" s="2">
        <f>IF(Participant_Data!A60="","",Participant_Data!A60)</f>
        <v>59</v>
      </c>
      <c r="B60" s="2" t="str">
        <f>IF(Participant_Data!B60="","",Participant_Data!B60)</f>
        <v/>
      </c>
      <c r="C60" s="3" t="str">
        <f>IF(Participant_Data!C60="","",Participant_Data!C60)</f>
        <v/>
      </c>
      <c r="D60" s="5"/>
      <c r="E60" s="24">
        <v>5</v>
      </c>
      <c r="F60" s="24">
        <v>5</v>
      </c>
      <c r="G60" s="24">
        <v>5</v>
      </c>
      <c r="H60" s="24">
        <v>5</v>
      </c>
      <c r="I60" s="24">
        <v>5</v>
      </c>
      <c r="J60" s="24">
        <v>5</v>
      </c>
      <c r="K60" s="24">
        <v>5</v>
      </c>
      <c r="L60" s="16"/>
      <c r="M60" s="24">
        <f t="shared" si="0"/>
        <v>35</v>
      </c>
    </row>
    <row r="61" spans="1:13">
      <c r="A61" s="2">
        <f>IF(Participant_Data!A61="","",Participant_Data!A61)</f>
        <v>60</v>
      </c>
      <c r="B61" s="2" t="str">
        <f>IF(Participant_Data!B61="","",Participant_Data!B61)</f>
        <v/>
      </c>
      <c r="C61" s="3" t="str">
        <f>IF(Participant_Data!C61="","",Participant_Data!C61)</f>
        <v/>
      </c>
      <c r="D61" s="5"/>
      <c r="E61" s="24">
        <v>5</v>
      </c>
      <c r="F61" s="24">
        <v>5</v>
      </c>
      <c r="G61" s="24">
        <v>5</v>
      </c>
      <c r="H61" s="24">
        <v>5</v>
      </c>
      <c r="I61" s="24">
        <v>5</v>
      </c>
      <c r="J61" s="24">
        <v>5</v>
      </c>
      <c r="K61" s="24">
        <v>5</v>
      </c>
      <c r="L61" s="16"/>
      <c r="M61" s="24">
        <f t="shared" si="0"/>
        <v>35</v>
      </c>
    </row>
    <row r="62" spans="1:13">
      <c r="A62" s="2">
        <f>IF(Participant_Data!A62="","",Participant_Data!A62)</f>
        <v>61</v>
      </c>
      <c r="B62" s="2" t="str">
        <f>IF(Participant_Data!B62="","",Participant_Data!B62)</f>
        <v/>
      </c>
      <c r="C62" s="3" t="str">
        <f>IF(Participant_Data!C62="","",Participant_Data!C62)</f>
        <v/>
      </c>
      <c r="D62" s="5"/>
      <c r="E62" s="24">
        <v>5</v>
      </c>
      <c r="F62" s="24">
        <v>4</v>
      </c>
      <c r="G62" s="24">
        <v>3</v>
      </c>
      <c r="H62" s="24">
        <v>3</v>
      </c>
      <c r="I62" s="24">
        <v>4</v>
      </c>
      <c r="J62" s="24">
        <v>4</v>
      </c>
      <c r="K62" s="24">
        <v>4</v>
      </c>
      <c r="L62" s="16"/>
      <c r="M62" s="24">
        <f t="shared" si="0"/>
        <v>27</v>
      </c>
    </row>
    <row r="63" spans="1:13">
      <c r="A63" s="2">
        <f>IF(Participant_Data!A63="","",Participant_Data!A63)</f>
        <v>62</v>
      </c>
      <c r="B63" s="2" t="str">
        <f>IF(Participant_Data!B63="","",Participant_Data!B63)</f>
        <v/>
      </c>
      <c r="C63" s="3" t="str">
        <f>IF(Participant_Data!C63="","",Participant_Data!C63)</f>
        <v/>
      </c>
      <c r="D63" s="5"/>
      <c r="E63" s="24">
        <v>4</v>
      </c>
      <c r="F63" s="24">
        <v>4</v>
      </c>
      <c r="G63" s="24">
        <v>4</v>
      </c>
      <c r="H63" s="24">
        <v>5</v>
      </c>
      <c r="I63" s="24">
        <v>3</v>
      </c>
      <c r="J63" s="24">
        <v>4</v>
      </c>
      <c r="K63" s="24">
        <v>4</v>
      </c>
      <c r="L63" s="16"/>
      <c r="M63" s="24">
        <f t="shared" si="0"/>
        <v>28</v>
      </c>
    </row>
    <row r="64" spans="1:13">
      <c r="A64" s="2">
        <f>IF(Participant_Data!A64="","",Participant_Data!A64)</f>
        <v>63</v>
      </c>
      <c r="B64" s="2" t="str">
        <f>IF(Participant_Data!B64="","",Participant_Data!B64)</f>
        <v/>
      </c>
      <c r="C64" s="3" t="str">
        <f>IF(Participant_Data!C64="","",Participant_Data!C64)</f>
        <v/>
      </c>
      <c r="D64" s="5"/>
      <c r="E64" s="24">
        <v>5</v>
      </c>
      <c r="F64" s="24">
        <v>5</v>
      </c>
      <c r="G64" s="24">
        <v>5</v>
      </c>
      <c r="H64" s="24">
        <v>5</v>
      </c>
      <c r="I64" s="24">
        <v>5</v>
      </c>
      <c r="J64" s="24">
        <v>5</v>
      </c>
      <c r="K64" s="24">
        <v>5</v>
      </c>
      <c r="L64" s="16"/>
      <c r="M64" s="24">
        <f t="shared" si="0"/>
        <v>35</v>
      </c>
    </row>
    <row r="65" spans="1:13">
      <c r="A65" s="2">
        <f>IF(Participant_Data!A65="","",Participant_Data!A65)</f>
        <v>64</v>
      </c>
      <c r="B65" s="2" t="str">
        <f>IF(Participant_Data!B65="","",Participant_Data!B65)</f>
        <v/>
      </c>
      <c r="C65" s="3" t="str">
        <f>IF(Participant_Data!C65="","",Participant_Data!C65)</f>
        <v/>
      </c>
      <c r="D65" s="5"/>
      <c r="E65" s="24">
        <v>5</v>
      </c>
      <c r="F65" s="24">
        <v>5</v>
      </c>
      <c r="G65" s="24">
        <v>5</v>
      </c>
      <c r="H65" s="24">
        <v>5</v>
      </c>
      <c r="I65" s="24">
        <v>5</v>
      </c>
      <c r="J65" s="24">
        <v>5</v>
      </c>
      <c r="K65" s="24">
        <v>5</v>
      </c>
      <c r="L65" s="16"/>
      <c r="M65" s="24">
        <f t="shared" si="0"/>
        <v>35</v>
      </c>
    </row>
    <row r="66" spans="1:13">
      <c r="A66" s="2">
        <f>IF(Participant_Data!A66="","",Participant_Data!A66)</f>
        <v>65</v>
      </c>
      <c r="B66" s="2" t="str">
        <f>IF(Participant_Data!B66="","",Participant_Data!B66)</f>
        <v/>
      </c>
      <c r="C66" s="3" t="str">
        <f>IF(Participant_Data!C66="","",Participant_Data!C66)</f>
        <v/>
      </c>
      <c r="D66" s="5"/>
      <c r="E66" s="24">
        <v>4</v>
      </c>
      <c r="F66" s="24">
        <v>5</v>
      </c>
      <c r="G66" s="24">
        <v>4</v>
      </c>
      <c r="H66" s="24">
        <v>4</v>
      </c>
      <c r="I66" s="24">
        <v>4</v>
      </c>
      <c r="J66" s="24">
        <v>5</v>
      </c>
      <c r="K66" s="24">
        <v>4</v>
      </c>
      <c r="L66" s="16"/>
      <c r="M66" s="24">
        <f t="shared" ref="M66:M129" si="1">SUM(E66:K66)</f>
        <v>30</v>
      </c>
    </row>
    <row r="67" spans="1:13">
      <c r="A67" s="2">
        <f>IF(Participant_Data!A67="","",Participant_Data!A67)</f>
        <v>66</v>
      </c>
      <c r="B67" s="2" t="str">
        <f>IF(Participant_Data!B67="","",Participant_Data!B67)</f>
        <v/>
      </c>
      <c r="C67" s="3" t="str">
        <f>IF(Participant_Data!C67="","",Participant_Data!C67)</f>
        <v/>
      </c>
      <c r="D67" s="5"/>
      <c r="E67" s="24">
        <v>5</v>
      </c>
      <c r="F67" s="24">
        <v>5</v>
      </c>
      <c r="G67" s="24">
        <v>5</v>
      </c>
      <c r="H67" s="24">
        <v>5</v>
      </c>
      <c r="I67" s="24">
        <v>5</v>
      </c>
      <c r="J67" s="24">
        <v>5</v>
      </c>
      <c r="K67" s="24">
        <v>5</v>
      </c>
      <c r="L67" s="16"/>
      <c r="M67" s="24">
        <f t="shared" si="1"/>
        <v>35</v>
      </c>
    </row>
    <row r="68" spans="1:13">
      <c r="A68" s="2">
        <f>IF(Participant_Data!A68="","",Participant_Data!A68)</f>
        <v>67</v>
      </c>
      <c r="B68" s="2" t="str">
        <f>IF(Participant_Data!B68="","",Participant_Data!B68)</f>
        <v/>
      </c>
      <c r="C68" s="3" t="str">
        <f>IF(Participant_Data!C68="","",Participant_Data!C68)</f>
        <v/>
      </c>
      <c r="D68" s="5"/>
      <c r="E68" s="24">
        <v>5</v>
      </c>
      <c r="F68" s="24">
        <v>5</v>
      </c>
      <c r="G68" s="24">
        <v>5</v>
      </c>
      <c r="H68" s="24">
        <v>5</v>
      </c>
      <c r="I68" s="24">
        <v>5</v>
      </c>
      <c r="J68" s="24">
        <v>5</v>
      </c>
      <c r="K68" s="24">
        <v>5</v>
      </c>
      <c r="L68" s="16"/>
      <c r="M68" s="24">
        <f t="shared" si="1"/>
        <v>35</v>
      </c>
    </row>
    <row r="69" spans="1:13">
      <c r="A69" s="2">
        <f>IF(Participant_Data!A69="","",Participant_Data!A69)</f>
        <v>68</v>
      </c>
      <c r="B69" s="2" t="str">
        <f>IF(Participant_Data!B69="","",Participant_Data!B69)</f>
        <v/>
      </c>
      <c r="C69" s="3" t="str">
        <f>IF(Participant_Data!C69="","",Participant_Data!C69)</f>
        <v/>
      </c>
      <c r="D69" s="5"/>
      <c r="E69" s="24">
        <v>4</v>
      </c>
      <c r="F69" s="24">
        <v>5</v>
      </c>
      <c r="G69" s="24">
        <v>4</v>
      </c>
      <c r="H69" s="24">
        <v>5</v>
      </c>
      <c r="I69" s="24">
        <v>5</v>
      </c>
      <c r="J69" s="24">
        <v>5</v>
      </c>
      <c r="K69" s="24">
        <v>5</v>
      </c>
      <c r="L69" s="16"/>
      <c r="M69" s="24">
        <f t="shared" si="1"/>
        <v>33</v>
      </c>
    </row>
    <row r="70" spans="1:13">
      <c r="A70" s="2">
        <f>IF(Participant_Data!A70="","",Participant_Data!A70)</f>
        <v>69</v>
      </c>
      <c r="B70" s="2" t="str">
        <f>IF(Participant_Data!B70="","",Participant_Data!B70)</f>
        <v/>
      </c>
      <c r="C70" s="3" t="str">
        <f>IF(Participant_Data!C70="","",Participant_Data!C70)</f>
        <v/>
      </c>
      <c r="D70" s="5"/>
      <c r="E70" s="24">
        <v>4</v>
      </c>
      <c r="F70" s="24">
        <v>4</v>
      </c>
      <c r="G70" s="24">
        <v>4</v>
      </c>
      <c r="H70" s="24">
        <v>5</v>
      </c>
      <c r="I70" s="24">
        <v>5</v>
      </c>
      <c r="J70" s="24">
        <v>5</v>
      </c>
      <c r="K70" s="24">
        <v>5</v>
      </c>
      <c r="L70" s="16"/>
      <c r="M70" s="24">
        <f t="shared" si="1"/>
        <v>32</v>
      </c>
    </row>
    <row r="71" spans="1:13">
      <c r="A71" s="2">
        <f>IF(Participant_Data!A71="","",Participant_Data!A71)</f>
        <v>70</v>
      </c>
      <c r="B71" s="2" t="str">
        <f>IF(Participant_Data!B71="","",Participant_Data!B71)</f>
        <v/>
      </c>
      <c r="C71" s="3" t="str">
        <f>IF(Participant_Data!C71="","",Participant_Data!C71)</f>
        <v/>
      </c>
      <c r="D71" s="5"/>
      <c r="E71" s="24">
        <v>4</v>
      </c>
      <c r="F71" s="24">
        <v>3</v>
      </c>
      <c r="G71" s="24">
        <v>3</v>
      </c>
      <c r="H71" s="24">
        <v>4</v>
      </c>
      <c r="I71" s="24">
        <v>4</v>
      </c>
      <c r="J71" s="24">
        <v>5</v>
      </c>
      <c r="K71" s="24">
        <v>5</v>
      </c>
      <c r="L71" s="16"/>
      <c r="M71" s="24">
        <f t="shared" si="1"/>
        <v>28</v>
      </c>
    </row>
    <row r="72" spans="1:13">
      <c r="A72" s="2">
        <f>IF(Participant_Data!A72="","",Participant_Data!A72)</f>
        <v>71</v>
      </c>
      <c r="B72" s="2" t="str">
        <f>IF(Participant_Data!B72="","",Participant_Data!B72)</f>
        <v/>
      </c>
      <c r="C72" s="3" t="str">
        <f>IF(Participant_Data!C72="","",Participant_Data!C72)</f>
        <v/>
      </c>
      <c r="D72" s="5"/>
      <c r="E72" s="24">
        <v>4</v>
      </c>
      <c r="F72" s="24">
        <v>4</v>
      </c>
      <c r="G72" s="24">
        <v>5</v>
      </c>
      <c r="H72" s="24">
        <v>5</v>
      </c>
      <c r="I72" s="24">
        <v>5</v>
      </c>
      <c r="J72" s="24">
        <v>5</v>
      </c>
      <c r="K72" s="24">
        <v>5</v>
      </c>
      <c r="L72" s="16"/>
      <c r="M72" s="24">
        <f t="shared" si="1"/>
        <v>33</v>
      </c>
    </row>
    <row r="73" spans="1:13">
      <c r="A73" s="2">
        <f>IF(Participant_Data!A73="","",Participant_Data!A73)</f>
        <v>72</v>
      </c>
      <c r="B73" s="2" t="str">
        <f>IF(Participant_Data!B73="","",Participant_Data!B73)</f>
        <v/>
      </c>
      <c r="C73" s="3" t="str">
        <f>IF(Participant_Data!C73="","",Participant_Data!C73)</f>
        <v/>
      </c>
      <c r="D73" s="5"/>
      <c r="E73" s="24">
        <v>4</v>
      </c>
      <c r="F73" s="24">
        <v>4</v>
      </c>
      <c r="G73" s="24">
        <v>5</v>
      </c>
      <c r="H73" s="24">
        <v>5</v>
      </c>
      <c r="I73" s="24">
        <v>5</v>
      </c>
      <c r="J73" s="24">
        <v>5</v>
      </c>
      <c r="K73" s="24">
        <v>5</v>
      </c>
      <c r="L73" s="16"/>
      <c r="M73" s="24">
        <f t="shared" si="1"/>
        <v>33</v>
      </c>
    </row>
    <row r="74" spans="1:13">
      <c r="A74" s="2">
        <f>IF(Participant_Data!A74="","",Participant_Data!A74)</f>
        <v>73</v>
      </c>
      <c r="B74" s="2" t="str">
        <f>IF(Participant_Data!B74="","",Participant_Data!B74)</f>
        <v/>
      </c>
      <c r="C74" s="3" t="str">
        <f>IF(Participant_Data!C74="","",Participant_Data!C74)</f>
        <v/>
      </c>
      <c r="D74" s="5"/>
      <c r="E74" s="24">
        <v>4</v>
      </c>
      <c r="F74" s="24">
        <v>4</v>
      </c>
      <c r="G74" s="24">
        <v>5</v>
      </c>
      <c r="H74" s="24">
        <v>4</v>
      </c>
      <c r="I74" s="24">
        <v>5</v>
      </c>
      <c r="J74" s="24">
        <v>5</v>
      </c>
      <c r="K74" s="24">
        <v>5</v>
      </c>
      <c r="L74" s="16"/>
      <c r="M74" s="24">
        <f t="shared" si="1"/>
        <v>32</v>
      </c>
    </row>
    <row r="75" spans="1:13">
      <c r="A75" s="2">
        <f>IF(Participant_Data!A75="","",Participant_Data!A75)</f>
        <v>74</v>
      </c>
      <c r="B75" s="2" t="str">
        <f>IF(Participant_Data!B75="","",Participant_Data!B75)</f>
        <v/>
      </c>
      <c r="C75" s="3" t="str">
        <f>IF(Participant_Data!C75="","",Participant_Data!C75)</f>
        <v/>
      </c>
      <c r="D75" s="5"/>
      <c r="E75" s="24">
        <v>4</v>
      </c>
      <c r="F75" s="24">
        <v>4</v>
      </c>
      <c r="G75" s="24">
        <v>5</v>
      </c>
      <c r="H75" s="24">
        <v>4</v>
      </c>
      <c r="I75" s="24">
        <v>4</v>
      </c>
      <c r="J75" s="24">
        <v>4</v>
      </c>
      <c r="K75" s="24">
        <v>4</v>
      </c>
      <c r="L75" s="16"/>
      <c r="M75" s="24">
        <f t="shared" si="1"/>
        <v>29</v>
      </c>
    </row>
    <row r="76" spans="1:13">
      <c r="A76" s="2">
        <f>IF(Participant_Data!A76="","",Participant_Data!A76)</f>
        <v>75</v>
      </c>
      <c r="B76" s="2" t="str">
        <f>IF(Participant_Data!B76="","",Participant_Data!B76)</f>
        <v/>
      </c>
      <c r="C76" s="3" t="str">
        <f>IF(Participant_Data!C76="","",Participant_Data!C76)</f>
        <v/>
      </c>
      <c r="D76" s="5"/>
      <c r="E76" s="24">
        <v>4</v>
      </c>
      <c r="F76" s="24">
        <v>5</v>
      </c>
      <c r="G76" s="24">
        <v>5</v>
      </c>
      <c r="H76" s="24">
        <v>5</v>
      </c>
      <c r="I76" s="24">
        <v>5</v>
      </c>
      <c r="J76" s="24">
        <v>5</v>
      </c>
      <c r="K76" s="24">
        <v>5</v>
      </c>
      <c r="L76" s="16"/>
      <c r="M76" s="24">
        <f t="shared" si="1"/>
        <v>34</v>
      </c>
    </row>
    <row r="77" spans="1:13">
      <c r="A77" s="2">
        <f>IF(Participant_Data!A77="","",Participant_Data!A77)</f>
        <v>76</v>
      </c>
      <c r="B77" s="2" t="str">
        <f>IF(Participant_Data!B77="","",Participant_Data!B77)</f>
        <v/>
      </c>
      <c r="C77" s="3" t="str">
        <f>IF(Participant_Data!C77="","",Participant_Data!C77)</f>
        <v/>
      </c>
      <c r="D77" s="5"/>
      <c r="E77" s="24">
        <v>4</v>
      </c>
      <c r="F77" s="24">
        <v>5</v>
      </c>
      <c r="G77" s="24">
        <v>5</v>
      </c>
      <c r="H77" s="24">
        <v>5</v>
      </c>
      <c r="I77" s="24">
        <v>5</v>
      </c>
      <c r="J77" s="24">
        <v>5</v>
      </c>
      <c r="K77" s="24">
        <v>5</v>
      </c>
      <c r="L77" s="16" t="s">
        <v>146</v>
      </c>
      <c r="M77" s="24">
        <f t="shared" si="1"/>
        <v>34</v>
      </c>
    </row>
    <row r="78" spans="1:13">
      <c r="A78" s="2">
        <f>IF(Participant_Data!A78="","",Participant_Data!A78)</f>
        <v>77</v>
      </c>
      <c r="B78" s="2" t="str">
        <f>IF(Participant_Data!B78="","",Participant_Data!B78)</f>
        <v/>
      </c>
      <c r="C78" s="3" t="str">
        <f>IF(Participant_Data!C78="","",Participant_Data!C78)</f>
        <v/>
      </c>
      <c r="D78" s="5"/>
      <c r="E78" s="24">
        <v>4</v>
      </c>
      <c r="F78" s="24">
        <v>4</v>
      </c>
      <c r="G78" s="24">
        <v>5</v>
      </c>
      <c r="H78" s="24">
        <v>4</v>
      </c>
      <c r="I78" s="24">
        <v>5</v>
      </c>
      <c r="J78" s="24">
        <v>5</v>
      </c>
      <c r="K78" s="24">
        <v>5</v>
      </c>
      <c r="L78" s="16"/>
      <c r="M78" s="24">
        <f t="shared" si="1"/>
        <v>32</v>
      </c>
    </row>
    <row r="79" spans="1:13">
      <c r="A79" s="2">
        <f>IF(Participant_Data!A79="","",Participant_Data!A79)</f>
        <v>78</v>
      </c>
      <c r="B79" s="2" t="str">
        <f>IF(Participant_Data!B79="","",Participant_Data!B79)</f>
        <v/>
      </c>
      <c r="C79" s="3" t="str">
        <f>IF(Participant_Data!C79="","",Participant_Data!C79)</f>
        <v/>
      </c>
      <c r="D79" s="5"/>
      <c r="E79" s="24">
        <v>4</v>
      </c>
      <c r="F79" s="24">
        <v>4</v>
      </c>
      <c r="G79" s="24">
        <v>4</v>
      </c>
      <c r="H79" s="24">
        <v>4</v>
      </c>
      <c r="I79" s="24">
        <v>5</v>
      </c>
      <c r="J79" s="24">
        <v>5</v>
      </c>
      <c r="K79" s="24">
        <v>5</v>
      </c>
      <c r="L79" s="16"/>
      <c r="M79" s="24">
        <f t="shared" si="1"/>
        <v>31</v>
      </c>
    </row>
    <row r="80" spans="1:13">
      <c r="A80" s="2">
        <f>IF(Participant_Data!A80="","",Participant_Data!A80)</f>
        <v>79</v>
      </c>
      <c r="B80" s="2" t="str">
        <f>IF(Participant_Data!B80="","",Participant_Data!B80)</f>
        <v/>
      </c>
      <c r="C80" s="3" t="str">
        <f>IF(Participant_Data!C80="","",Participant_Data!C80)</f>
        <v/>
      </c>
      <c r="D80" s="5"/>
      <c r="E80" s="24">
        <v>4</v>
      </c>
      <c r="F80" s="24">
        <v>4</v>
      </c>
      <c r="G80" s="24">
        <v>5</v>
      </c>
      <c r="H80" s="24">
        <v>4</v>
      </c>
      <c r="I80" s="24">
        <v>5</v>
      </c>
      <c r="J80" s="24">
        <v>5</v>
      </c>
      <c r="K80" s="24">
        <v>5</v>
      </c>
      <c r="L80" s="16"/>
      <c r="M80" s="24">
        <f t="shared" si="1"/>
        <v>32</v>
      </c>
    </row>
    <row r="81" spans="1:13">
      <c r="A81" s="2">
        <f>IF(Participant_Data!A81="","",Participant_Data!A81)</f>
        <v>80</v>
      </c>
      <c r="B81" s="2" t="str">
        <f>IF(Participant_Data!B81="","",Participant_Data!B81)</f>
        <v/>
      </c>
      <c r="C81" s="3" t="str">
        <f>IF(Participant_Data!C81="","",Participant_Data!C81)</f>
        <v/>
      </c>
      <c r="D81" s="5"/>
      <c r="E81" s="24">
        <v>5</v>
      </c>
      <c r="F81" s="24">
        <v>5</v>
      </c>
      <c r="G81" s="24">
        <v>5</v>
      </c>
      <c r="H81" s="24">
        <v>5</v>
      </c>
      <c r="I81" s="24">
        <v>5</v>
      </c>
      <c r="J81" s="24">
        <v>5</v>
      </c>
      <c r="K81" s="24">
        <v>5</v>
      </c>
      <c r="L81" s="16"/>
      <c r="M81" s="24">
        <f t="shared" si="1"/>
        <v>35</v>
      </c>
    </row>
    <row r="82" spans="1:13">
      <c r="A82" s="2">
        <f>IF(Participant_Data!A82="","",Participant_Data!A82)</f>
        <v>81</v>
      </c>
      <c r="B82" s="2" t="str">
        <f>IF(Participant_Data!B82="","",Participant_Data!B82)</f>
        <v/>
      </c>
      <c r="C82" s="3" t="str">
        <f>IF(Participant_Data!C82="","",Participant_Data!C82)</f>
        <v/>
      </c>
      <c r="D82" s="5"/>
      <c r="E82" s="24">
        <v>5</v>
      </c>
      <c r="F82" s="24">
        <v>5</v>
      </c>
      <c r="G82" s="24">
        <v>5</v>
      </c>
      <c r="H82" s="24">
        <v>5</v>
      </c>
      <c r="I82" s="24">
        <v>5</v>
      </c>
      <c r="J82" s="24">
        <v>5</v>
      </c>
      <c r="K82" s="24">
        <v>5</v>
      </c>
      <c r="L82" s="16"/>
      <c r="M82" s="24">
        <f t="shared" si="1"/>
        <v>35</v>
      </c>
    </row>
    <row r="83" spans="1:13">
      <c r="A83" s="2">
        <f>IF(Participant_Data!A83="","",Participant_Data!A83)</f>
        <v>82</v>
      </c>
      <c r="B83" s="2" t="str">
        <f>IF(Participant_Data!B83="","",Participant_Data!B83)</f>
        <v/>
      </c>
      <c r="C83" s="3" t="str">
        <f>IF(Participant_Data!C83="","",Participant_Data!C83)</f>
        <v/>
      </c>
      <c r="D83" s="5"/>
      <c r="E83" s="24">
        <v>4</v>
      </c>
      <c r="F83" s="24">
        <v>4</v>
      </c>
      <c r="G83" s="24">
        <v>5</v>
      </c>
      <c r="H83" s="24">
        <v>4</v>
      </c>
      <c r="I83" s="24">
        <v>5</v>
      </c>
      <c r="J83" s="24">
        <v>5</v>
      </c>
      <c r="K83" s="24">
        <v>5</v>
      </c>
      <c r="L83" s="16"/>
      <c r="M83" s="24">
        <f t="shared" si="1"/>
        <v>32</v>
      </c>
    </row>
    <row r="84" spans="1:13">
      <c r="A84" s="2">
        <f>IF(Participant_Data!A84="","",Participant_Data!A84)</f>
        <v>83</v>
      </c>
      <c r="B84" s="2" t="str">
        <f>IF(Participant_Data!B84="","",Participant_Data!B84)</f>
        <v/>
      </c>
      <c r="C84" s="3" t="str">
        <f>IF(Participant_Data!C84="","",Participant_Data!C84)</f>
        <v/>
      </c>
      <c r="D84" s="5"/>
      <c r="E84" s="24">
        <v>3</v>
      </c>
      <c r="F84" s="24">
        <v>3</v>
      </c>
      <c r="G84" s="24">
        <v>3</v>
      </c>
      <c r="H84" s="24">
        <v>3</v>
      </c>
      <c r="I84" s="24">
        <v>4</v>
      </c>
      <c r="J84" s="24">
        <v>5</v>
      </c>
      <c r="K84" s="24">
        <v>4</v>
      </c>
      <c r="L84" s="16"/>
      <c r="M84" s="24">
        <f t="shared" si="1"/>
        <v>25</v>
      </c>
    </row>
    <row r="85" spans="1:13">
      <c r="A85" s="2">
        <f>IF(Participant_Data!A85="","",Participant_Data!A85)</f>
        <v>84</v>
      </c>
      <c r="B85" s="2" t="str">
        <f>IF(Participant_Data!B85="","",Participant_Data!B85)</f>
        <v/>
      </c>
      <c r="C85" s="3" t="str">
        <f>IF(Participant_Data!C85="","",Participant_Data!C85)</f>
        <v/>
      </c>
      <c r="D85" s="5"/>
      <c r="E85" s="24">
        <v>4</v>
      </c>
      <c r="F85" s="24">
        <v>5</v>
      </c>
      <c r="G85" s="24">
        <v>4</v>
      </c>
      <c r="H85" s="24">
        <v>4</v>
      </c>
      <c r="I85" s="24">
        <v>5</v>
      </c>
      <c r="J85" s="24">
        <v>5</v>
      </c>
      <c r="K85" s="24">
        <v>5</v>
      </c>
      <c r="L85" s="16"/>
      <c r="M85" s="24">
        <f t="shared" si="1"/>
        <v>32</v>
      </c>
    </row>
    <row r="86" spans="1:13">
      <c r="A86" s="2">
        <f>IF(Participant_Data!A86="","",Participant_Data!A86)</f>
        <v>85</v>
      </c>
      <c r="B86" s="2" t="str">
        <f>IF(Participant_Data!B86="","",Participant_Data!B86)</f>
        <v/>
      </c>
      <c r="C86" s="3" t="str">
        <f>IF(Participant_Data!C86="","",Participant_Data!C86)</f>
        <v/>
      </c>
      <c r="D86" s="5"/>
      <c r="E86" s="24">
        <v>4</v>
      </c>
      <c r="F86" s="24">
        <v>5</v>
      </c>
      <c r="G86" s="24">
        <v>5</v>
      </c>
      <c r="H86" s="24">
        <v>5</v>
      </c>
      <c r="I86" s="24">
        <v>5</v>
      </c>
      <c r="J86" s="24">
        <v>5</v>
      </c>
      <c r="K86" s="24">
        <v>5</v>
      </c>
      <c r="L86" s="16"/>
      <c r="M86" s="24">
        <f t="shared" si="1"/>
        <v>34</v>
      </c>
    </row>
    <row r="87" spans="1:13">
      <c r="A87" s="2">
        <f>IF(Participant_Data!A87="","",Participant_Data!A87)</f>
        <v>86</v>
      </c>
      <c r="B87" s="2" t="str">
        <f>IF(Participant_Data!B87="","",Participant_Data!B87)</f>
        <v/>
      </c>
      <c r="C87" s="3" t="str">
        <f>IF(Participant_Data!C87="","",Participant_Data!C87)</f>
        <v/>
      </c>
      <c r="D87" s="5"/>
      <c r="E87" s="24">
        <v>4</v>
      </c>
      <c r="F87" s="24">
        <v>4</v>
      </c>
      <c r="G87" s="24">
        <v>5</v>
      </c>
      <c r="H87" s="24">
        <v>4</v>
      </c>
      <c r="I87" s="24">
        <v>5</v>
      </c>
      <c r="J87" s="24">
        <v>5</v>
      </c>
      <c r="K87" s="24">
        <v>5</v>
      </c>
      <c r="L87" s="16"/>
      <c r="M87" s="24">
        <f t="shared" si="1"/>
        <v>32</v>
      </c>
    </row>
    <row r="88" spans="1:13">
      <c r="A88" s="2">
        <f>IF(Participant_Data!A88="","",Participant_Data!A88)</f>
        <v>87</v>
      </c>
      <c r="B88" s="2" t="str">
        <f>IF(Participant_Data!B88="","",Participant_Data!B88)</f>
        <v/>
      </c>
      <c r="C88" s="3" t="str">
        <f>IF(Participant_Data!C88="","",Participant_Data!C88)</f>
        <v/>
      </c>
      <c r="D88" s="5"/>
      <c r="E88" s="24">
        <v>4</v>
      </c>
      <c r="F88" s="24">
        <v>4</v>
      </c>
      <c r="G88" s="24">
        <v>5</v>
      </c>
      <c r="H88" s="24">
        <v>5</v>
      </c>
      <c r="I88" s="24">
        <v>5</v>
      </c>
      <c r="J88" s="24">
        <v>5</v>
      </c>
      <c r="K88" s="24">
        <v>5</v>
      </c>
      <c r="L88" s="16"/>
      <c r="M88" s="24">
        <f t="shared" si="1"/>
        <v>33</v>
      </c>
    </row>
    <row r="89" spans="1:13">
      <c r="A89" s="2">
        <f>IF(Participant_Data!A89="","",Participant_Data!A89)</f>
        <v>88</v>
      </c>
      <c r="B89" s="2" t="str">
        <f>IF(Participant_Data!B89="","",Participant_Data!B89)</f>
        <v/>
      </c>
      <c r="C89" s="3" t="str">
        <f>IF(Participant_Data!C89="","",Participant_Data!C89)</f>
        <v/>
      </c>
      <c r="D89" s="5"/>
      <c r="E89" s="24">
        <v>4</v>
      </c>
      <c r="F89" s="24">
        <v>4</v>
      </c>
      <c r="G89" s="24">
        <v>4</v>
      </c>
      <c r="H89" s="24">
        <v>5</v>
      </c>
      <c r="I89" s="24">
        <v>5</v>
      </c>
      <c r="J89" s="24">
        <v>5</v>
      </c>
      <c r="K89" s="24">
        <v>5</v>
      </c>
      <c r="L89" s="16"/>
      <c r="M89" s="24">
        <f t="shared" si="1"/>
        <v>32</v>
      </c>
    </row>
    <row r="90" spans="1:13">
      <c r="A90" s="2">
        <f>IF(Participant_Data!A90="","",Participant_Data!A90)</f>
        <v>89</v>
      </c>
      <c r="B90" s="2" t="str">
        <f>IF(Participant_Data!B90="","",Participant_Data!B90)</f>
        <v/>
      </c>
      <c r="C90" s="3" t="str">
        <f>IF(Participant_Data!C90="","",Participant_Data!C90)</f>
        <v/>
      </c>
      <c r="D90" s="5"/>
      <c r="E90" s="24">
        <v>5</v>
      </c>
      <c r="F90" s="24">
        <v>5</v>
      </c>
      <c r="G90" s="24">
        <v>5</v>
      </c>
      <c r="H90" s="24">
        <v>4</v>
      </c>
      <c r="I90" s="24">
        <v>5</v>
      </c>
      <c r="J90" s="24">
        <v>5</v>
      </c>
      <c r="K90" s="24">
        <v>5</v>
      </c>
      <c r="L90" s="16"/>
      <c r="M90" s="24">
        <f t="shared" si="1"/>
        <v>34</v>
      </c>
    </row>
    <row r="91" spans="1:13">
      <c r="A91" s="2">
        <f>IF(Participant_Data!A91="","",Participant_Data!A91)</f>
        <v>90</v>
      </c>
      <c r="B91" s="2" t="str">
        <f>IF(Participant_Data!B91="","",Participant_Data!B91)</f>
        <v/>
      </c>
      <c r="C91" s="3" t="str">
        <f>IF(Participant_Data!C91="","",Participant_Data!C91)</f>
        <v/>
      </c>
      <c r="D91" s="5"/>
      <c r="E91" s="24">
        <v>5</v>
      </c>
      <c r="F91" s="24">
        <v>4</v>
      </c>
      <c r="G91" s="24">
        <v>4</v>
      </c>
      <c r="H91" s="24">
        <v>4</v>
      </c>
      <c r="I91" s="24">
        <v>5</v>
      </c>
      <c r="J91" s="24">
        <v>5</v>
      </c>
      <c r="K91" s="24">
        <v>5</v>
      </c>
      <c r="L91" s="16"/>
      <c r="M91" s="24">
        <f t="shared" si="1"/>
        <v>32</v>
      </c>
    </row>
    <row r="92" spans="1:13">
      <c r="A92" s="2">
        <f>IF(Participant_Data!A92="","",Participant_Data!A92)</f>
        <v>91</v>
      </c>
      <c r="B92" s="2" t="str">
        <f>IF(Participant_Data!B92="","",Participant_Data!B92)</f>
        <v/>
      </c>
      <c r="C92" s="3" t="str">
        <f>IF(Participant_Data!C92="","",Participant_Data!C92)</f>
        <v/>
      </c>
      <c r="D92" s="5"/>
      <c r="E92" s="24">
        <v>5</v>
      </c>
      <c r="F92" s="24">
        <v>3</v>
      </c>
      <c r="G92" s="24">
        <v>3</v>
      </c>
      <c r="H92" s="24">
        <v>4</v>
      </c>
      <c r="I92" s="24">
        <v>5</v>
      </c>
      <c r="J92" s="24">
        <v>5</v>
      </c>
      <c r="K92" s="24">
        <v>5</v>
      </c>
      <c r="L92" s="16"/>
      <c r="M92" s="24">
        <f t="shared" si="1"/>
        <v>30</v>
      </c>
    </row>
    <row r="93" spans="1:13">
      <c r="A93" s="2">
        <f>IF(Participant_Data!A93="","",Participant_Data!A93)</f>
        <v>92</v>
      </c>
      <c r="B93" s="2" t="str">
        <f>IF(Participant_Data!B93="","",Participant_Data!B93)</f>
        <v/>
      </c>
      <c r="C93" s="3" t="str">
        <f>IF(Participant_Data!C93="","",Participant_Data!C93)</f>
        <v/>
      </c>
      <c r="D93" s="5"/>
      <c r="E93" s="24">
        <v>5</v>
      </c>
      <c r="F93" s="24">
        <v>5</v>
      </c>
      <c r="G93" s="24">
        <v>5</v>
      </c>
      <c r="H93" s="24">
        <v>4</v>
      </c>
      <c r="I93" s="24">
        <v>5</v>
      </c>
      <c r="J93" s="24">
        <v>5</v>
      </c>
      <c r="K93" s="24">
        <v>5</v>
      </c>
      <c r="L93" s="16"/>
      <c r="M93" s="24">
        <f t="shared" si="1"/>
        <v>34</v>
      </c>
    </row>
    <row r="94" spans="1:13">
      <c r="A94" s="2">
        <f>IF(Participant_Data!A94="","",Participant_Data!A94)</f>
        <v>93</v>
      </c>
      <c r="B94" s="2" t="str">
        <f>IF(Participant_Data!B94="","",Participant_Data!B94)</f>
        <v/>
      </c>
      <c r="C94" s="3" t="str">
        <f>IF(Participant_Data!C94="","",Participant_Data!C94)</f>
        <v/>
      </c>
      <c r="D94" s="5"/>
      <c r="E94" s="24">
        <v>5</v>
      </c>
      <c r="F94" s="24">
        <v>4</v>
      </c>
      <c r="G94" s="24">
        <v>5</v>
      </c>
      <c r="H94" s="24">
        <v>5</v>
      </c>
      <c r="I94" s="24">
        <v>5</v>
      </c>
      <c r="J94" s="24">
        <v>5</v>
      </c>
      <c r="K94" s="24">
        <v>5</v>
      </c>
      <c r="L94" s="16"/>
      <c r="M94" s="24">
        <f t="shared" si="1"/>
        <v>34</v>
      </c>
    </row>
    <row r="95" spans="1:13">
      <c r="A95" s="2">
        <f>IF(Participant_Data!A95="","",Participant_Data!A95)</f>
        <v>94</v>
      </c>
      <c r="B95" s="2" t="str">
        <f>IF(Participant_Data!B95="","",Participant_Data!B95)</f>
        <v/>
      </c>
      <c r="C95" s="3" t="str">
        <f>IF(Participant_Data!C95="","",Participant_Data!C95)</f>
        <v/>
      </c>
      <c r="D95" s="5"/>
      <c r="E95" s="24">
        <v>3</v>
      </c>
      <c r="F95" s="24">
        <v>3</v>
      </c>
      <c r="G95" s="24">
        <v>4</v>
      </c>
      <c r="H95" s="24">
        <v>4</v>
      </c>
      <c r="I95" s="24">
        <v>5</v>
      </c>
      <c r="J95" s="24">
        <v>5</v>
      </c>
      <c r="K95" s="24">
        <v>5</v>
      </c>
      <c r="L95" s="16"/>
      <c r="M95" s="24">
        <f t="shared" si="1"/>
        <v>29</v>
      </c>
    </row>
    <row r="96" spans="1:13">
      <c r="A96" s="2">
        <f>IF(Participant_Data!A96="","",Participant_Data!A96)</f>
        <v>95</v>
      </c>
      <c r="B96" s="2" t="str">
        <f>IF(Participant_Data!B96="","",Participant_Data!B96)</f>
        <v/>
      </c>
      <c r="C96" s="3" t="str">
        <f>IF(Participant_Data!C96="","",Participant_Data!C96)</f>
        <v/>
      </c>
      <c r="D96" s="5"/>
      <c r="E96" s="24">
        <v>4</v>
      </c>
      <c r="F96" s="24">
        <v>4</v>
      </c>
      <c r="G96" s="24">
        <v>4</v>
      </c>
      <c r="H96" s="24">
        <v>4</v>
      </c>
      <c r="I96" s="24">
        <v>5</v>
      </c>
      <c r="J96" s="24">
        <v>5</v>
      </c>
      <c r="K96" s="24">
        <v>5</v>
      </c>
      <c r="L96" s="16"/>
      <c r="M96" s="24">
        <f t="shared" si="1"/>
        <v>31</v>
      </c>
    </row>
    <row r="97" spans="1:13">
      <c r="A97" s="2">
        <f>IF(Participant_Data!A97="","",Participant_Data!A97)</f>
        <v>96</v>
      </c>
      <c r="B97" s="2" t="str">
        <f>IF(Participant_Data!B97="","",Participant_Data!B97)</f>
        <v/>
      </c>
      <c r="C97" s="3" t="str">
        <f>IF(Participant_Data!C97="","",Participant_Data!C97)</f>
        <v/>
      </c>
      <c r="D97" s="5"/>
      <c r="E97" s="24">
        <v>4</v>
      </c>
      <c r="F97" s="24">
        <v>3</v>
      </c>
      <c r="G97" s="24">
        <v>4</v>
      </c>
      <c r="H97" s="24">
        <v>4</v>
      </c>
      <c r="I97" s="24">
        <v>5</v>
      </c>
      <c r="J97" s="24">
        <v>5</v>
      </c>
      <c r="K97" s="24">
        <v>5</v>
      </c>
      <c r="L97" s="16"/>
      <c r="M97" s="24">
        <f t="shared" si="1"/>
        <v>30</v>
      </c>
    </row>
    <row r="98" spans="1:13">
      <c r="A98" s="2">
        <f>IF(Participant_Data!A98="","",Participant_Data!A98)</f>
        <v>97</v>
      </c>
      <c r="B98" s="2" t="str">
        <f>IF(Participant_Data!B98="","",Participant_Data!B98)</f>
        <v/>
      </c>
      <c r="C98" s="3" t="str">
        <f>IF(Participant_Data!C98="","",Participant_Data!C98)</f>
        <v/>
      </c>
      <c r="D98" s="5"/>
      <c r="E98" s="24">
        <v>4</v>
      </c>
      <c r="F98" s="24">
        <v>4</v>
      </c>
      <c r="G98" s="24">
        <v>4</v>
      </c>
      <c r="H98" s="24">
        <v>4</v>
      </c>
      <c r="I98" s="24">
        <v>5</v>
      </c>
      <c r="J98" s="24">
        <v>4</v>
      </c>
      <c r="K98" s="24">
        <v>5</v>
      </c>
      <c r="L98" s="16"/>
      <c r="M98" s="24">
        <f t="shared" si="1"/>
        <v>30</v>
      </c>
    </row>
    <row r="99" spans="1:13">
      <c r="A99" s="2">
        <f>IF(Participant_Data!A99="","",Participant_Data!A99)</f>
        <v>98</v>
      </c>
      <c r="B99" s="2" t="str">
        <f>IF(Participant_Data!B99="","",Participant_Data!B99)</f>
        <v/>
      </c>
      <c r="C99" s="3" t="str">
        <f>IF(Participant_Data!C99="","",Participant_Data!C99)</f>
        <v/>
      </c>
      <c r="D99" s="5"/>
      <c r="E99" s="24">
        <v>4</v>
      </c>
      <c r="F99" s="24">
        <v>3</v>
      </c>
      <c r="G99" s="24">
        <v>4</v>
      </c>
      <c r="H99" s="24">
        <v>3</v>
      </c>
      <c r="I99" s="24">
        <v>5</v>
      </c>
      <c r="J99" s="24">
        <v>5</v>
      </c>
      <c r="K99" s="24">
        <v>5</v>
      </c>
      <c r="L99" s="16"/>
      <c r="M99" s="24">
        <f t="shared" si="1"/>
        <v>29</v>
      </c>
    </row>
    <row r="100" spans="1:13">
      <c r="A100" s="2">
        <f>IF(Participant_Data!A100="","",Participant_Data!A100)</f>
        <v>99</v>
      </c>
      <c r="B100" s="2" t="str">
        <f>IF(Participant_Data!B100="","",Participant_Data!B100)</f>
        <v/>
      </c>
      <c r="C100" s="3" t="str">
        <f>IF(Participant_Data!C100="","",Participant_Data!C100)</f>
        <v/>
      </c>
      <c r="D100" s="5"/>
      <c r="E100" s="24">
        <v>3</v>
      </c>
      <c r="F100" s="24">
        <v>4</v>
      </c>
      <c r="G100" s="24">
        <v>4</v>
      </c>
      <c r="H100" s="24">
        <v>4</v>
      </c>
      <c r="I100" s="24">
        <v>5</v>
      </c>
      <c r="J100" s="24">
        <v>5</v>
      </c>
      <c r="K100" s="24">
        <v>5</v>
      </c>
      <c r="L100" s="16"/>
      <c r="M100" s="24">
        <f t="shared" si="1"/>
        <v>30</v>
      </c>
    </row>
    <row r="101" spans="1:13">
      <c r="A101" s="2">
        <f>IF(Participant_Data!A101="","",Participant_Data!A101)</f>
        <v>100</v>
      </c>
      <c r="B101" s="2" t="str">
        <f>IF(Participant_Data!B101="","",Participant_Data!B101)</f>
        <v/>
      </c>
      <c r="C101" s="3" t="str">
        <f>IF(Participant_Data!C101="","",Participant_Data!C101)</f>
        <v/>
      </c>
      <c r="D101" s="5"/>
      <c r="E101" s="24">
        <v>5</v>
      </c>
      <c r="F101" s="24">
        <v>5</v>
      </c>
      <c r="G101" s="24">
        <v>5</v>
      </c>
      <c r="H101" s="24">
        <v>5</v>
      </c>
      <c r="I101" s="24">
        <v>5</v>
      </c>
      <c r="J101" s="24">
        <v>5</v>
      </c>
      <c r="K101" s="24">
        <v>5</v>
      </c>
      <c r="L101" s="16"/>
      <c r="M101" s="24">
        <f t="shared" si="1"/>
        <v>35</v>
      </c>
    </row>
    <row r="102" spans="1:13">
      <c r="A102" s="2">
        <f>IF(Participant_Data!A102="","",Participant_Data!A102)</f>
        <v>101</v>
      </c>
      <c r="B102" s="2" t="str">
        <f>IF(Participant_Data!B102="","",Participant_Data!B102)</f>
        <v/>
      </c>
      <c r="C102" s="3" t="str">
        <f>IF(Participant_Data!C102="","",Participant_Data!C102)</f>
        <v/>
      </c>
      <c r="D102" s="5"/>
      <c r="E102" s="24">
        <v>5</v>
      </c>
      <c r="F102" s="24">
        <v>4</v>
      </c>
      <c r="G102" s="24">
        <v>5</v>
      </c>
      <c r="H102" s="24">
        <v>5</v>
      </c>
      <c r="I102" s="24">
        <v>5</v>
      </c>
      <c r="J102" s="24">
        <v>5</v>
      </c>
      <c r="K102" s="24">
        <v>5</v>
      </c>
      <c r="L102" s="16"/>
      <c r="M102" s="24">
        <f t="shared" si="1"/>
        <v>34</v>
      </c>
    </row>
    <row r="103" spans="1:13">
      <c r="A103" s="2">
        <f>IF(Participant_Data!A103="","",Participant_Data!A103)</f>
        <v>102</v>
      </c>
      <c r="B103" s="2" t="str">
        <f>IF(Participant_Data!B103="","",Participant_Data!B103)</f>
        <v/>
      </c>
      <c r="C103" s="3" t="str">
        <f>IF(Participant_Data!C103="","",Participant_Data!C103)</f>
        <v/>
      </c>
      <c r="D103" s="5"/>
      <c r="E103" s="24">
        <v>4</v>
      </c>
      <c r="F103" s="24">
        <v>4</v>
      </c>
      <c r="G103" s="24">
        <v>5</v>
      </c>
      <c r="H103" s="24">
        <v>5</v>
      </c>
      <c r="I103" s="24">
        <v>5</v>
      </c>
      <c r="J103" s="24">
        <v>5</v>
      </c>
      <c r="K103" s="24">
        <v>5</v>
      </c>
      <c r="L103" s="16"/>
      <c r="M103" s="24">
        <f t="shared" si="1"/>
        <v>33</v>
      </c>
    </row>
    <row r="104" spans="1:13">
      <c r="A104" s="2">
        <f>IF(Participant_Data!A104="","",Participant_Data!A104)</f>
        <v>103</v>
      </c>
      <c r="B104" s="2" t="str">
        <f>IF(Participant_Data!B104="","",Participant_Data!B104)</f>
        <v/>
      </c>
      <c r="C104" s="3" t="str">
        <f>IF(Participant_Data!C104="","",Participant_Data!C104)</f>
        <v/>
      </c>
      <c r="D104" s="5"/>
      <c r="E104" s="24">
        <v>5</v>
      </c>
      <c r="F104" s="24">
        <v>5</v>
      </c>
      <c r="G104" s="24">
        <v>5</v>
      </c>
      <c r="H104" s="24">
        <v>5</v>
      </c>
      <c r="I104" s="24">
        <v>5</v>
      </c>
      <c r="J104" s="24">
        <v>5</v>
      </c>
      <c r="K104" s="24">
        <v>5</v>
      </c>
      <c r="L104" s="16"/>
      <c r="M104" s="24">
        <f t="shared" si="1"/>
        <v>35</v>
      </c>
    </row>
    <row r="105" spans="1:13">
      <c r="A105" s="2">
        <f>IF(Participant_Data!A105="","",Participant_Data!A105)</f>
        <v>104</v>
      </c>
      <c r="B105" s="2" t="str">
        <f>IF(Participant_Data!B105="","",Participant_Data!B105)</f>
        <v/>
      </c>
      <c r="C105" s="3" t="str">
        <f>IF(Participant_Data!C105="","",Participant_Data!C105)</f>
        <v/>
      </c>
      <c r="D105" s="5"/>
      <c r="E105" s="24">
        <v>4</v>
      </c>
      <c r="F105" s="24">
        <v>4</v>
      </c>
      <c r="G105" s="24">
        <v>4</v>
      </c>
      <c r="H105" s="24">
        <v>4</v>
      </c>
      <c r="I105" s="24">
        <v>4</v>
      </c>
      <c r="J105" s="24">
        <v>5</v>
      </c>
      <c r="K105" s="24">
        <v>4</v>
      </c>
      <c r="L105" s="16"/>
      <c r="M105" s="24">
        <f t="shared" si="1"/>
        <v>29</v>
      </c>
    </row>
    <row r="106" spans="1:13">
      <c r="A106" s="2">
        <f>IF(Participant_Data!A106="","",Participant_Data!A106)</f>
        <v>105</v>
      </c>
      <c r="B106" s="2" t="str">
        <f>IF(Participant_Data!B106="","",Participant_Data!B106)</f>
        <v/>
      </c>
      <c r="C106" s="3" t="str">
        <f>IF(Participant_Data!C106="","",Participant_Data!C106)</f>
        <v/>
      </c>
      <c r="D106" s="5"/>
      <c r="E106" s="24">
        <v>5</v>
      </c>
      <c r="F106" s="24">
        <v>5</v>
      </c>
      <c r="G106" s="24">
        <v>5</v>
      </c>
      <c r="H106" s="24">
        <v>5</v>
      </c>
      <c r="I106" s="24">
        <v>5</v>
      </c>
      <c r="J106" s="24">
        <v>5</v>
      </c>
      <c r="K106" s="24">
        <v>5</v>
      </c>
      <c r="L106" s="16"/>
      <c r="M106" s="24">
        <f t="shared" si="1"/>
        <v>35</v>
      </c>
    </row>
    <row r="107" spans="1:13">
      <c r="A107" s="2">
        <f>IF(Participant_Data!A107="","",Participant_Data!A107)</f>
        <v>106</v>
      </c>
      <c r="B107" s="2" t="str">
        <f>IF(Participant_Data!B107="","",Participant_Data!B107)</f>
        <v/>
      </c>
      <c r="C107" s="3" t="str">
        <f>IF(Participant_Data!C107="","",Participant_Data!C107)</f>
        <v/>
      </c>
      <c r="D107" s="5"/>
      <c r="E107" s="24">
        <v>5</v>
      </c>
      <c r="F107" s="24">
        <v>5</v>
      </c>
      <c r="G107" s="24">
        <v>5</v>
      </c>
      <c r="H107" s="24">
        <v>4</v>
      </c>
      <c r="I107" s="24">
        <v>4</v>
      </c>
      <c r="J107" s="24">
        <v>4</v>
      </c>
      <c r="K107" s="24">
        <v>4</v>
      </c>
      <c r="L107" s="16"/>
      <c r="M107" s="24">
        <f t="shared" si="1"/>
        <v>31</v>
      </c>
    </row>
    <row r="108" spans="1:13">
      <c r="A108" s="2">
        <f>IF(Participant_Data!A108="","",Participant_Data!A108)</f>
        <v>107</v>
      </c>
      <c r="B108" s="2" t="str">
        <f>IF(Participant_Data!B108="","",Participant_Data!B108)</f>
        <v/>
      </c>
      <c r="C108" s="3" t="str">
        <f>IF(Participant_Data!C108="","",Participant_Data!C108)</f>
        <v/>
      </c>
      <c r="D108" s="5"/>
      <c r="E108" s="24">
        <v>5</v>
      </c>
      <c r="F108" s="24">
        <v>5</v>
      </c>
      <c r="G108" s="24">
        <v>5</v>
      </c>
      <c r="H108" s="24">
        <v>5</v>
      </c>
      <c r="I108" s="24">
        <v>5</v>
      </c>
      <c r="J108" s="24">
        <v>5</v>
      </c>
      <c r="K108" s="24">
        <v>5</v>
      </c>
      <c r="L108" s="16"/>
      <c r="M108" s="24">
        <f t="shared" si="1"/>
        <v>35</v>
      </c>
    </row>
    <row r="109" spans="1:13">
      <c r="A109" s="2">
        <f>IF(Participant_Data!A109="","",Participant_Data!A109)</f>
        <v>108</v>
      </c>
      <c r="B109" s="2" t="str">
        <f>IF(Participant_Data!B109="","",Participant_Data!B109)</f>
        <v/>
      </c>
      <c r="C109" s="3" t="str">
        <f>IF(Participant_Data!C109="","",Participant_Data!C109)</f>
        <v/>
      </c>
      <c r="D109" s="5"/>
      <c r="E109" s="24">
        <v>4</v>
      </c>
      <c r="F109" s="24">
        <v>5</v>
      </c>
      <c r="G109" s="24">
        <v>4</v>
      </c>
      <c r="H109" s="24">
        <v>4</v>
      </c>
      <c r="I109" s="24">
        <v>4</v>
      </c>
      <c r="J109" s="24">
        <v>5</v>
      </c>
      <c r="K109" s="24">
        <v>4</v>
      </c>
      <c r="L109" s="16"/>
      <c r="M109" s="24">
        <f t="shared" si="1"/>
        <v>30</v>
      </c>
    </row>
    <row r="110" spans="1:13">
      <c r="A110" s="2">
        <f>IF(Participant_Data!A110="","",Participant_Data!A110)</f>
        <v>109</v>
      </c>
      <c r="B110" s="2" t="str">
        <f>IF(Participant_Data!B110="","",Participant_Data!B110)</f>
        <v/>
      </c>
      <c r="C110" s="3" t="str">
        <f>IF(Participant_Data!C110="","",Participant_Data!C110)</f>
        <v/>
      </c>
      <c r="D110" s="5"/>
      <c r="E110" s="24">
        <v>4</v>
      </c>
      <c r="F110" s="24">
        <v>4</v>
      </c>
      <c r="G110" s="24">
        <v>4</v>
      </c>
      <c r="H110" s="24">
        <v>4</v>
      </c>
      <c r="I110" s="24">
        <v>4</v>
      </c>
      <c r="J110" s="24">
        <v>4</v>
      </c>
      <c r="K110" s="24">
        <v>4</v>
      </c>
      <c r="L110" s="16"/>
      <c r="M110" s="24">
        <f t="shared" si="1"/>
        <v>28</v>
      </c>
    </row>
    <row r="111" spans="1:13">
      <c r="A111" s="2">
        <f>IF(Participant_Data!A111="","",Participant_Data!A111)</f>
        <v>110</v>
      </c>
      <c r="B111" s="2" t="str">
        <f>IF(Participant_Data!B111="","",Participant_Data!B111)</f>
        <v/>
      </c>
      <c r="C111" s="3" t="str">
        <f>IF(Participant_Data!C111="","",Participant_Data!C111)</f>
        <v/>
      </c>
      <c r="D111" s="5"/>
      <c r="E111" s="24">
        <v>4</v>
      </c>
      <c r="F111" s="24">
        <v>4</v>
      </c>
      <c r="G111" s="24">
        <v>4</v>
      </c>
      <c r="H111" s="24">
        <v>5</v>
      </c>
      <c r="I111" s="24">
        <v>4</v>
      </c>
      <c r="J111" s="24">
        <v>4</v>
      </c>
      <c r="K111" s="24">
        <v>5</v>
      </c>
      <c r="L111" s="16"/>
      <c r="M111" s="24">
        <f t="shared" si="1"/>
        <v>30</v>
      </c>
    </row>
    <row r="112" spans="1:13">
      <c r="A112" s="2">
        <f>IF(Participant_Data!A112="","",Participant_Data!A112)</f>
        <v>111</v>
      </c>
      <c r="B112" s="2" t="str">
        <f>IF(Participant_Data!B112="","",Participant_Data!B112)</f>
        <v/>
      </c>
      <c r="C112" s="3" t="str">
        <f>IF(Participant_Data!C112="","",Participant_Data!C112)</f>
        <v/>
      </c>
      <c r="D112" s="5"/>
      <c r="E112" s="24">
        <v>5</v>
      </c>
      <c r="F112" s="24">
        <v>5</v>
      </c>
      <c r="G112" s="24">
        <v>5</v>
      </c>
      <c r="H112" s="24">
        <v>5</v>
      </c>
      <c r="I112" s="24">
        <v>5</v>
      </c>
      <c r="J112" s="24">
        <v>5</v>
      </c>
      <c r="K112" s="24">
        <v>5</v>
      </c>
      <c r="L112" s="16"/>
      <c r="M112" s="24">
        <f t="shared" si="1"/>
        <v>35</v>
      </c>
    </row>
    <row r="113" spans="1:13">
      <c r="A113" s="2">
        <f>IF(Participant_Data!A113="","",Participant_Data!A113)</f>
        <v>112</v>
      </c>
      <c r="B113" s="2" t="str">
        <f>IF(Participant_Data!B113="","",Participant_Data!B113)</f>
        <v/>
      </c>
      <c r="C113" s="3" t="str">
        <f>IF(Participant_Data!C113="","",Participant_Data!C113)</f>
        <v/>
      </c>
      <c r="D113" s="5"/>
      <c r="E113" s="24">
        <v>5</v>
      </c>
      <c r="F113" s="24">
        <v>4</v>
      </c>
      <c r="G113" s="24">
        <v>5</v>
      </c>
      <c r="H113" s="24">
        <v>4</v>
      </c>
      <c r="I113" s="24">
        <v>4</v>
      </c>
      <c r="J113" s="24">
        <v>5</v>
      </c>
      <c r="K113" s="24">
        <v>5</v>
      </c>
      <c r="L113" s="16"/>
      <c r="M113" s="24">
        <f t="shared" si="1"/>
        <v>32</v>
      </c>
    </row>
    <row r="114" spans="1:13">
      <c r="A114" s="2">
        <f>IF(Participant_Data!A114="","",Participant_Data!A114)</f>
        <v>113</v>
      </c>
      <c r="B114" s="2" t="str">
        <f>IF(Participant_Data!B114="","",Participant_Data!B114)</f>
        <v/>
      </c>
      <c r="C114" s="3" t="str">
        <f>IF(Participant_Data!C114="","",Participant_Data!C114)</f>
        <v/>
      </c>
      <c r="D114" s="5"/>
      <c r="E114" s="24">
        <v>5</v>
      </c>
      <c r="F114" s="24">
        <v>5</v>
      </c>
      <c r="G114" s="24">
        <v>5</v>
      </c>
      <c r="H114" s="24">
        <v>5</v>
      </c>
      <c r="I114" s="24">
        <v>5</v>
      </c>
      <c r="J114" s="24">
        <v>5</v>
      </c>
      <c r="K114" s="24">
        <v>5</v>
      </c>
      <c r="L114" s="16"/>
      <c r="M114" s="24">
        <f t="shared" si="1"/>
        <v>35</v>
      </c>
    </row>
    <row r="115" spans="1:13">
      <c r="A115" s="2">
        <f>IF(Participant_Data!A115="","",Participant_Data!A115)</f>
        <v>114</v>
      </c>
      <c r="B115" s="2" t="str">
        <f>IF(Participant_Data!B115="","",Participant_Data!B115)</f>
        <v/>
      </c>
      <c r="C115" s="3" t="str">
        <f>IF(Participant_Data!C115="","",Participant_Data!C115)</f>
        <v/>
      </c>
      <c r="D115" s="5"/>
      <c r="E115" s="24">
        <v>4</v>
      </c>
      <c r="F115" s="24">
        <v>5</v>
      </c>
      <c r="G115" s="24">
        <v>5</v>
      </c>
      <c r="H115" s="24">
        <v>4</v>
      </c>
      <c r="I115" s="24">
        <v>5</v>
      </c>
      <c r="J115" s="24">
        <v>5</v>
      </c>
      <c r="K115" s="24">
        <v>5</v>
      </c>
      <c r="L115" s="16"/>
      <c r="M115" s="24">
        <f t="shared" si="1"/>
        <v>33</v>
      </c>
    </row>
    <row r="116" spans="1:13">
      <c r="A116" s="2">
        <f>IF(Participant_Data!A116="","",Participant_Data!A116)</f>
        <v>115</v>
      </c>
      <c r="B116" s="2" t="str">
        <f>IF(Participant_Data!B116="","",Participant_Data!B116)</f>
        <v/>
      </c>
      <c r="C116" s="3" t="str">
        <f>IF(Participant_Data!C116="","",Participant_Data!C116)</f>
        <v/>
      </c>
      <c r="D116" s="5"/>
      <c r="E116" s="24">
        <v>5</v>
      </c>
      <c r="F116" s="24">
        <v>4</v>
      </c>
      <c r="G116" s="24">
        <v>4</v>
      </c>
      <c r="H116" s="24">
        <v>4</v>
      </c>
      <c r="I116" s="24">
        <v>5</v>
      </c>
      <c r="J116" s="24">
        <v>4</v>
      </c>
      <c r="K116" s="24">
        <v>4</v>
      </c>
      <c r="L116" s="16"/>
      <c r="M116" s="24">
        <f t="shared" si="1"/>
        <v>30</v>
      </c>
    </row>
    <row r="117" spans="1:13">
      <c r="A117" s="2">
        <f>IF(Participant_Data!A117="","",Participant_Data!A117)</f>
        <v>116</v>
      </c>
      <c r="B117" s="2" t="str">
        <f>IF(Participant_Data!B117="","",Participant_Data!B117)</f>
        <v/>
      </c>
      <c r="C117" s="3" t="str">
        <f>IF(Participant_Data!C117="","",Participant_Data!C117)</f>
        <v/>
      </c>
      <c r="D117" s="5"/>
      <c r="E117" s="24">
        <v>3</v>
      </c>
      <c r="F117" s="24">
        <v>4</v>
      </c>
      <c r="G117" s="24">
        <v>4</v>
      </c>
      <c r="H117" s="24">
        <v>4</v>
      </c>
      <c r="I117" s="24">
        <v>4</v>
      </c>
      <c r="J117" s="24">
        <v>5</v>
      </c>
      <c r="K117" s="24">
        <v>4</v>
      </c>
      <c r="L117" s="16"/>
      <c r="M117" s="24">
        <f t="shared" si="1"/>
        <v>28</v>
      </c>
    </row>
    <row r="118" spans="1:13">
      <c r="A118" s="2">
        <f>IF(Participant_Data!A118="","",Participant_Data!A118)</f>
        <v>117</v>
      </c>
      <c r="B118" s="2" t="str">
        <f>IF(Participant_Data!B118="","",Participant_Data!B118)</f>
        <v/>
      </c>
      <c r="C118" s="3" t="str">
        <f>IF(Participant_Data!C118="","",Participant_Data!C118)</f>
        <v/>
      </c>
      <c r="D118" s="5"/>
      <c r="E118" s="24">
        <v>4</v>
      </c>
      <c r="F118" s="24">
        <v>5</v>
      </c>
      <c r="G118" s="24">
        <v>4</v>
      </c>
      <c r="H118" s="24">
        <v>5</v>
      </c>
      <c r="I118" s="24">
        <v>5</v>
      </c>
      <c r="J118" s="24">
        <v>4</v>
      </c>
      <c r="K118" s="24">
        <v>4</v>
      </c>
      <c r="L118" s="16"/>
      <c r="M118" s="24">
        <f t="shared" si="1"/>
        <v>31</v>
      </c>
    </row>
    <row r="119" spans="1:13">
      <c r="A119" s="2">
        <f>IF(Participant_Data!A119="","",Participant_Data!A119)</f>
        <v>118</v>
      </c>
      <c r="B119" s="2" t="str">
        <f>IF(Participant_Data!B119="","",Participant_Data!B119)</f>
        <v/>
      </c>
      <c r="C119" s="3" t="str">
        <f>IF(Participant_Data!C119="","",Participant_Data!C119)</f>
        <v/>
      </c>
      <c r="D119" s="5"/>
      <c r="E119" s="24">
        <v>5</v>
      </c>
      <c r="F119" s="24">
        <v>4</v>
      </c>
      <c r="G119" s="24">
        <v>5</v>
      </c>
      <c r="H119" s="24">
        <v>4</v>
      </c>
      <c r="I119" s="24">
        <v>5</v>
      </c>
      <c r="J119" s="24">
        <v>5</v>
      </c>
      <c r="K119" s="24">
        <v>5</v>
      </c>
      <c r="L119" s="16"/>
      <c r="M119" s="24">
        <f t="shared" si="1"/>
        <v>33</v>
      </c>
    </row>
    <row r="120" spans="1:13">
      <c r="A120" s="2">
        <f>IF(Participant_Data!A120="","",Participant_Data!A120)</f>
        <v>119</v>
      </c>
      <c r="B120" s="2" t="str">
        <f>IF(Participant_Data!B120="","",Participant_Data!B120)</f>
        <v/>
      </c>
      <c r="C120" s="3" t="str">
        <f>IF(Participant_Data!C120="","",Participant_Data!C120)</f>
        <v/>
      </c>
      <c r="D120" s="5"/>
      <c r="E120" s="24">
        <v>5</v>
      </c>
      <c r="F120" s="24">
        <v>5</v>
      </c>
      <c r="G120" s="24">
        <v>5</v>
      </c>
      <c r="H120" s="24">
        <v>5</v>
      </c>
      <c r="I120" s="24">
        <v>5</v>
      </c>
      <c r="J120" s="24">
        <v>5</v>
      </c>
      <c r="K120" s="24">
        <v>5</v>
      </c>
      <c r="L120" s="16"/>
      <c r="M120" s="24">
        <f t="shared" si="1"/>
        <v>35</v>
      </c>
    </row>
    <row r="121" spans="1:13">
      <c r="A121" s="2">
        <f>IF(Participant_Data!A121="","",Participant_Data!A121)</f>
        <v>120</v>
      </c>
      <c r="B121" s="2" t="str">
        <f>IF(Participant_Data!B121="","",Participant_Data!B121)</f>
        <v/>
      </c>
      <c r="C121" s="3" t="str">
        <f>IF(Participant_Data!C121="","",Participant_Data!C121)</f>
        <v/>
      </c>
      <c r="D121" s="5"/>
      <c r="E121" s="24">
        <v>5</v>
      </c>
      <c r="F121" s="24">
        <v>5</v>
      </c>
      <c r="G121" s="24">
        <v>5</v>
      </c>
      <c r="H121" s="24">
        <v>5</v>
      </c>
      <c r="I121" s="24">
        <v>5</v>
      </c>
      <c r="J121" s="24">
        <v>5</v>
      </c>
      <c r="K121" s="24">
        <v>5</v>
      </c>
      <c r="L121" s="16"/>
      <c r="M121" s="24">
        <f t="shared" si="1"/>
        <v>35</v>
      </c>
    </row>
    <row r="122" spans="1:13">
      <c r="A122" s="2">
        <f>IF(Participant_Data!A122="","",Participant_Data!A122)</f>
        <v>121</v>
      </c>
      <c r="B122" s="2" t="str">
        <f>IF(Participant_Data!B122="","",Participant_Data!B122)</f>
        <v/>
      </c>
      <c r="C122" s="3" t="str">
        <f>IF(Participant_Data!C122="","",Participant_Data!C122)</f>
        <v/>
      </c>
      <c r="D122" s="5"/>
      <c r="E122" s="24">
        <v>5</v>
      </c>
      <c r="F122" s="24">
        <v>5</v>
      </c>
      <c r="G122" s="24">
        <v>5</v>
      </c>
      <c r="H122" s="24">
        <v>5</v>
      </c>
      <c r="I122" s="24">
        <v>5</v>
      </c>
      <c r="J122" s="24">
        <v>5</v>
      </c>
      <c r="K122" s="24">
        <v>5</v>
      </c>
      <c r="L122" s="16"/>
      <c r="M122" s="24">
        <f t="shared" si="1"/>
        <v>35</v>
      </c>
    </row>
    <row r="123" spans="1:13">
      <c r="A123" s="2">
        <f>IF(Participant_Data!A123="","",Participant_Data!A123)</f>
        <v>122</v>
      </c>
      <c r="B123" s="2" t="str">
        <f>IF(Participant_Data!B123="","",Participant_Data!B123)</f>
        <v/>
      </c>
      <c r="C123" s="3" t="str">
        <f>IF(Participant_Data!C123="","",Participant_Data!C123)</f>
        <v/>
      </c>
      <c r="D123" s="5"/>
      <c r="E123" s="24">
        <v>3</v>
      </c>
      <c r="F123" s="24">
        <v>5</v>
      </c>
      <c r="G123" s="24">
        <v>5</v>
      </c>
      <c r="H123" s="24">
        <v>3</v>
      </c>
      <c r="I123" s="24">
        <v>3</v>
      </c>
      <c r="J123" s="24">
        <v>3</v>
      </c>
      <c r="K123" s="24">
        <v>3</v>
      </c>
      <c r="L123" s="16"/>
      <c r="M123" s="24">
        <f t="shared" si="1"/>
        <v>25</v>
      </c>
    </row>
    <row r="124" spans="1:13">
      <c r="A124" s="2">
        <f>IF(Participant_Data!A124="","",Participant_Data!A124)</f>
        <v>123</v>
      </c>
      <c r="B124" s="2" t="str">
        <f>IF(Participant_Data!B124="","",Participant_Data!B124)</f>
        <v/>
      </c>
      <c r="C124" s="3" t="str">
        <f>IF(Participant_Data!C124="","",Participant_Data!C124)</f>
        <v/>
      </c>
      <c r="D124" s="5"/>
      <c r="E124" s="24">
        <v>3</v>
      </c>
      <c r="F124" s="24">
        <v>5</v>
      </c>
      <c r="G124" s="24">
        <v>5</v>
      </c>
      <c r="H124" s="24">
        <v>3</v>
      </c>
      <c r="I124" s="24">
        <v>5</v>
      </c>
      <c r="J124" s="24">
        <v>3</v>
      </c>
      <c r="K124" s="24">
        <v>5</v>
      </c>
      <c r="L124" s="16"/>
      <c r="M124" s="24">
        <f t="shared" si="1"/>
        <v>29</v>
      </c>
    </row>
    <row r="125" spans="1:13">
      <c r="A125" s="2">
        <f>IF(Participant_Data!A125="","",Participant_Data!A125)</f>
        <v>124</v>
      </c>
      <c r="B125" s="2" t="str">
        <f>IF(Participant_Data!B125="","",Participant_Data!B125)</f>
        <v/>
      </c>
      <c r="C125" s="3" t="str">
        <f>IF(Participant_Data!C125="","",Participant_Data!C125)</f>
        <v/>
      </c>
      <c r="D125" s="5"/>
      <c r="E125" s="24">
        <v>3</v>
      </c>
      <c r="F125" s="24">
        <v>5</v>
      </c>
      <c r="G125" s="24">
        <v>5</v>
      </c>
      <c r="H125" s="24">
        <v>3</v>
      </c>
      <c r="I125" s="24">
        <v>3</v>
      </c>
      <c r="J125" s="24">
        <v>3</v>
      </c>
      <c r="K125" s="24">
        <v>4</v>
      </c>
      <c r="L125" s="16"/>
      <c r="M125" s="24">
        <f t="shared" si="1"/>
        <v>26</v>
      </c>
    </row>
    <row r="126" spans="1:13">
      <c r="A126" s="2">
        <f>IF(Participant_Data!A126="","",Participant_Data!A126)</f>
        <v>125</v>
      </c>
      <c r="B126" s="2" t="str">
        <f>IF(Participant_Data!B126="","",Participant_Data!B126)</f>
        <v/>
      </c>
      <c r="C126" s="3" t="str">
        <f>IF(Participant_Data!C126="","",Participant_Data!C126)</f>
        <v/>
      </c>
      <c r="D126" s="5"/>
      <c r="E126" s="24">
        <v>5</v>
      </c>
      <c r="F126" s="24">
        <v>5</v>
      </c>
      <c r="G126" s="24">
        <v>5</v>
      </c>
      <c r="H126" s="24">
        <v>5</v>
      </c>
      <c r="I126" s="24">
        <v>5</v>
      </c>
      <c r="J126" s="24">
        <v>5</v>
      </c>
      <c r="K126" s="24">
        <v>5</v>
      </c>
      <c r="L126" s="16"/>
      <c r="M126" s="24">
        <f t="shared" si="1"/>
        <v>35</v>
      </c>
    </row>
    <row r="127" spans="1:13">
      <c r="A127" s="2">
        <f>IF(Participant_Data!A127="","",Participant_Data!A127)</f>
        <v>126</v>
      </c>
      <c r="B127" s="2" t="str">
        <f>IF(Participant_Data!B127="","",Participant_Data!B127)</f>
        <v/>
      </c>
      <c r="C127" s="3" t="str">
        <f>IF(Participant_Data!C127="","",Participant_Data!C127)</f>
        <v/>
      </c>
      <c r="D127" s="5"/>
      <c r="E127" s="24">
        <v>4</v>
      </c>
      <c r="F127" s="24">
        <v>4</v>
      </c>
      <c r="G127" s="24">
        <v>4</v>
      </c>
      <c r="H127" s="24">
        <v>4</v>
      </c>
      <c r="I127" s="24">
        <v>4</v>
      </c>
      <c r="J127" s="24">
        <v>4</v>
      </c>
      <c r="K127" s="24">
        <v>4</v>
      </c>
      <c r="L127" s="16"/>
      <c r="M127" s="24">
        <f t="shared" si="1"/>
        <v>28</v>
      </c>
    </row>
    <row r="128" spans="1:13">
      <c r="A128" s="2">
        <f>IF(Participant_Data!A128="","",Participant_Data!A128)</f>
        <v>127</v>
      </c>
      <c r="B128" s="2" t="str">
        <f>IF(Participant_Data!B128="","",Participant_Data!B128)</f>
        <v/>
      </c>
      <c r="C128" s="3" t="str">
        <f>IF(Participant_Data!C128="","",Participant_Data!C128)</f>
        <v/>
      </c>
      <c r="D128" s="5"/>
      <c r="E128" s="24">
        <v>5</v>
      </c>
      <c r="F128" s="24">
        <v>5</v>
      </c>
      <c r="G128" s="24">
        <v>5</v>
      </c>
      <c r="H128" s="24">
        <v>5</v>
      </c>
      <c r="I128" s="24">
        <v>5</v>
      </c>
      <c r="J128" s="24">
        <v>5</v>
      </c>
      <c r="K128" s="24">
        <v>5</v>
      </c>
      <c r="L128" s="16"/>
      <c r="M128" s="24">
        <f t="shared" si="1"/>
        <v>35</v>
      </c>
    </row>
    <row r="129" spans="1:13">
      <c r="A129" s="2">
        <f>IF(Participant_Data!A129="","",Participant_Data!A129)</f>
        <v>128</v>
      </c>
      <c r="B129" s="2" t="str">
        <f>IF(Participant_Data!B129="","",Participant_Data!B129)</f>
        <v/>
      </c>
      <c r="C129" s="3" t="str">
        <f>IF(Participant_Data!C129="","",Participant_Data!C129)</f>
        <v/>
      </c>
      <c r="D129" s="5"/>
      <c r="E129" s="24">
        <v>4</v>
      </c>
      <c r="F129" s="24">
        <v>4</v>
      </c>
      <c r="G129" s="24">
        <v>4</v>
      </c>
      <c r="H129" s="24">
        <v>4</v>
      </c>
      <c r="I129" s="24">
        <v>4</v>
      </c>
      <c r="J129" s="24">
        <v>4</v>
      </c>
      <c r="K129" s="24">
        <v>4</v>
      </c>
      <c r="L129" s="16"/>
      <c r="M129" s="24">
        <f t="shared" si="1"/>
        <v>28</v>
      </c>
    </row>
    <row r="130" spans="1:13">
      <c r="A130" s="2">
        <f>IF(Participant_Data!A130="","",Participant_Data!A130)</f>
        <v>129</v>
      </c>
      <c r="B130" s="2" t="str">
        <f>IF(Participant_Data!B130="","",Participant_Data!B130)</f>
        <v/>
      </c>
      <c r="C130" s="3" t="str">
        <f>IF(Participant_Data!C130="","",Participant_Data!C130)</f>
        <v/>
      </c>
      <c r="D130" s="5"/>
      <c r="E130" s="24">
        <v>5</v>
      </c>
      <c r="F130" s="24">
        <v>5</v>
      </c>
      <c r="G130" s="24">
        <v>5</v>
      </c>
      <c r="H130" s="24">
        <v>5</v>
      </c>
      <c r="I130" s="24">
        <v>5</v>
      </c>
      <c r="J130" s="24">
        <v>5</v>
      </c>
      <c r="K130" s="24">
        <v>5</v>
      </c>
      <c r="L130" s="16"/>
      <c r="M130" s="24">
        <f t="shared" ref="M130:M193" si="2">SUM(E130:K130)</f>
        <v>35</v>
      </c>
    </row>
    <row r="131" spans="1:13">
      <c r="A131" s="2">
        <f>IF(Participant_Data!A131="","",Participant_Data!A131)</f>
        <v>130</v>
      </c>
      <c r="B131" s="2" t="str">
        <f>IF(Participant_Data!B131="","",Participant_Data!B131)</f>
        <v/>
      </c>
      <c r="C131" s="3" t="str">
        <f>IF(Participant_Data!C131="","",Participant_Data!C131)</f>
        <v/>
      </c>
      <c r="D131" s="5"/>
      <c r="E131" s="24">
        <v>4</v>
      </c>
      <c r="F131" s="24">
        <v>4</v>
      </c>
      <c r="G131" s="24">
        <v>4</v>
      </c>
      <c r="H131" s="24">
        <v>4</v>
      </c>
      <c r="I131" s="24">
        <v>4</v>
      </c>
      <c r="J131" s="24">
        <v>4</v>
      </c>
      <c r="K131" s="24">
        <v>4</v>
      </c>
      <c r="L131" s="16"/>
      <c r="M131" s="24">
        <f t="shared" si="2"/>
        <v>28</v>
      </c>
    </row>
    <row r="132" spans="1:13">
      <c r="A132" s="2">
        <f>IF(Participant_Data!A132="","",Participant_Data!A132)</f>
        <v>131</v>
      </c>
      <c r="B132" s="2" t="str">
        <f>IF(Participant_Data!B132="","",Participant_Data!B132)</f>
        <v/>
      </c>
      <c r="C132" s="3" t="str">
        <f>IF(Participant_Data!C132="","",Participant_Data!C132)</f>
        <v/>
      </c>
      <c r="D132" s="5"/>
      <c r="E132" s="24">
        <v>5</v>
      </c>
      <c r="F132" s="24">
        <v>5</v>
      </c>
      <c r="G132" s="24">
        <v>5</v>
      </c>
      <c r="H132" s="24">
        <v>5</v>
      </c>
      <c r="I132" s="24">
        <v>5</v>
      </c>
      <c r="J132" s="24">
        <v>5</v>
      </c>
      <c r="K132" s="24">
        <v>5</v>
      </c>
      <c r="L132" s="16"/>
      <c r="M132" s="24">
        <f t="shared" si="2"/>
        <v>35</v>
      </c>
    </row>
    <row r="133" spans="1:13">
      <c r="A133" s="2">
        <f>IF(Participant_Data!A133="","",Participant_Data!A133)</f>
        <v>132</v>
      </c>
      <c r="B133" s="2" t="str">
        <f>IF(Participant_Data!B133="","",Participant_Data!B133)</f>
        <v/>
      </c>
      <c r="C133" s="3" t="str">
        <f>IF(Participant_Data!C133="","",Participant_Data!C133)</f>
        <v/>
      </c>
      <c r="D133" s="5"/>
      <c r="E133" s="24">
        <v>5</v>
      </c>
      <c r="F133" s="24">
        <v>5</v>
      </c>
      <c r="G133" s="24">
        <v>5</v>
      </c>
      <c r="H133" s="24">
        <v>5</v>
      </c>
      <c r="I133" s="24">
        <v>5</v>
      </c>
      <c r="J133" s="24">
        <v>5</v>
      </c>
      <c r="K133" s="24">
        <v>5</v>
      </c>
      <c r="L133" s="16"/>
      <c r="M133" s="24">
        <f t="shared" si="2"/>
        <v>35</v>
      </c>
    </row>
    <row r="134" spans="1:13">
      <c r="A134" s="2">
        <f>IF(Participant_Data!A134="","",Participant_Data!A134)</f>
        <v>133</v>
      </c>
      <c r="B134" s="2" t="str">
        <f>IF(Participant_Data!B134="","",Participant_Data!B134)</f>
        <v/>
      </c>
      <c r="C134" s="3" t="str">
        <f>IF(Participant_Data!C134="","",Participant_Data!C134)</f>
        <v/>
      </c>
      <c r="D134" s="5"/>
      <c r="E134" s="24">
        <v>4</v>
      </c>
      <c r="F134" s="24">
        <v>5</v>
      </c>
      <c r="G134" s="24">
        <v>3</v>
      </c>
      <c r="H134" s="24">
        <v>3</v>
      </c>
      <c r="I134" s="24">
        <v>5</v>
      </c>
      <c r="J134" s="24">
        <v>4</v>
      </c>
      <c r="K134" s="24">
        <v>5</v>
      </c>
      <c r="L134" s="16"/>
      <c r="M134" s="24">
        <f t="shared" si="2"/>
        <v>29</v>
      </c>
    </row>
    <row r="135" spans="1:13">
      <c r="A135" s="2">
        <f>IF(Participant_Data!A135="","",Participant_Data!A135)</f>
        <v>134</v>
      </c>
      <c r="B135" s="2" t="str">
        <f>IF(Participant_Data!B135="","",Participant_Data!B135)</f>
        <v/>
      </c>
      <c r="C135" s="3" t="str">
        <f>IF(Participant_Data!C135="","",Participant_Data!C135)</f>
        <v/>
      </c>
      <c r="D135" s="5"/>
      <c r="E135" s="24">
        <v>5</v>
      </c>
      <c r="F135" s="24">
        <v>5</v>
      </c>
      <c r="G135" s="24">
        <v>5</v>
      </c>
      <c r="H135" s="24">
        <v>5</v>
      </c>
      <c r="I135" s="24">
        <v>5</v>
      </c>
      <c r="J135" s="24">
        <v>5</v>
      </c>
      <c r="K135" s="24">
        <v>5</v>
      </c>
      <c r="L135" s="16"/>
      <c r="M135" s="24">
        <f t="shared" si="2"/>
        <v>35</v>
      </c>
    </row>
    <row r="136" spans="1:13">
      <c r="A136" s="2">
        <f>IF(Participant_Data!A136="","",Participant_Data!A136)</f>
        <v>135</v>
      </c>
      <c r="B136" s="2" t="str">
        <f>IF(Participant_Data!B136="","",Participant_Data!B136)</f>
        <v/>
      </c>
      <c r="C136" s="3" t="str">
        <f>IF(Participant_Data!C136="","",Participant_Data!C136)</f>
        <v/>
      </c>
      <c r="D136" s="5"/>
      <c r="E136" s="24">
        <v>5</v>
      </c>
      <c r="F136" s="24">
        <v>5</v>
      </c>
      <c r="G136" s="24">
        <v>5</v>
      </c>
      <c r="H136" s="24">
        <v>5</v>
      </c>
      <c r="I136" s="24">
        <v>5</v>
      </c>
      <c r="J136" s="24">
        <v>5</v>
      </c>
      <c r="K136" s="24">
        <v>5</v>
      </c>
      <c r="L136" s="16"/>
      <c r="M136" s="24">
        <f t="shared" si="2"/>
        <v>35</v>
      </c>
    </row>
    <row r="137" spans="1:13">
      <c r="A137" s="2">
        <f>IF(Participant_Data!A137="","",Participant_Data!A137)</f>
        <v>136</v>
      </c>
      <c r="B137" s="2" t="str">
        <f>IF(Participant_Data!B137="","",Participant_Data!B137)</f>
        <v/>
      </c>
      <c r="C137" s="3" t="str">
        <f>IF(Participant_Data!C137="","",Participant_Data!C137)</f>
        <v/>
      </c>
      <c r="D137" s="5"/>
      <c r="E137" s="24">
        <v>4</v>
      </c>
      <c r="F137" s="24">
        <v>4</v>
      </c>
      <c r="G137" s="24">
        <v>4</v>
      </c>
      <c r="H137" s="24">
        <v>4</v>
      </c>
      <c r="I137" s="24">
        <v>4</v>
      </c>
      <c r="J137" s="24">
        <v>4</v>
      </c>
      <c r="K137" s="24">
        <v>4</v>
      </c>
      <c r="L137" s="16"/>
      <c r="M137" s="24">
        <f t="shared" si="2"/>
        <v>28</v>
      </c>
    </row>
    <row r="138" spans="1:13">
      <c r="A138" s="2">
        <f>IF(Participant_Data!A138="","",Participant_Data!A138)</f>
        <v>137</v>
      </c>
      <c r="B138" s="2" t="str">
        <f>IF(Participant_Data!B138="","",Participant_Data!B138)</f>
        <v/>
      </c>
      <c r="C138" s="3" t="str">
        <f>IF(Participant_Data!C138="","",Participant_Data!C138)</f>
        <v/>
      </c>
      <c r="D138" s="5"/>
      <c r="E138" s="24">
        <v>5</v>
      </c>
      <c r="F138" s="24">
        <v>5</v>
      </c>
      <c r="G138" s="24">
        <v>5</v>
      </c>
      <c r="H138" s="24">
        <v>5</v>
      </c>
      <c r="I138" s="24">
        <v>5</v>
      </c>
      <c r="J138" s="24">
        <v>5</v>
      </c>
      <c r="K138" s="24">
        <v>5</v>
      </c>
      <c r="L138" s="16"/>
      <c r="M138" s="24">
        <f t="shared" si="2"/>
        <v>35</v>
      </c>
    </row>
    <row r="139" spans="1:13">
      <c r="A139" s="2">
        <f>IF(Participant_Data!A139="","",Participant_Data!A139)</f>
        <v>138</v>
      </c>
      <c r="B139" s="2" t="str">
        <f>IF(Participant_Data!B139="","",Participant_Data!B139)</f>
        <v/>
      </c>
      <c r="C139" s="3" t="str">
        <f>IF(Participant_Data!C139="","",Participant_Data!C139)</f>
        <v/>
      </c>
      <c r="D139" s="5"/>
      <c r="E139" s="24">
        <v>4</v>
      </c>
      <c r="F139" s="24">
        <v>4</v>
      </c>
      <c r="G139" s="24">
        <v>4</v>
      </c>
      <c r="H139" s="24">
        <v>4</v>
      </c>
      <c r="I139" s="24">
        <v>4</v>
      </c>
      <c r="J139" s="24">
        <v>4</v>
      </c>
      <c r="K139" s="24">
        <v>4</v>
      </c>
      <c r="L139" s="16"/>
      <c r="M139" s="24">
        <f t="shared" si="2"/>
        <v>28</v>
      </c>
    </row>
    <row r="140" spans="1:13">
      <c r="A140" s="2">
        <f>IF(Participant_Data!A140="","",Participant_Data!A140)</f>
        <v>139</v>
      </c>
      <c r="B140" s="2" t="str">
        <f>IF(Participant_Data!B140="","",Participant_Data!B140)</f>
        <v/>
      </c>
      <c r="C140" s="3" t="str">
        <f>IF(Participant_Data!C140="","",Participant_Data!C140)</f>
        <v/>
      </c>
      <c r="D140" s="5"/>
      <c r="E140" s="24">
        <v>5</v>
      </c>
      <c r="F140" s="24">
        <v>5</v>
      </c>
      <c r="G140" s="24">
        <v>5</v>
      </c>
      <c r="H140" s="24">
        <v>5</v>
      </c>
      <c r="I140" s="24">
        <v>5</v>
      </c>
      <c r="J140" s="24">
        <v>5</v>
      </c>
      <c r="K140" s="24">
        <v>5</v>
      </c>
      <c r="L140" s="16"/>
      <c r="M140" s="24">
        <f t="shared" si="2"/>
        <v>35</v>
      </c>
    </row>
    <row r="141" spans="1:13">
      <c r="A141" s="2">
        <f>IF(Participant_Data!A141="","",Participant_Data!A141)</f>
        <v>140</v>
      </c>
      <c r="B141" s="2" t="str">
        <f>IF(Participant_Data!B141="","",Participant_Data!B141)</f>
        <v/>
      </c>
      <c r="C141" s="3" t="str">
        <f>IF(Participant_Data!C141="","",Participant_Data!C141)</f>
        <v/>
      </c>
      <c r="D141" s="5"/>
      <c r="E141" s="24">
        <v>5</v>
      </c>
      <c r="F141" s="24">
        <v>5</v>
      </c>
      <c r="G141" s="24">
        <v>5</v>
      </c>
      <c r="H141" s="24">
        <v>5</v>
      </c>
      <c r="I141" s="24">
        <v>5</v>
      </c>
      <c r="J141" s="24">
        <v>5</v>
      </c>
      <c r="K141" s="24">
        <v>5</v>
      </c>
      <c r="L141" s="16"/>
      <c r="M141" s="24">
        <f t="shared" si="2"/>
        <v>35</v>
      </c>
    </row>
    <row r="142" spans="1:13">
      <c r="A142" s="2">
        <f>IF(Participant_Data!A142="","",Participant_Data!A142)</f>
        <v>141</v>
      </c>
      <c r="B142" s="2" t="str">
        <f>IF(Participant_Data!B142="","",Participant_Data!B142)</f>
        <v/>
      </c>
      <c r="C142" s="3" t="str">
        <f>IF(Participant_Data!C142="","",Participant_Data!C142)</f>
        <v/>
      </c>
      <c r="D142" s="5"/>
      <c r="E142" s="24">
        <v>5</v>
      </c>
      <c r="F142" s="24">
        <v>5</v>
      </c>
      <c r="G142" s="24">
        <v>5</v>
      </c>
      <c r="H142" s="24">
        <v>5</v>
      </c>
      <c r="I142" s="24">
        <v>5</v>
      </c>
      <c r="J142" s="24">
        <v>5</v>
      </c>
      <c r="K142" s="24">
        <v>5</v>
      </c>
      <c r="L142" s="16"/>
      <c r="M142" s="24">
        <f t="shared" si="2"/>
        <v>35</v>
      </c>
    </row>
    <row r="143" spans="1:13">
      <c r="A143" s="2">
        <f>IF(Participant_Data!A143="","",Participant_Data!A143)</f>
        <v>142</v>
      </c>
      <c r="B143" s="2" t="str">
        <f>IF(Participant_Data!B143="","",Participant_Data!B143)</f>
        <v/>
      </c>
      <c r="C143" s="3" t="str">
        <f>IF(Participant_Data!C143="","",Participant_Data!C143)</f>
        <v/>
      </c>
      <c r="D143" s="5"/>
      <c r="E143" s="24">
        <v>4</v>
      </c>
      <c r="F143" s="24">
        <v>4</v>
      </c>
      <c r="G143" s="24">
        <v>4</v>
      </c>
      <c r="H143" s="24">
        <v>4</v>
      </c>
      <c r="I143" s="24">
        <v>4</v>
      </c>
      <c r="J143" s="24">
        <v>4</v>
      </c>
      <c r="K143" s="24">
        <v>5</v>
      </c>
      <c r="L143" s="16"/>
      <c r="M143" s="24">
        <f t="shared" si="2"/>
        <v>29</v>
      </c>
    </row>
    <row r="144" spans="1:13">
      <c r="A144" s="2">
        <f>IF(Participant_Data!A144="","",Participant_Data!A144)</f>
        <v>143</v>
      </c>
      <c r="B144" s="2" t="str">
        <f>IF(Participant_Data!B144="","",Participant_Data!B144)</f>
        <v/>
      </c>
      <c r="C144" s="3" t="str">
        <f>IF(Participant_Data!C144="","",Participant_Data!C144)</f>
        <v/>
      </c>
      <c r="D144" s="5"/>
      <c r="E144" s="24">
        <v>4</v>
      </c>
      <c r="F144" s="24">
        <v>4</v>
      </c>
      <c r="G144" s="24">
        <v>4</v>
      </c>
      <c r="H144" s="24">
        <v>4</v>
      </c>
      <c r="I144" s="24">
        <v>4</v>
      </c>
      <c r="J144" s="24">
        <v>4</v>
      </c>
      <c r="K144" s="24">
        <v>4</v>
      </c>
      <c r="L144" s="16"/>
      <c r="M144" s="24">
        <f t="shared" si="2"/>
        <v>28</v>
      </c>
    </row>
    <row r="145" spans="1:13">
      <c r="A145" s="2">
        <f>IF(Participant_Data!A145="","",Participant_Data!A145)</f>
        <v>144</v>
      </c>
      <c r="B145" s="2" t="str">
        <f>IF(Participant_Data!B145="","",Participant_Data!B145)</f>
        <v/>
      </c>
      <c r="C145" s="3" t="str">
        <f>IF(Participant_Data!C145="","",Participant_Data!C145)</f>
        <v/>
      </c>
      <c r="D145" s="5"/>
      <c r="E145" s="24">
        <v>5</v>
      </c>
      <c r="F145" s="24">
        <v>5</v>
      </c>
      <c r="G145" s="24">
        <v>5</v>
      </c>
      <c r="H145" s="24">
        <v>5</v>
      </c>
      <c r="I145" s="24">
        <v>5</v>
      </c>
      <c r="J145" s="24">
        <v>5</v>
      </c>
      <c r="K145" s="24">
        <v>5</v>
      </c>
      <c r="L145" s="16"/>
      <c r="M145" s="24">
        <f t="shared" si="2"/>
        <v>35</v>
      </c>
    </row>
    <row r="146" spans="1:13">
      <c r="A146" s="2">
        <f>IF(Participant_Data!A146="","",Participant_Data!A146)</f>
        <v>145</v>
      </c>
      <c r="B146" s="2" t="str">
        <f>IF(Participant_Data!B146="","",Participant_Data!B146)</f>
        <v/>
      </c>
      <c r="C146" s="3" t="str">
        <f>IF(Participant_Data!C146="","",Participant_Data!C146)</f>
        <v/>
      </c>
      <c r="D146" s="5"/>
      <c r="E146" s="24">
        <v>5</v>
      </c>
      <c r="F146" s="24">
        <v>4</v>
      </c>
      <c r="G146" s="24">
        <v>4</v>
      </c>
      <c r="H146" s="24">
        <v>4</v>
      </c>
      <c r="I146" s="24">
        <v>4</v>
      </c>
      <c r="J146" s="24">
        <v>4</v>
      </c>
      <c r="K146" s="24">
        <v>4</v>
      </c>
      <c r="L146" s="16"/>
      <c r="M146" s="24">
        <f t="shared" si="2"/>
        <v>29</v>
      </c>
    </row>
    <row r="147" spans="1:13">
      <c r="A147" s="2">
        <f>IF(Participant_Data!A147="","",Participant_Data!A147)</f>
        <v>146</v>
      </c>
      <c r="B147" s="2" t="str">
        <f>IF(Participant_Data!B147="","",Participant_Data!B147)</f>
        <v/>
      </c>
      <c r="C147" s="3" t="str">
        <f>IF(Participant_Data!C147="","",Participant_Data!C147)</f>
        <v/>
      </c>
      <c r="D147" s="5"/>
      <c r="E147" s="24">
        <v>4</v>
      </c>
      <c r="F147" s="24">
        <v>4</v>
      </c>
      <c r="G147" s="24">
        <v>4</v>
      </c>
      <c r="H147" s="24">
        <v>4</v>
      </c>
      <c r="I147" s="24">
        <v>4</v>
      </c>
      <c r="J147" s="24">
        <v>4</v>
      </c>
      <c r="K147" s="24">
        <v>4</v>
      </c>
      <c r="L147" s="16"/>
      <c r="M147" s="24">
        <f t="shared" si="2"/>
        <v>28</v>
      </c>
    </row>
    <row r="148" spans="1:13">
      <c r="A148" s="2">
        <f>IF(Participant_Data!A148="","",Participant_Data!A148)</f>
        <v>147</v>
      </c>
      <c r="B148" s="2" t="str">
        <f>IF(Participant_Data!B148="","",Participant_Data!B148)</f>
        <v/>
      </c>
      <c r="C148" s="3" t="str">
        <f>IF(Participant_Data!C148="","",Participant_Data!C148)</f>
        <v/>
      </c>
      <c r="D148" s="5"/>
      <c r="E148" s="24">
        <v>5</v>
      </c>
      <c r="F148" s="24">
        <v>5</v>
      </c>
      <c r="G148" s="24">
        <v>5</v>
      </c>
      <c r="H148" s="24">
        <v>5</v>
      </c>
      <c r="I148" s="24">
        <v>5</v>
      </c>
      <c r="J148" s="24">
        <v>5</v>
      </c>
      <c r="K148" s="24">
        <v>5</v>
      </c>
      <c r="L148" s="16"/>
      <c r="M148" s="24">
        <f t="shared" si="2"/>
        <v>35</v>
      </c>
    </row>
    <row r="149" spans="1:13">
      <c r="A149" s="2">
        <f>IF(Participant_Data!A149="","",Participant_Data!A149)</f>
        <v>148</v>
      </c>
      <c r="B149" s="2" t="str">
        <f>IF(Participant_Data!B149="","",Participant_Data!B149)</f>
        <v/>
      </c>
      <c r="C149" s="3" t="str">
        <f>IF(Participant_Data!C149="","",Participant_Data!C149)</f>
        <v/>
      </c>
      <c r="D149" s="5"/>
      <c r="E149" s="24">
        <v>4</v>
      </c>
      <c r="F149" s="24">
        <v>4</v>
      </c>
      <c r="G149" s="24">
        <v>4</v>
      </c>
      <c r="H149" s="24">
        <v>4</v>
      </c>
      <c r="I149" s="24">
        <v>4</v>
      </c>
      <c r="J149" s="24">
        <v>4</v>
      </c>
      <c r="K149" s="24">
        <v>4</v>
      </c>
      <c r="L149" s="16"/>
      <c r="M149" s="24">
        <f t="shared" si="2"/>
        <v>28</v>
      </c>
    </row>
    <row r="150" spans="1:13">
      <c r="A150" s="2">
        <f>IF(Participant_Data!A150="","",Participant_Data!A150)</f>
        <v>149</v>
      </c>
      <c r="B150" s="2" t="str">
        <f>IF(Participant_Data!B150="","",Participant_Data!B150)</f>
        <v/>
      </c>
      <c r="C150" s="3" t="str">
        <f>IF(Participant_Data!C150="","",Participant_Data!C150)</f>
        <v/>
      </c>
      <c r="D150" s="5"/>
      <c r="E150" s="24">
        <v>5</v>
      </c>
      <c r="F150" s="24">
        <v>5</v>
      </c>
      <c r="G150" s="24">
        <v>5</v>
      </c>
      <c r="H150" s="24">
        <v>5</v>
      </c>
      <c r="I150" s="24">
        <v>5</v>
      </c>
      <c r="J150" s="24">
        <v>5</v>
      </c>
      <c r="K150" s="24">
        <v>5</v>
      </c>
      <c r="L150" s="16"/>
      <c r="M150" s="24">
        <f t="shared" si="2"/>
        <v>35</v>
      </c>
    </row>
    <row r="151" spans="1:13">
      <c r="A151" s="2">
        <f>IF(Participant_Data!A151="","",Participant_Data!A151)</f>
        <v>150</v>
      </c>
      <c r="B151" s="2" t="str">
        <f>IF(Participant_Data!B151="","",Participant_Data!B151)</f>
        <v/>
      </c>
      <c r="C151" s="3" t="str">
        <f>IF(Participant_Data!C151="","",Participant_Data!C151)</f>
        <v/>
      </c>
      <c r="D151" s="5"/>
      <c r="E151" s="24">
        <v>5</v>
      </c>
      <c r="F151" s="24">
        <v>5</v>
      </c>
      <c r="G151" s="24">
        <v>5</v>
      </c>
      <c r="H151" s="24">
        <v>5</v>
      </c>
      <c r="I151" s="24">
        <v>5</v>
      </c>
      <c r="J151" s="24">
        <v>5</v>
      </c>
      <c r="K151" s="24">
        <v>5</v>
      </c>
      <c r="L151" s="16"/>
      <c r="M151" s="24">
        <f t="shared" si="2"/>
        <v>35</v>
      </c>
    </row>
    <row r="152" spans="1:13">
      <c r="A152" s="2">
        <f>IF(Participant_Data!A152="","",Participant_Data!A152)</f>
        <v>151</v>
      </c>
      <c r="B152" s="2" t="str">
        <f>IF(Participant_Data!B152="","",Participant_Data!B152)</f>
        <v/>
      </c>
      <c r="C152" s="3" t="str">
        <f>IF(Participant_Data!C152="","",Participant_Data!C152)</f>
        <v/>
      </c>
      <c r="D152" s="5"/>
      <c r="E152" s="24">
        <v>5</v>
      </c>
      <c r="F152" s="24">
        <v>5</v>
      </c>
      <c r="G152" s="24">
        <v>5</v>
      </c>
      <c r="H152" s="24">
        <v>5</v>
      </c>
      <c r="I152" s="24">
        <v>5</v>
      </c>
      <c r="J152" s="24">
        <v>5</v>
      </c>
      <c r="K152" s="24">
        <v>5</v>
      </c>
      <c r="L152" s="16"/>
      <c r="M152" s="24">
        <f t="shared" si="2"/>
        <v>35</v>
      </c>
    </row>
    <row r="153" spans="1:13">
      <c r="A153" s="2">
        <f>IF(Participant_Data!A153="","",Participant_Data!A153)</f>
        <v>152</v>
      </c>
      <c r="B153" s="2" t="str">
        <f>IF(Participant_Data!B153="","",Participant_Data!B153)</f>
        <v/>
      </c>
      <c r="C153" s="3" t="str">
        <f>IF(Participant_Data!C153="","",Participant_Data!C153)</f>
        <v/>
      </c>
      <c r="D153" s="5"/>
      <c r="E153" s="24">
        <v>5</v>
      </c>
      <c r="F153" s="24">
        <v>5</v>
      </c>
      <c r="G153" s="24">
        <v>5</v>
      </c>
      <c r="H153" s="24">
        <v>5</v>
      </c>
      <c r="I153" s="24">
        <v>5</v>
      </c>
      <c r="J153" s="24">
        <v>5</v>
      </c>
      <c r="K153" s="24">
        <v>5</v>
      </c>
      <c r="L153" s="16"/>
      <c r="M153" s="24">
        <f t="shared" si="2"/>
        <v>35</v>
      </c>
    </row>
    <row r="154" spans="1:13">
      <c r="A154" s="2">
        <f>IF(Participant_Data!A154="","",Participant_Data!A154)</f>
        <v>153</v>
      </c>
      <c r="B154" s="2" t="str">
        <f>IF(Participant_Data!B154="","",Participant_Data!B154)</f>
        <v/>
      </c>
      <c r="C154" s="3" t="str">
        <f>IF(Participant_Data!C154="","",Participant_Data!C154)</f>
        <v/>
      </c>
      <c r="D154" s="5"/>
      <c r="E154" s="24">
        <v>3</v>
      </c>
      <c r="F154" s="24">
        <v>3</v>
      </c>
      <c r="G154" s="24">
        <v>4</v>
      </c>
      <c r="H154" s="24">
        <v>4</v>
      </c>
      <c r="I154" s="24">
        <v>3</v>
      </c>
      <c r="J154" s="24">
        <v>3</v>
      </c>
      <c r="K154" s="24">
        <v>3</v>
      </c>
      <c r="L154" s="16"/>
      <c r="M154" s="24">
        <f t="shared" si="2"/>
        <v>23</v>
      </c>
    </row>
    <row r="155" spans="1:13">
      <c r="A155" s="2">
        <f>IF(Participant_Data!A155="","",Participant_Data!A155)</f>
        <v>154</v>
      </c>
      <c r="B155" s="2" t="str">
        <f>IF(Participant_Data!B155="","",Participant_Data!B155)</f>
        <v/>
      </c>
      <c r="C155" s="3" t="str">
        <f>IF(Participant_Data!C155="","",Participant_Data!C155)</f>
        <v/>
      </c>
      <c r="D155" s="5"/>
      <c r="E155" s="24">
        <v>4</v>
      </c>
      <c r="F155" s="24">
        <v>5</v>
      </c>
      <c r="G155" s="24">
        <v>5</v>
      </c>
      <c r="H155" s="24">
        <v>4</v>
      </c>
      <c r="I155" s="24">
        <v>3</v>
      </c>
      <c r="J155" s="24">
        <v>4</v>
      </c>
      <c r="K155" s="24">
        <v>5</v>
      </c>
      <c r="L155" s="16"/>
      <c r="M155" s="24">
        <f t="shared" si="2"/>
        <v>30</v>
      </c>
    </row>
    <row r="156" spans="1:13">
      <c r="A156" s="2">
        <f>IF(Participant_Data!A156="","",Participant_Data!A156)</f>
        <v>155</v>
      </c>
      <c r="B156" s="2" t="str">
        <f>IF(Participant_Data!B156="","",Participant_Data!B156)</f>
        <v/>
      </c>
      <c r="C156" s="3" t="str">
        <f>IF(Participant_Data!C156="","",Participant_Data!C156)</f>
        <v/>
      </c>
      <c r="D156" s="5"/>
      <c r="E156" s="24">
        <v>5</v>
      </c>
      <c r="F156" s="24">
        <v>5</v>
      </c>
      <c r="G156" s="24">
        <v>5</v>
      </c>
      <c r="H156" s="24">
        <v>5</v>
      </c>
      <c r="I156" s="24">
        <v>5</v>
      </c>
      <c r="J156" s="24">
        <v>5</v>
      </c>
      <c r="K156" s="24">
        <v>5</v>
      </c>
      <c r="L156" s="16"/>
      <c r="M156" s="24">
        <f t="shared" si="2"/>
        <v>35</v>
      </c>
    </row>
    <row r="157" spans="1:13">
      <c r="A157" s="2">
        <f>IF(Participant_Data!A157="","",Participant_Data!A157)</f>
        <v>156</v>
      </c>
      <c r="B157" s="2" t="str">
        <f>IF(Participant_Data!B157="","",Participant_Data!B157)</f>
        <v/>
      </c>
      <c r="C157" s="3" t="str">
        <f>IF(Participant_Data!C157="","",Participant_Data!C157)</f>
        <v/>
      </c>
      <c r="D157" s="5"/>
      <c r="E157" s="24">
        <v>5</v>
      </c>
      <c r="F157" s="24">
        <v>5</v>
      </c>
      <c r="G157" s="24">
        <v>5</v>
      </c>
      <c r="H157" s="24">
        <v>5</v>
      </c>
      <c r="I157" s="24">
        <v>4</v>
      </c>
      <c r="J157" s="24">
        <v>5</v>
      </c>
      <c r="K157" s="24">
        <v>5</v>
      </c>
      <c r="L157" s="16"/>
      <c r="M157" s="24">
        <f t="shared" si="2"/>
        <v>34</v>
      </c>
    </row>
    <row r="158" spans="1:13">
      <c r="A158" s="2">
        <f>IF(Participant_Data!A158="","",Participant_Data!A158)</f>
        <v>157</v>
      </c>
      <c r="B158" s="2" t="str">
        <f>IF(Participant_Data!B158="","",Participant_Data!B158)</f>
        <v/>
      </c>
      <c r="C158" s="3" t="str">
        <f>IF(Participant_Data!C158="","",Participant_Data!C158)</f>
        <v/>
      </c>
      <c r="D158" s="5"/>
      <c r="E158" s="24">
        <v>5</v>
      </c>
      <c r="F158" s="24">
        <v>5</v>
      </c>
      <c r="G158" s="24">
        <v>5</v>
      </c>
      <c r="H158" s="24">
        <v>5</v>
      </c>
      <c r="I158" s="24">
        <v>5</v>
      </c>
      <c r="J158" s="24">
        <v>5</v>
      </c>
      <c r="K158" s="24">
        <v>5</v>
      </c>
      <c r="L158" s="16"/>
      <c r="M158" s="24">
        <f t="shared" si="2"/>
        <v>35</v>
      </c>
    </row>
    <row r="159" spans="1:13">
      <c r="A159" s="2">
        <f>IF(Participant_Data!A159="","",Participant_Data!A159)</f>
        <v>158</v>
      </c>
      <c r="B159" s="2" t="str">
        <f>IF(Participant_Data!B159="","",Participant_Data!B159)</f>
        <v/>
      </c>
      <c r="C159" s="3" t="str">
        <f>IF(Participant_Data!C159="","",Participant_Data!C159)</f>
        <v/>
      </c>
      <c r="D159" s="5"/>
      <c r="E159" s="24">
        <v>5</v>
      </c>
      <c r="F159" s="24">
        <v>5</v>
      </c>
      <c r="G159" s="24">
        <v>5</v>
      </c>
      <c r="H159" s="24">
        <v>5</v>
      </c>
      <c r="I159" s="24">
        <v>5</v>
      </c>
      <c r="J159" s="24">
        <v>5</v>
      </c>
      <c r="K159" s="24">
        <v>5</v>
      </c>
      <c r="L159" s="16"/>
      <c r="M159" s="24">
        <f t="shared" si="2"/>
        <v>35</v>
      </c>
    </row>
    <row r="160" spans="1:13">
      <c r="A160" s="2">
        <f>IF(Participant_Data!A160="","",Participant_Data!A160)</f>
        <v>159</v>
      </c>
      <c r="B160" s="2" t="str">
        <f>IF(Participant_Data!B160="","",Participant_Data!B160)</f>
        <v/>
      </c>
      <c r="C160" s="3" t="str">
        <f>IF(Participant_Data!C160="","",Participant_Data!C160)</f>
        <v/>
      </c>
      <c r="D160" s="5"/>
      <c r="E160" s="24">
        <v>5</v>
      </c>
      <c r="F160" s="24">
        <v>5</v>
      </c>
      <c r="G160" s="24">
        <v>5</v>
      </c>
      <c r="H160" s="24">
        <v>5</v>
      </c>
      <c r="I160" s="24">
        <v>5</v>
      </c>
      <c r="J160" s="24">
        <v>5</v>
      </c>
      <c r="K160" s="24">
        <v>5</v>
      </c>
      <c r="L160" s="16"/>
      <c r="M160" s="24">
        <f t="shared" si="2"/>
        <v>35</v>
      </c>
    </row>
    <row r="161" spans="1:13">
      <c r="A161" s="2">
        <f>IF(Participant_Data!A161="","",Participant_Data!A161)</f>
        <v>160</v>
      </c>
      <c r="B161" s="2" t="str">
        <f>IF(Participant_Data!B161="","",Participant_Data!B161)</f>
        <v/>
      </c>
      <c r="C161" s="3" t="str">
        <f>IF(Participant_Data!C161="","",Participant_Data!C161)</f>
        <v/>
      </c>
      <c r="D161" s="5"/>
      <c r="E161" s="24">
        <v>5</v>
      </c>
      <c r="F161" s="24">
        <v>5</v>
      </c>
      <c r="G161" s="24">
        <v>5</v>
      </c>
      <c r="H161" s="24">
        <v>4</v>
      </c>
      <c r="I161" s="24">
        <v>5</v>
      </c>
      <c r="J161" s="24">
        <v>5</v>
      </c>
      <c r="K161" s="24">
        <v>5</v>
      </c>
      <c r="L161" s="16"/>
      <c r="M161" s="24">
        <f t="shared" si="2"/>
        <v>34</v>
      </c>
    </row>
    <row r="162" spans="1:13">
      <c r="A162" s="2">
        <f>IF(Participant_Data!A162="","",Participant_Data!A162)</f>
        <v>161</v>
      </c>
      <c r="B162" s="2" t="str">
        <f>IF(Participant_Data!B162="","",Participant_Data!B162)</f>
        <v/>
      </c>
      <c r="C162" s="3" t="str">
        <f>IF(Participant_Data!C162="","",Participant_Data!C162)</f>
        <v/>
      </c>
      <c r="D162" s="5"/>
      <c r="E162" s="24">
        <v>5</v>
      </c>
      <c r="F162" s="24">
        <v>5</v>
      </c>
      <c r="G162" s="24">
        <v>5</v>
      </c>
      <c r="H162" s="24">
        <v>5</v>
      </c>
      <c r="I162" s="24">
        <v>5</v>
      </c>
      <c r="J162" s="24">
        <v>5</v>
      </c>
      <c r="K162" s="24">
        <v>5</v>
      </c>
      <c r="L162" s="16"/>
      <c r="M162" s="24">
        <f t="shared" si="2"/>
        <v>35</v>
      </c>
    </row>
    <row r="163" spans="1:13">
      <c r="A163" s="2">
        <f>IF(Participant_Data!A163="","",Participant_Data!A163)</f>
        <v>162</v>
      </c>
      <c r="B163" s="2" t="str">
        <f>IF(Participant_Data!B163="","",Participant_Data!B163)</f>
        <v/>
      </c>
      <c r="C163" s="3" t="str">
        <f>IF(Participant_Data!C163="","",Participant_Data!C163)</f>
        <v/>
      </c>
      <c r="D163" s="5"/>
      <c r="E163" s="24">
        <v>5</v>
      </c>
      <c r="F163" s="24">
        <v>5</v>
      </c>
      <c r="G163" s="24">
        <v>5</v>
      </c>
      <c r="H163" s="24">
        <v>4</v>
      </c>
      <c r="I163" s="24">
        <v>5</v>
      </c>
      <c r="J163" s="24">
        <v>5</v>
      </c>
      <c r="K163" s="24">
        <v>5</v>
      </c>
      <c r="L163" s="16"/>
      <c r="M163" s="24">
        <f t="shared" si="2"/>
        <v>34</v>
      </c>
    </row>
    <row r="164" spans="1:13">
      <c r="A164" s="2">
        <f>IF(Participant_Data!A164="","",Participant_Data!A164)</f>
        <v>163</v>
      </c>
      <c r="B164" s="2" t="str">
        <f>IF(Participant_Data!B164="","",Participant_Data!B164)</f>
        <v/>
      </c>
      <c r="C164" s="3" t="str">
        <f>IF(Participant_Data!C164="","",Participant_Data!C164)</f>
        <v/>
      </c>
      <c r="D164" s="5"/>
      <c r="E164" s="24">
        <v>5</v>
      </c>
      <c r="F164" s="24">
        <v>5</v>
      </c>
      <c r="G164" s="24">
        <v>5</v>
      </c>
      <c r="H164" s="24">
        <v>5</v>
      </c>
      <c r="I164" s="24">
        <v>5</v>
      </c>
      <c r="J164" s="24">
        <v>5</v>
      </c>
      <c r="K164" s="24">
        <v>5</v>
      </c>
      <c r="L164" s="16"/>
      <c r="M164" s="24">
        <f t="shared" si="2"/>
        <v>35</v>
      </c>
    </row>
    <row r="165" spans="1:13">
      <c r="A165" s="2">
        <f>IF(Participant_Data!A165="","",Participant_Data!A165)</f>
        <v>164</v>
      </c>
      <c r="B165" s="2" t="str">
        <f>IF(Participant_Data!B165="","",Participant_Data!B165)</f>
        <v/>
      </c>
      <c r="C165" s="3" t="str">
        <f>IF(Participant_Data!C165="","",Participant_Data!C165)</f>
        <v/>
      </c>
      <c r="D165" s="5"/>
      <c r="E165" s="24">
        <v>5</v>
      </c>
      <c r="F165" s="24">
        <v>5</v>
      </c>
      <c r="G165" s="24">
        <v>5</v>
      </c>
      <c r="H165" s="24">
        <v>5</v>
      </c>
      <c r="I165" s="24">
        <v>5</v>
      </c>
      <c r="J165" s="24">
        <v>5</v>
      </c>
      <c r="K165" s="24">
        <v>5</v>
      </c>
      <c r="L165" s="16"/>
      <c r="M165" s="24">
        <f t="shared" si="2"/>
        <v>35</v>
      </c>
    </row>
    <row r="166" spans="1:13">
      <c r="A166" s="2">
        <f>IF(Participant_Data!A166="","",Participant_Data!A166)</f>
        <v>165</v>
      </c>
      <c r="B166" s="2" t="str">
        <f>IF(Participant_Data!B166="","",Participant_Data!B166)</f>
        <v/>
      </c>
      <c r="C166" s="3" t="str">
        <f>IF(Participant_Data!C166="","",Participant_Data!C166)</f>
        <v/>
      </c>
      <c r="D166" s="5"/>
      <c r="E166" s="24">
        <v>5</v>
      </c>
      <c r="F166" s="24">
        <v>5</v>
      </c>
      <c r="G166" s="24">
        <v>5</v>
      </c>
      <c r="H166" s="24">
        <v>5</v>
      </c>
      <c r="I166" s="24">
        <v>5</v>
      </c>
      <c r="J166" s="24">
        <v>5</v>
      </c>
      <c r="K166" s="24">
        <v>5</v>
      </c>
      <c r="L166" s="16"/>
      <c r="M166" s="24">
        <f t="shared" si="2"/>
        <v>35</v>
      </c>
    </row>
    <row r="167" spans="1:13">
      <c r="A167" s="2">
        <f>IF(Participant_Data!A167="","",Participant_Data!A167)</f>
        <v>166</v>
      </c>
      <c r="B167" s="2" t="str">
        <f>IF(Participant_Data!B167="","",Participant_Data!B167)</f>
        <v/>
      </c>
      <c r="C167" s="3" t="str">
        <f>IF(Participant_Data!C167="","",Participant_Data!C167)</f>
        <v/>
      </c>
      <c r="D167" s="5"/>
      <c r="E167" s="24">
        <v>5</v>
      </c>
      <c r="F167" s="24">
        <v>5</v>
      </c>
      <c r="G167" s="24">
        <v>5</v>
      </c>
      <c r="H167" s="24">
        <v>5</v>
      </c>
      <c r="I167" s="24">
        <v>5</v>
      </c>
      <c r="J167" s="24">
        <v>5</v>
      </c>
      <c r="K167" s="24">
        <v>5</v>
      </c>
      <c r="L167" s="16"/>
      <c r="M167" s="24">
        <f t="shared" si="2"/>
        <v>35</v>
      </c>
    </row>
    <row r="168" spans="1:13">
      <c r="A168" s="2">
        <f>IF(Participant_Data!A168="","",Participant_Data!A168)</f>
        <v>167</v>
      </c>
      <c r="B168" s="2" t="str">
        <f>IF(Participant_Data!B168="","",Participant_Data!B168)</f>
        <v/>
      </c>
      <c r="C168" s="3" t="str">
        <f>IF(Participant_Data!C168="","",Participant_Data!C168)</f>
        <v/>
      </c>
      <c r="D168" s="5"/>
      <c r="E168" s="24">
        <v>5</v>
      </c>
      <c r="F168" s="24">
        <v>5</v>
      </c>
      <c r="G168" s="24">
        <v>5</v>
      </c>
      <c r="H168" s="24">
        <v>5</v>
      </c>
      <c r="I168" s="24">
        <v>5</v>
      </c>
      <c r="J168" s="24">
        <v>5</v>
      </c>
      <c r="K168" s="24">
        <v>5</v>
      </c>
      <c r="L168" s="16"/>
      <c r="M168" s="24">
        <f t="shared" si="2"/>
        <v>35</v>
      </c>
    </row>
    <row r="169" spans="1:13">
      <c r="A169" s="2">
        <f>IF(Participant_Data!A169="","",Participant_Data!A169)</f>
        <v>168</v>
      </c>
      <c r="B169" s="2" t="str">
        <f>IF(Participant_Data!B169="","",Participant_Data!B169)</f>
        <v/>
      </c>
      <c r="C169" s="3" t="str">
        <f>IF(Participant_Data!C169="","",Participant_Data!C169)</f>
        <v/>
      </c>
      <c r="D169" s="5"/>
      <c r="E169" s="24">
        <v>5</v>
      </c>
      <c r="F169" s="24">
        <v>4</v>
      </c>
      <c r="G169" s="24">
        <v>4</v>
      </c>
      <c r="H169" s="24">
        <v>4</v>
      </c>
      <c r="I169" s="24">
        <v>5</v>
      </c>
      <c r="J169" s="24">
        <v>5</v>
      </c>
      <c r="K169" s="24">
        <v>5</v>
      </c>
      <c r="L169" s="16"/>
      <c r="M169" s="24">
        <f t="shared" si="2"/>
        <v>32</v>
      </c>
    </row>
    <row r="170" spans="1:13">
      <c r="A170" s="2">
        <f>IF(Participant_Data!A170="","",Participant_Data!A170)</f>
        <v>169</v>
      </c>
      <c r="B170" s="2" t="str">
        <f>IF(Participant_Data!B170="","",Participant_Data!B170)</f>
        <v/>
      </c>
      <c r="C170" s="3" t="str">
        <f>IF(Participant_Data!C170="","",Participant_Data!C170)</f>
        <v/>
      </c>
      <c r="D170" s="5"/>
      <c r="E170" s="24">
        <v>5</v>
      </c>
      <c r="F170" s="24">
        <v>4</v>
      </c>
      <c r="G170" s="24">
        <v>5</v>
      </c>
      <c r="H170" s="24">
        <v>4</v>
      </c>
      <c r="I170" s="24">
        <v>5</v>
      </c>
      <c r="J170" s="24">
        <v>5</v>
      </c>
      <c r="K170" s="24">
        <v>5</v>
      </c>
      <c r="L170" s="16"/>
      <c r="M170" s="24">
        <f t="shared" si="2"/>
        <v>33</v>
      </c>
    </row>
    <row r="171" spans="1:13">
      <c r="A171" s="2">
        <f>IF(Participant_Data!A171="","",Participant_Data!A171)</f>
        <v>170</v>
      </c>
      <c r="B171" s="2" t="str">
        <f>IF(Participant_Data!B171="","",Participant_Data!B171)</f>
        <v/>
      </c>
      <c r="C171" s="3" t="str">
        <f>IF(Participant_Data!C171="","",Participant_Data!C171)</f>
        <v/>
      </c>
      <c r="D171" s="5"/>
      <c r="E171" s="24">
        <v>5</v>
      </c>
      <c r="F171" s="24">
        <v>5</v>
      </c>
      <c r="G171" s="24">
        <v>5</v>
      </c>
      <c r="H171" s="24">
        <v>5</v>
      </c>
      <c r="I171" s="24">
        <v>5</v>
      </c>
      <c r="J171" s="24">
        <v>5</v>
      </c>
      <c r="K171" s="24">
        <v>5</v>
      </c>
      <c r="L171" s="16"/>
      <c r="M171" s="24">
        <f t="shared" si="2"/>
        <v>35</v>
      </c>
    </row>
    <row r="172" spans="1:13">
      <c r="A172" s="2">
        <f>IF(Participant_Data!A172="","",Participant_Data!A172)</f>
        <v>171</v>
      </c>
      <c r="B172" s="2" t="str">
        <f>IF(Participant_Data!B172="","",Participant_Data!B172)</f>
        <v/>
      </c>
      <c r="C172" s="3" t="str">
        <f>IF(Participant_Data!C172="","",Participant_Data!C172)</f>
        <v/>
      </c>
      <c r="D172" s="5"/>
      <c r="E172" s="24">
        <v>5</v>
      </c>
      <c r="F172" s="24">
        <v>4</v>
      </c>
      <c r="G172" s="24">
        <v>4</v>
      </c>
      <c r="H172" s="24">
        <v>4</v>
      </c>
      <c r="I172" s="24">
        <v>5</v>
      </c>
      <c r="J172" s="24">
        <v>5</v>
      </c>
      <c r="K172" s="24">
        <v>5</v>
      </c>
      <c r="L172" s="16"/>
      <c r="M172" s="24">
        <f t="shared" si="2"/>
        <v>32</v>
      </c>
    </row>
    <row r="173" spans="1:13">
      <c r="A173" s="2">
        <f>IF(Participant_Data!A173="","",Participant_Data!A173)</f>
        <v>172</v>
      </c>
      <c r="B173" s="2" t="str">
        <f>IF(Participant_Data!B173="","",Participant_Data!B173)</f>
        <v/>
      </c>
      <c r="C173" s="3" t="str">
        <f>IF(Participant_Data!C173="","",Participant_Data!C173)</f>
        <v/>
      </c>
      <c r="D173" s="5"/>
      <c r="E173" s="24">
        <v>5</v>
      </c>
      <c r="F173" s="24">
        <v>5</v>
      </c>
      <c r="G173" s="24">
        <v>5</v>
      </c>
      <c r="H173" s="24">
        <v>5</v>
      </c>
      <c r="I173" s="24">
        <v>5</v>
      </c>
      <c r="J173" s="24">
        <v>5</v>
      </c>
      <c r="K173" s="24">
        <v>5</v>
      </c>
      <c r="L173" s="16"/>
      <c r="M173" s="24">
        <f t="shared" si="2"/>
        <v>35</v>
      </c>
    </row>
    <row r="174" spans="1:13">
      <c r="A174" s="2">
        <f>IF(Participant_Data!A174="","",Participant_Data!A174)</f>
        <v>173</v>
      </c>
      <c r="B174" s="2" t="str">
        <f>IF(Participant_Data!B174="","",Participant_Data!B174)</f>
        <v/>
      </c>
      <c r="C174" s="3" t="str">
        <f>IF(Participant_Data!C174="","",Participant_Data!C174)</f>
        <v/>
      </c>
      <c r="D174" s="5"/>
      <c r="E174" s="24">
        <v>5</v>
      </c>
      <c r="F174" s="24">
        <v>5</v>
      </c>
      <c r="G174" s="24">
        <v>5</v>
      </c>
      <c r="H174" s="24">
        <v>4</v>
      </c>
      <c r="I174" s="24">
        <v>5</v>
      </c>
      <c r="J174" s="24">
        <v>5</v>
      </c>
      <c r="K174" s="24">
        <v>5</v>
      </c>
      <c r="L174" s="16"/>
      <c r="M174" s="24">
        <f t="shared" si="2"/>
        <v>34</v>
      </c>
    </row>
    <row r="175" spans="1:13">
      <c r="A175" s="2">
        <f>IF(Participant_Data!A175="","",Participant_Data!A175)</f>
        <v>174</v>
      </c>
      <c r="B175" s="2" t="str">
        <f>IF(Participant_Data!B175="","",Participant_Data!B175)</f>
        <v/>
      </c>
      <c r="C175" s="3" t="str">
        <f>IF(Participant_Data!C175="","",Participant_Data!C175)</f>
        <v/>
      </c>
      <c r="D175" s="5"/>
      <c r="E175" s="24">
        <v>4</v>
      </c>
      <c r="F175" s="24">
        <v>4</v>
      </c>
      <c r="G175" s="24">
        <v>4</v>
      </c>
      <c r="H175" s="24">
        <v>4</v>
      </c>
      <c r="I175" s="24">
        <v>5</v>
      </c>
      <c r="J175" s="24">
        <v>4</v>
      </c>
      <c r="K175" s="24">
        <v>4</v>
      </c>
      <c r="L175" s="16"/>
      <c r="M175" s="24">
        <f t="shared" si="2"/>
        <v>29</v>
      </c>
    </row>
    <row r="176" spans="1:13">
      <c r="A176" s="2">
        <f>IF(Participant_Data!A176="","",Participant_Data!A176)</f>
        <v>175</v>
      </c>
      <c r="B176" s="2" t="str">
        <f>IF(Participant_Data!B176="","",Participant_Data!B176)</f>
        <v/>
      </c>
      <c r="C176" s="3" t="str">
        <f>IF(Participant_Data!C176="","",Participant_Data!C176)</f>
        <v/>
      </c>
      <c r="D176" s="5"/>
      <c r="E176" s="24">
        <v>5</v>
      </c>
      <c r="F176" s="24">
        <v>5</v>
      </c>
      <c r="G176" s="24">
        <v>5</v>
      </c>
      <c r="H176" s="24">
        <v>5</v>
      </c>
      <c r="I176" s="24">
        <v>5</v>
      </c>
      <c r="J176" s="24">
        <v>5</v>
      </c>
      <c r="K176" s="24">
        <v>5</v>
      </c>
      <c r="L176" s="16"/>
      <c r="M176" s="24">
        <f t="shared" si="2"/>
        <v>35</v>
      </c>
    </row>
    <row r="177" spans="1:13">
      <c r="A177" s="2">
        <f>IF(Participant_Data!A177="","",Participant_Data!A177)</f>
        <v>176</v>
      </c>
      <c r="B177" s="2" t="str">
        <f>IF(Participant_Data!B177="","",Participant_Data!B177)</f>
        <v/>
      </c>
      <c r="C177" s="3" t="str">
        <f>IF(Participant_Data!C177="","",Participant_Data!C177)</f>
        <v/>
      </c>
      <c r="D177" s="5"/>
      <c r="E177" s="24">
        <v>5</v>
      </c>
      <c r="F177" s="24">
        <v>5</v>
      </c>
      <c r="G177" s="24">
        <v>4</v>
      </c>
      <c r="H177" s="24">
        <v>4</v>
      </c>
      <c r="I177" s="24">
        <v>5</v>
      </c>
      <c r="J177" s="24">
        <v>5</v>
      </c>
      <c r="K177" s="24">
        <v>5</v>
      </c>
      <c r="L177" s="16"/>
      <c r="M177" s="24">
        <f t="shared" si="2"/>
        <v>33</v>
      </c>
    </row>
    <row r="178" spans="1:13">
      <c r="A178" s="2">
        <f>IF(Participant_Data!A178="","",Participant_Data!A178)</f>
        <v>177</v>
      </c>
      <c r="B178" s="2" t="str">
        <f>IF(Participant_Data!B178="","",Participant_Data!B178)</f>
        <v/>
      </c>
      <c r="C178" s="3" t="str">
        <f>IF(Participant_Data!C178="","",Participant_Data!C178)</f>
        <v/>
      </c>
      <c r="D178" s="5"/>
      <c r="E178" s="24">
        <v>5</v>
      </c>
      <c r="F178" s="24">
        <v>5</v>
      </c>
      <c r="G178" s="24">
        <v>5</v>
      </c>
      <c r="H178" s="24">
        <v>5</v>
      </c>
      <c r="I178" s="24">
        <v>5</v>
      </c>
      <c r="J178" s="24">
        <v>5</v>
      </c>
      <c r="K178" s="24">
        <v>5</v>
      </c>
      <c r="L178" s="16"/>
      <c r="M178" s="24">
        <f t="shared" si="2"/>
        <v>35</v>
      </c>
    </row>
    <row r="179" spans="1:13">
      <c r="A179" s="2">
        <f>IF(Participant_Data!A179="","",Participant_Data!A179)</f>
        <v>178</v>
      </c>
      <c r="B179" s="2" t="str">
        <f>IF(Participant_Data!B179="","",Participant_Data!B179)</f>
        <v/>
      </c>
      <c r="C179" s="3" t="str">
        <f>IF(Participant_Data!C179="","",Participant_Data!C179)</f>
        <v/>
      </c>
      <c r="D179" s="5"/>
      <c r="E179" s="24">
        <v>5</v>
      </c>
      <c r="F179" s="24">
        <v>5</v>
      </c>
      <c r="G179" s="24">
        <v>5</v>
      </c>
      <c r="H179" s="24">
        <v>5</v>
      </c>
      <c r="I179" s="24">
        <v>5</v>
      </c>
      <c r="J179" s="24">
        <v>5</v>
      </c>
      <c r="K179" s="24">
        <v>5</v>
      </c>
      <c r="L179" s="16"/>
      <c r="M179" s="24">
        <f t="shared" si="2"/>
        <v>35</v>
      </c>
    </row>
    <row r="180" spans="1:13">
      <c r="A180" s="2">
        <f>IF(Participant_Data!A180="","",Participant_Data!A180)</f>
        <v>179</v>
      </c>
      <c r="B180" s="2" t="str">
        <f>IF(Participant_Data!B180="","",Participant_Data!B180)</f>
        <v/>
      </c>
      <c r="C180" s="3" t="str">
        <f>IF(Participant_Data!C180="","",Participant_Data!C180)</f>
        <v/>
      </c>
      <c r="D180" s="5"/>
      <c r="E180" s="24">
        <v>5</v>
      </c>
      <c r="F180" s="24">
        <v>5</v>
      </c>
      <c r="G180" s="24">
        <v>5</v>
      </c>
      <c r="H180" s="24">
        <v>4</v>
      </c>
      <c r="I180" s="24">
        <v>5</v>
      </c>
      <c r="J180" s="24">
        <v>5</v>
      </c>
      <c r="K180" s="24">
        <v>5</v>
      </c>
      <c r="L180" s="16"/>
      <c r="M180" s="24">
        <f t="shared" si="2"/>
        <v>34</v>
      </c>
    </row>
    <row r="181" spans="1:13">
      <c r="A181" s="2">
        <f>IF(Participant_Data!A181="","",Participant_Data!A181)</f>
        <v>180</v>
      </c>
      <c r="B181" s="2" t="str">
        <f>IF(Participant_Data!B181="","",Participant_Data!B181)</f>
        <v/>
      </c>
      <c r="C181" s="3" t="str">
        <f>IF(Participant_Data!C181="","",Participant_Data!C181)</f>
        <v/>
      </c>
      <c r="D181" s="5"/>
      <c r="E181" s="24">
        <v>5</v>
      </c>
      <c r="F181" s="24">
        <v>5</v>
      </c>
      <c r="G181" s="24">
        <v>5</v>
      </c>
      <c r="H181" s="24">
        <v>5</v>
      </c>
      <c r="I181" s="24">
        <v>5</v>
      </c>
      <c r="J181" s="24">
        <v>5</v>
      </c>
      <c r="K181" s="24">
        <v>5</v>
      </c>
      <c r="L181" s="16"/>
      <c r="M181" s="24">
        <f t="shared" si="2"/>
        <v>35</v>
      </c>
    </row>
    <row r="182" spans="1:13">
      <c r="A182" s="2">
        <f>IF(Participant_Data!A182="","",Participant_Data!A182)</f>
        <v>181</v>
      </c>
      <c r="B182" s="2" t="str">
        <f>IF(Participant_Data!B182="","",Participant_Data!B182)</f>
        <v/>
      </c>
      <c r="C182" s="3" t="str">
        <f>IF(Participant_Data!C182="","",Participant_Data!C182)</f>
        <v/>
      </c>
      <c r="D182" s="5"/>
      <c r="E182" s="24">
        <v>4</v>
      </c>
      <c r="F182" s="24">
        <v>3</v>
      </c>
      <c r="G182" s="24">
        <v>3</v>
      </c>
      <c r="H182" s="24">
        <v>3</v>
      </c>
      <c r="I182" s="24">
        <v>4</v>
      </c>
      <c r="J182" s="24">
        <v>3</v>
      </c>
      <c r="K182" s="24">
        <v>4</v>
      </c>
      <c r="L182" s="16"/>
      <c r="M182" s="24">
        <f t="shared" si="2"/>
        <v>24</v>
      </c>
    </row>
    <row r="183" spans="1:13">
      <c r="A183" s="2">
        <f>IF(Participant_Data!A183="","",Participant_Data!A183)</f>
        <v>182</v>
      </c>
      <c r="B183" s="2" t="str">
        <f>IF(Participant_Data!B183="","",Participant_Data!B183)</f>
        <v/>
      </c>
      <c r="C183" s="3" t="str">
        <f>IF(Participant_Data!C183="","",Participant_Data!C183)</f>
        <v/>
      </c>
      <c r="D183" s="5"/>
      <c r="E183" s="24">
        <v>5</v>
      </c>
      <c r="F183" s="24">
        <v>5</v>
      </c>
      <c r="G183" s="24">
        <v>5</v>
      </c>
      <c r="H183" s="24">
        <v>5</v>
      </c>
      <c r="I183" s="24">
        <v>5</v>
      </c>
      <c r="J183" s="24">
        <v>5</v>
      </c>
      <c r="K183" s="24">
        <v>5</v>
      </c>
      <c r="L183" s="16"/>
      <c r="M183" s="24">
        <f t="shared" si="2"/>
        <v>35</v>
      </c>
    </row>
    <row r="184" spans="1:13">
      <c r="A184" s="2">
        <f>IF(Participant_Data!A184="","",Participant_Data!A184)</f>
        <v>183</v>
      </c>
      <c r="B184" s="2" t="str">
        <f>IF(Participant_Data!B184="","",Participant_Data!B184)</f>
        <v/>
      </c>
      <c r="C184" s="3" t="str">
        <f>IF(Participant_Data!C184="","",Participant_Data!C184)</f>
        <v/>
      </c>
      <c r="D184" s="5"/>
      <c r="E184" s="24">
        <v>5</v>
      </c>
      <c r="F184" s="24">
        <v>5</v>
      </c>
      <c r="G184" s="24">
        <v>5</v>
      </c>
      <c r="H184" s="24">
        <v>5</v>
      </c>
      <c r="I184" s="24">
        <v>5</v>
      </c>
      <c r="J184" s="24">
        <v>5</v>
      </c>
      <c r="K184" s="24">
        <v>5</v>
      </c>
      <c r="L184" s="16"/>
      <c r="M184" s="24">
        <f t="shared" si="2"/>
        <v>35</v>
      </c>
    </row>
    <row r="185" spans="1:13">
      <c r="A185" s="2">
        <f>IF(Participant_Data!A185="","",Participant_Data!A185)</f>
        <v>184</v>
      </c>
      <c r="B185" s="2" t="str">
        <f>IF(Participant_Data!B185="","",Participant_Data!B185)</f>
        <v/>
      </c>
      <c r="C185" s="3" t="str">
        <f>IF(Participant_Data!C185="","",Participant_Data!C185)</f>
        <v/>
      </c>
      <c r="D185" s="5"/>
      <c r="E185" s="24">
        <v>5</v>
      </c>
      <c r="F185" s="24">
        <v>5</v>
      </c>
      <c r="G185" s="24">
        <v>5</v>
      </c>
      <c r="H185" s="24">
        <v>5</v>
      </c>
      <c r="I185" s="24">
        <v>5</v>
      </c>
      <c r="J185" s="24">
        <v>5</v>
      </c>
      <c r="K185" s="24">
        <v>5</v>
      </c>
      <c r="L185" s="16"/>
      <c r="M185" s="24">
        <f t="shared" si="2"/>
        <v>35</v>
      </c>
    </row>
    <row r="186" spans="1:13">
      <c r="A186" s="2">
        <f>IF(Participant_Data!A186="","",Participant_Data!A186)</f>
        <v>185</v>
      </c>
      <c r="B186" s="2" t="str">
        <f>IF(Participant_Data!B186="","",Participant_Data!B186)</f>
        <v/>
      </c>
      <c r="C186" s="3" t="str">
        <f>IF(Participant_Data!C186="","",Participant_Data!C186)</f>
        <v/>
      </c>
      <c r="D186" s="5"/>
      <c r="E186" s="24">
        <v>3</v>
      </c>
      <c r="F186" s="24">
        <v>3</v>
      </c>
      <c r="G186" s="24">
        <v>4</v>
      </c>
      <c r="H186" s="24">
        <v>3</v>
      </c>
      <c r="I186" s="24">
        <v>3</v>
      </c>
      <c r="J186" s="24">
        <v>3</v>
      </c>
      <c r="K186" s="24">
        <v>3</v>
      </c>
      <c r="L186" s="16"/>
      <c r="M186" s="24">
        <f t="shared" si="2"/>
        <v>22</v>
      </c>
    </row>
    <row r="187" spans="1:13">
      <c r="A187" s="2">
        <f>IF(Participant_Data!A187="","",Participant_Data!A187)</f>
        <v>186</v>
      </c>
      <c r="B187" s="2" t="str">
        <f>IF(Participant_Data!B187="","",Participant_Data!B187)</f>
        <v/>
      </c>
      <c r="C187" s="3" t="str">
        <f>IF(Participant_Data!C187="","",Participant_Data!C187)</f>
        <v/>
      </c>
      <c r="D187" s="5"/>
      <c r="E187" s="24">
        <v>5</v>
      </c>
      <c r="F187" s="24">
        <v>5</v>
      </c>
      <c r="G187" s="24">
        <v>5</v>
      </c>
      <c r="H187" s="24">
        <v>5</v>
      </c>
      <c r="I187" s="24">
        <v>5</v>
      </c>
      <c r="J187" s="24">
        <v>5</v>
      </c>
      <c r="K187" s="24">
        <v>5</v>
      </c>
      <c r="L187" s="16"/>
      <c r="M187" s="24">
        <f t="shared" si="2"/>
        <v>35</v>
      </c>
    </row>
    <row r="188" spans="1:13">
      <c r="A188" s="2">
        <f>IF(Participant_Data!A188="","",Participant_Data!A188)</f>
        <v>187</v>
      </c>
      <c r="B188" s="2" t="str">
        <f>IF(Participant_Data!B188="","",Participant_Data!B188)</f>
        <v/>
      </c>
      <c r="C188" s="3" t="str">
        <f>IF(Participant_Data!C188="","",Participant_Data!C188)</f>
        <v/>
      </c>
      <c r="D188" s="5"/>
      <c r="E188" s="24">
        <v>4</v>
      </c>
      <c r="F188" s="24">
        <v>4</v>
      </c>
      <c r="G188" s="24">
        <v>5</v>
      </c>
      <c r="H188" s="24">
        <v>4</v>
      </c>
      <c r="I188" s="24">
        <v>5</v>
      </c>
      <c r="J188" s="24">
        <v>4</v>
      </c>
      <c r="K188" s="24">
        <v>5</v>
      </c>
      <c r="L188" s="16"/>
      <c r="M188" s="24">
        <f t="shared" si="2"/>
        <v>31</v>
      </c>
    </row>
    <row r="189" spans="1:13">
      <c r="A189" s="2">
        <f>IF(Participant_Data!A189="","",Participant_Data!A189)</f>
        <v>188</v>
      </c>
      <c r="B189" s="2" t="str">
        <f>IF(Participant_Data!B189="","",Participant_Data!B189)</f>
        <v/>
      </c>
      <c r="C189" s="3" t="str">
        <f>IF(Participant_Data!C189="","",Participant_Data!C189)</f>
        <v/>
      </c>
      <c r="D189" s="5"/>
      <c r="E189" s="24">
        <v>5</v>
      </c>
      <c r="F189" s="24">
        <v>5</v>
      </c>
      <c r="G189" s="24">
        <v>5</v>
      </c>
      <c r="H189" s="24">
        <v>5</v>
      </c>
      <c r="I189" s="24">
        <v>5</v>
      </c>
      <c r="J189" s="24">
        <v>5</v>
      </c>
      <c r="K189" s="24">
        <v>5</v>
      </c>
      <c r="L189" s="16"/>
      <c r="M189" s="24">
        <f t="shared" si="2"/>
        <v>35</v>
      </c>
    </row>
    <row r="190" spans="1:13">
      <c r="A190" s="2">
        <f>IF(Participant_Data!A190="","",Participant_Data!A190)</f>
        <v>189</v>
      </c>
      <c r="B190" s="2" t="str">
        <f>IF(Participant_Data!B190="","",Participant_Data!B190)</f>
        <v/>
      </c>
      <c r="C190" s="3" t="str">
        <f>IF(Participant_Data!C190="","",Participant_Data!C190)</f>
        <v/>
      </c>
      <c r="D190" s="5"/>
      <c r="E190" s="24">
        <v>5</v>
      </c>
      <c r="F190" s="24">
        <v>5</v>
      </c>
      <c r="G190" s="24">
        <v>5</v>
      </c>
      <c r="H190" s="24">
        <v>5</v>
      </c>
      <c r="I190" s="24">
        <v>5</v>
      </c>
      <c r="J190" s="24">
        <v>5</v>
      </c>
      <c r="K190" s="24">
        <v>5</v>
      </c>
      <c r="L190" s="16"/>
      <c r="M190" s="24">
        <f t="shared" si="2"/>
        <v>35</v>
      </c>
    </row>
    <row r="191" spans="1:13">
      <c r="A191" s="2">
        <f>IF(Participant_Data!A191="","",Participant_Data!A191)</f>
        <v>190</v>
      </c>
      <c r="B191" s="2" t="str">
        <f>IF(Participant_Data!B191="","",Participant_Data!B191)</f>
        <v/>
      </c>
      <c r="C191" s="3" t="str">
        <f>IF(Participant_Data!C191="","",Participant_Data!C191)</f>
        <v/>
      </c>
      <c r="D191" s="5"/>
      <c r="E191" s="24">
        <v>5</v>
      </c>
      <c r="F191" s="24">
        <v>5</v>
      </c>
      <c r="G191" s="24">
        <v>5</v>
      </c>
      <c r="H191" s="24">
        <v>5</v>
      </c>
      <c r="I191" s="24">
        <v>5</v>
      </c>
      <c r="J191" s="24">
        <v>5</v>
      </c>
      <c r="K191" s="24">
        <v>5</v>
      </c>
      <c r="L191" s="16"/>
      <c r="M191" s="24">
        <f t="shared" si="2"/>
        <v>35</v>
      </c>
    </row>
    <row r="192" spans="1:13">
      <c r="A192" s="2">
        <f>IF(Participant_Data!A192="","",Participant_Data!A192)</f>
        <v>191</v>
      </c>
      <c r="B192" s="2" t="str">
        <f>IF(Participant_Data!B192="","",Participant_Data!B192)</f>
        <v/>
      </c>
      <c r="C192" s="3" t="str">
        <f>IF(Participant_Data!C192="","",Participant_Data!C192)</f>
        <v/>
      </c>
      <c r="D192" s="5"/>
      <c r="E192" s="24">
        <v>4</v>
      </c>
      <c r="F192" s="24">
        <v>4</v>
      </c>
      <c r="G192" s="24">
        <v>5</v>
      </c>
      <c r="H192" s="24">
        <v>5</v>
      </c>
      <c r="I192" s="24">
        <v>5</v>
      </c>
      <c r="J192" s="24">
        <v>5</v>
      </c>
      <c r="K192" s="24">
        <v>5</v>
      </c>
      <c r="L192" s="16"/>
      <c r="M192" s="24">
        <f t="shared" si="2"/>
        <v>33</v>
      </c>
    </row>
    <row r="193" spans="1:13">
      <c r="A193" s="2">
        <f>IF(Participant_Data!A193="","",Participant_Data!A193)</f>
        <v>192</v>
      </c>
      <c r="B193" s="2" t="str">
        <f>IF(Participant_Data!B193="","",Participant_Data!B193)</f>
        <v/>
      </c>
      <c r="C193" s="3" t="str">
        <f>IF(Participant_Data!C193="","",Participant_Data!C193)</f>
        <v/>
      </c>
      <c r="D193" s="5"/>
      <c r="E193" s="24">
        <v>5</v>
      </c>
      <c r="F193" s="24">
        <v>5</v>
      </c>
      <c r="G193" s="24">
        <v>5</v>
      </c>
      <c r="H193" s="24">
        <v>5</v>
      </c>
      <c r="I193" s="24">
        <v>5</v>
      </c>
      <c r="J193" s="24">
        <v>5</v>
      </c>
      <c r="K193" s="24">
        <v>5</v>
      </c>
      <c r="L193" s="16"/>
      <c r="M193" s="24">
        <f t="shared" si="2"/>
        <v>35</v>
      </c>
    </row>
    <row r="194" spans="1:13">
      <c r="A194" s="2">
        <f>IF(Participant_Data!A194="","",Participant_Data!A194)</f>
        <v>193</v>
      </c>
      <c r="B194" s="2" t="str">
        <f>IF(Participant_Data!B194="","",Participant_Data!B194)</f>
        <v/>
      </c>
      <c r="C194" s="3" t="str">
        <f>IF(Participant_Data!C194="","",Participant_Data!C194)</f>
        <v/>
      </c>
      <c r="D194" s="5"/>
      <c r="E194" s="24">
        <v>4</v>
      </c>
      <c r="F194" s="24">
        <v>4</v>
      </c>
      <c r="G194" s="24">
        <v>5</v>
      </c>
      <c r="H194" s="24">
        <v>3</v>
      </c>
      <c r="I194" s="24">
        <v>4</v>
      </c>
      <c r="J194" s="24">
        <v>4</v>
      </c>
      <c r="K194" s="24">
        <v>4</v>
      </c>
      <c r="L194" s="16"/>
      <c r="M194" s="24">
        <f t="shared" ref="M194:M257" si="3">SUM(E194:K194)</f>
        <v>28</v>
      </c>
    </row>
    <row r="195" spans="1:13">
      <c r="A195" s="2">
        <f>IF(Participant_Data!A195="","",Participant_Data!A195)</f>
        <v>194</v>
      </c>
      <c r="B195" s="2" t="str">
        <f>IF(Participant_Data!B195="","",Participant_Data!B195)</f>
        <v/>
      </c>
      <c r="C195" s="3" t="str">
        <f>IF(Participant_Data!C195="","",Participant_Data!C195)</f>
        <v/>
      </c>
      <c r="D195" s="5"/>
      <c r="E195" s="24">
        <v>4</v>
      </c>
      <c r="F195" s="24">
        <v>4</v>
      </c>
      <c r="G195" s="24">
        <v>5</v>
      </c>
      <c r="H195" s="24">
        <v>5</v>
      </c>
      <c r="I195" s="24">
        <v>5</v>
      </c>
      <c r="J195" s="24">
        <v>5</v>
      </c>
      <c r="K195" s="24">
        <v>5</v>
      </c>
      <c r="L195" s="16"/>
      <c r="M195" s="24">
        <f t="shared" si="3"/>
        <v>33</v>
      </c>
    </row>
    <row r="196" spans="1:13">
      <c r="A196" s="2">
        <f>IF(Participant_Data!A196="","",Participant_Data!A196)</f>
        <v>195</v>
      </c>
      <c r="B196" s="2" t="str">
        <f>IF(Participant_Data!B196="","",Participant_Data!B196)</f>
        <v/>
      </c>
      <c r="C196" s="3" t="str">
        <f>IF(Participant_Data!C196="","",Participant_Data!C196)</f>
        <v/>
      </c>
      <c r="D196" s="5"/>
      <c r="E196" s="24">
        <v>4</v>
      </c>
      <c r="F196" s="24">
        <v>4</v>
      </c>
      <c r="G196" s="24">
        <v>5</v>
      </c>
      <c r="H196" s="24">
        <v>5</v>
      </c>
      <c r="I196" s="24">
        <v>5</v>
      </c>
      <c r="J196" s="24">
        <v>5</v>
      </c>
      <c r="K196" s="24">
        <v>5</v>
      </c>
      <c r="L196" s="16"/>
      <c r="M196" s="24">
        <f t="shared" si="3"/>
        <v>33</v>
      </c>
    </row>
    <row r="197" spans="1:13">
      <c r="A197" s="2">
        <f>IF(Participant_Data!A197="","",Participant_Data!A197)</f>
        <v>196</v>
      </c>
      <c r="B197" s="2" t="str">
        <f>IF(Participant_Data!B197="","",Participant_Data!B197)</f>
        <v/>
      </c>
      <c r="C197" s="3" t="str">
        <f>IF(Participant_Data!C197="","",Participant_Data!C197)</f>
        <v/>
      </c>
      <c r="D197" s="5"/>
      <c r="E197" s="24">
        <v>4</v>
      </c>
      <c r="F197" s="24">
        <v>4</v>
      </c>
      <c r="G197" s="24">
        <v>3</v>
      </c>
      <c r="H197" s="24">
        <v>4</v>
      </c>
      <c r="I197" s="24">
        <v>4</v>
      </c>
      <c r="J197" s="24">
        <v>4</v>
      </c>
      <c r="K197" s="24">
        <v>4</v>
      </c>
      <c r="L197" s="16"/>
      <c r="M197" s="24">
        <f t="shared" si="3"/>
        <v>27</v>
      </c>
    </row>
    <row r="198" spans="1:13">
      <c r="A198" s="2">
        <f>IF(Participant_Data!A198="","",Participant_Data!A198)</f>
        <v>197</v>
      </c>
      <c r="B198" s="2" t="str">
        <f>IF(Participant_Data!B198="","",Participant_Data!B198)</f>
        <v/>
      </c>
      <c r="C198" s="3" t="str">
        <f>IF(Participant_Data!C198="","",Participant_Data!C198)</f>
        <v/>
      </c>
      <c r="D198" s="5"/>
      <c r="E198" s="24">
        <v>3</v>
      </c>
      <c r="F198" s="24">
        <v>4</v>
      </c>
      <c r="G198" s="24">
        <v>5</v>
      </c>
      <c r="H198" s="24">
        <v>5</v>
      </c>
      <c r="I198" s="24">
        <v>5</v>
      </c>
      <c r="J198" s="24">
        <v>5</v>
      </c>
      <c r="K198" s="24">
        <v>5</v>
      </c>
      <c r="L198" s="16"/>
      <c r="M198" s="24">
        <f t="shared" si="3"/>
        <v>32</v>
      </c>
    </row>
    <row r="199" spans="1:13">
      <c r="A199" s="2">
        <f>IF(Participant_Data!A199="","",Participant_Data!A199)</f>
        <v>198</v>
      </c>
      <c r="B199" s="2" t="str">
        <f>IF(Participant_Data!B199="","",Participant_Data!B199)</f>
        <v/>
      </c>
      <c r="C199" s="3" t="str">
        <f>IF(Participant_Data!C199="","",Participant_Data!C199)</f>
        <v/>
      </c>
      <c r="D199" s="5"/>
      <c r="E199" s="24">
        <v>5</v>
      </c>
      <c r="F199" s="24">
        <v>5</v>
      </c>
      <c r="G199" s="24">
        <v>5</v>
      </c>
      <c r="H199" s="24">
        <v>5</v>
      </c>
      <c r="I199" s="24">
        <v>5</v>
      </c>
      <c r="J199" s="24">
        <v>5</v>
      </c>
      <c r="K199" s="24">
        <v>5</v>
      </c>
      <c r="L199" s="16"/>
      <c r="M199" s="24">
        <f t="shared" si="3"/>
        <v>35</v>
      </c>
    </row>
    <row r="200" spans="1:13">
      <c r="A200" s="2">
        <f>IF(Participant_Data!A200="","",Participant_Data!A200)</f>
        <v>199</v>
      </c>
      <c r="B200" s="2" t="str">
        <f>IF(Participant_Data!B200="","",Participant_Data!B200)</f>
        <v/>
      </c>
      <c r="C200" s="3" t="str">
        <f>IF(Participant_Data!C200="","",Participant_Data!C200)</f>
        <v/>
      </c>
      <c r="D200" s="5"/>
      <c r="E200" s="24">
        <v>5</v>
      </c>
      <c r="F200" s="24">
        <v>5</v>
      </c>
      <c r="G200" s="24">
        <v>5</v>
      </c>
      <c r="H200" s="24">
        <v>5</v>
      </c>
      <c r="I200" s="24">
        <v>5</v>
      </c>
      <c r="J200" s="24">
        <v>5</v>
      </c>
      <c r="K200" s="24">
        <v>5</v>
      </c>
      <c r="L200" s="16"/>
      <c r="M200" s="24">
        <f t="shared" si="3"/>
        <v>35</v>
      </c>
    </row>
    <row r="201" spans="1:13">
      <c r="A201" s="2">
        <f>IF(Participant_Data!A201="","",Participant_Data!A201)</f>
        <v>200</v>
      </c>
      <c r="B201" s="2" t="str">
        <f>IF(Participant_Data!B201="","",Participant_Data!B201)</f>
        <v/>
      </c>
      <c r="C201" s="3" t="str">
        <f>IF(Participant_Data!C201="","",Participant_Data!C201)</f>
        <v/>
      </c>
      <c r="D201" s="5"/>
      <c r="E201" s="24">
        <v>5</v>
      </c>
      <c r="F201" s="24">
        <v>5</v>
      </c>
      <c r="G201" s="24">
        <v>5</v>
      </c>
      <c r="H201" s="24">
        <v>5</v>
      </c>
      <c r="I201" s="24">
        <v>5</v>
      </c>
      <c r="J201" s="24">
        <v>5</v>
      </c>
      <c r="K201" s="24">
        <v>5</v>
      </c>
      <c r="L201" s="16"/>
      <c r="M201" s="24">
        <f t="shared" si="3"/>
        <v>35</v>
      </c>
    </row>
    <row r="202" spans="1:13">
      <c r="A202" s="2">
        <f>IF(Participant_Data!A202="","",Participant_Data!A202)</f>
        <v>201</v>
      </c>
      <c r="B202" s="2" t="str">
        <f>IF(Participant_Data!B202="","",Participant_Data!B202)</f>
        <v/>
      </c>
      <c r="C202" s="3" t="str">
        <f>IF(Participant_Data!C202="","",Participant_Data!C202)</f>
        <v/>
      </c>
      <c r="D202" s="5"/>
      <c r="E202" s="5"/>
      <c r="F202" s="5"/>
      <c r="G202" s="5"/>
      <c r="H202" s="5"/>
      <c r="I202" s="5"/>
      <c r="J202" s="2" t="str">
        <f t="shared" ref="J202:J233" si="4">IF(COUNTA(E202:I202)=0,"",SUM(E202:I202))</f>
        <v/>
      </c>
      <c r="K202" s="5"/>
      <c r="M202">
        <f t="shared" si="3"/>
        <v>0</v>
      </c>
    </row>
    <row r="203" spans="1:13">
      <c r="A203" s="2">
        <f>IF(Participant_Data!A203="","",Participant_Data!A203)</f>
        <v>202</v>
      </c>
      <c r="B203" s="2" t="str">
        <f>IF(Participant_Data!B203="","",Participant_Data!B203)</f>
        <v/>
      </c>
      <c r="C203" s="3" t="str">
        <f>IF(Participant_Data!C203="","",Participant_Data!C203)</f>
        <v/>
      </c>
      <c r="D203" s="5"/>
      <c r="E203" s="5"/>
      <c r="F203" s="5"/>
      <c r="G203" s="5"/>
      <c r="H203" s="5"/>
      <c r="I203" s="5"/>
      <c r="J203" s="2" t="str">
        <f t="shared" si="4"/>
        <v/>
      </c>
      <c r="K203" s="5"/>
      <c r="M203">
        <f t="shared" si="3"/>
        <v>0</v>
      </c>
    </row>
    <row r="204" spans="1:13">
      <c r="A204" s="2">
        <f>IF(Participant_Data!A204="","",Participant_Data!A204)</f>
        <v>203</v>
      </c>
      <c r="B204" s="2" t="str">
        <f>IF(Participant_Data!B204="","",Participant_Data!B204)</f>
        <v/>
      </c>
      <c r="C204" s="3" t="str">
        <f>IF(Participant_Data!C204="","",Participant_Data!C204)</f>
        <v/>
      </c>
      <c r="D204" s="5"/>
      <c r="E204" s="5"/>
      <c r="F204" s="5"/>
      <c r="G204" s="5"/>
      <c r="H204" s="5"/>
      <c r="I204" s="5"/>
      <c r="J204" s="2" t="str">
        <f t="shared" si="4"/>
        <v/>
      </c>
      <c r="K204" s="5"/>
      <c r="M204">
        <f t="shared" si="3"/>
        <v>0</v>
      </c>
    </row>
    <row r="205" spans="1:13">
      <c r="A205" s="2">
        <f>IF(Participant_Data!A205="","",Participant_Data!A205)</f>
        <v>204</v>
      </c>
      <c r="B205" s="2" t="str">
        <f>IF(Participant_Data!B205="","",Participant_Data!B205)</f>
        <v/>
      </c>
      <c r="C205" s="3" t="str">
        <f>IF(Participant_Data!C205="","",Participant_Data!C205)</f>
        <v/>
      </c>
      <c r="D205" s="5"/>
      <c r="E205" s="5"/>
      <c r="F205" s="5"/>
      <c r="G205" s="5"/>
      <c r="H205" s="5"/>
      <c r="I205" s="5"/>
      <c r="J205" s="2" t="str">
        <f t="shared" si="4"/>
        <v/>
      </c>
      <c r="K205" s="5"/>
      <c r="M205">
        <f t="shared" si="3"/>
        <v>0</v>
      </c>
    </row>
    <row r="206" spans="1:13">
      <c r="A206" s="2">
        <f>IF(Participant_Data!A206="","",Participant_Data!A206)</f>
        <v>205</v>
      </c>
      <c r="B206" s="2" t="str">
        <f>IF(Participant_Data!B206="","",Participant_Data!B206)</f>
        <v/>
      </c>
      <c r="C206" s="3" t="str">
        <f>IF(Participant_Data!C206="","",Participant_Data!C206)</f>
        <v/>
      </c>
      <c r="D206" s="5"/>
      <c r="E206" s="5"/>
      <c r="F206" s="5"/>
      <c r="G206" s="5"/>
      <c r="H206" s="5"/>
      <c r="I206" s="5"/>
      <c r="J206" s="2" t="str">
        <f t="shared" si="4"/>
        <v/>
      </c>
      <c r="K206" s="5"/>
      <c r="M206">
        <f t="shared" si="3"/>
        <v>0</v>
      </c>
    </row>
    <row r="207" spans="1:13">
      <c r="A207" s="2">
        <f>IF(Participant_Data!A207="","",Participant_Data!A207)</f>
        <v>206</v>
      </c>
      <c r="B207" s="2" t="str">
        <f>IF(Participant_Data!B207="","",Participant_Data!B207)</f>
        <v/>
      </c>
      <c r="C207" s="3" t="str">
        <f>IF(Participant_Data!C207="","",Participant_Data!C207)</f>
        <v/>
      </c>
      <c r="D207" s="5"/>
      <c r="E207" s="5"/>
      <c r="F207" s="5"/>
      <c r="G207" s="5"/>
      <c r="H207" s="5"/>
      <c r="I207" s="5"/>
      <c r="J207" s="2" t="str">
        <f t="shared" si="4"/>
        <v/>
      </c>
      <c r="K207" s="5"/>
      <c r="M207">
        <f t="shared" si="3"/>
        <v>0</v>
      </c>
    </row>
    <row r="208" spans="1:13">
      <c r="A208" s="2">
        <f>IF(Participant_Data!A208="","",Participant_Data!A208)</f>
        <v>207</v>
      </c>
      <c r="B208" s="2" t="str">
        <f>IF(Participant_Data!B208="","",Participant_Data!B208)</f>
        <v/>
      </c>
      <c r="C208" s="3" t="str">
        <f>IF(Participant_Data!C208="","",Participant_Data!C208)</f>
        <v/>
      </c>
      <c r="D208" s="5"/>
      <c r="E208" s="5"/>
      <c r="F208" s="5"/>
      <c r="G208" s="5"/>
      <c r="H208" s="5"/>
      <c r="I208" s="5"/>
      <c r="J208" s="2" t="str">
        <f t="shared" si="4"/>
        <v/>
      </c>
      <c r="K208" s="5"/>
      <c r="M208">
        <f t="shared" si="3"/>
        <v>0</v>
      </c>
    </row>
    <row r="209" spans="1:13">
      <c r="A209" s="2">
        <f>IF(Participant_Data!A209="","",Participant_Data!A209)</f>
        <v>208</v>
      </c>
      <c r="B209" s="2" t="str">
        <f>IF(Participant_Data!B209="","",Participant_Data!B209)</f>
        <v/>
      </c>
      <c r="C209" s="3" t="str">
        <f>IF(Participant_Data!C209="","",Participant_Data!C209)</f>
        <v/>
      </c>
      <c r="D209" s="5"/>
      <c r="E209" s="5"/>
      <c r="F209" s="5"/>
      <c r="G209" s="5"/>
      <c r="H209" s="5"/>
      <c r="I209" s="5"/>
      <c r="J209" s="2" t="str">
        <f t="shared" si="4"/>
        <v/>
      </c>
      <c r="K209" s="5"/>
      <c r="M209">
        <f t="shared" si="3"/>
        <v>0</v>
      </c>
    </row>
    <row r="210" spans="1:13">
      <c r="A210" s="2">
        <f>IF(Participant_Data!A210="","",Participant_Data!A210)</f>
        <v>209</v>
      </c>
      <c r="B210" s="2" t="str">
        <f>IF(Participant_Data!B210="","",Participant_Data!B210)</f>
        <v/>
      </c>
      <c r="C210" s="3" t="str">
        <f>IF(Participant_Data!C210="","",Participant_Data!C210)</f>
        <v/>
      </c>
      <c r="D210" s="5"/>
      <c r="E210" s="5"/>
      <c r="F210" s="5"/>
      <c r="G210" s="5"/>
      <c r="H210" s="5"/>
      <c r="I210" s="5"/>
      <c r="J210" s="2" t="str">
        <f t="shared" si="4"/>
        <v/>
      </c>
      <c r="K210" s="5"/>
      <c r="M210">
        <f t="shared" si="3"/>
        <v>0</v>
      </c>
    </row>
    <row r="211" spans="1:13">
      <c r="A211" s="2">
        <f>IF(Participant_Data!A211="","",Participant_Data!A211)</f>
        <v>210</v>
      </c>
      <c r="B211" s="2" t="str">
        <f>IF(Participant_Data!B211="","",Participant_Data!B211)</f>
        <v/>
      </c>
      <c r="C211" s="3" t="str">
        <f>IF(Participant_Data!C211="","",Participant_Data!C211)</f>
        <v/>
      </c>
      <c r="D211" s="5"/>
      <c r="E211" s="5"/>
      <c r="F211" s="5"/>
      <c r="G211" s="5"/>
      <c r="H211" s="5"/>
      <c r="I211" s="5"/>
      <c r="J211" s="2" t="str">
        <f t="shared" si="4"/>
        <v/>
      </c>
      <c r="K211" s="5"/>
      <c r="M211">
        <f t="shared" si="3"/>
        <v>0</v>
      </c>
    </row>
    <row r="212" spans="1:13">
      <c r="A212" s="2">
        <f>IF(Participant_Data!A212="","",Participant_Data!A212)</f>
        <v>211</v>
      </c>
      <c r="B212" s="2" t="str">
        <f>IF(Participant_Data!B212="","",Participant_Data!B212)</f>
        <v/>
      </c>
      <c r="C212" s="3" t="str">
        <f>IF(Participant_Data!C212="","",Participant_Data!C212)</f>
        <v/>
      </c>
      <c r="D212" s="5"/>
      <c r="E212" s="5"/>
      <c r="F212" s="5"/>
      <c r="G212" s="5"/>
      <c r="H212" s="5"/>
      <c r="I212" s="5"/>
      <c r="J212" s="2" t="str">
        <f t="shared" si="4"/>
        <v/>
      </c>
      <c r="K212" s="5"/>
      <c r="M212">
        <f t="shared" si="3"/>
        <v>0</v>
      </c>
    </row>
    <row r="213" spans="1:13">
      <c r="A213" s="2">
        <f>IF(Participant_Data!A213="","",Participant_Data!A213)</f>
        <v>212</v>
      </c>
      <c r="B213" s="2" t="str">
        <f>IF(Participant_Data!B213="","",Participant_Data!B213)</f>
        <v/>
      </c>
      <c r="C213" s="3" t="str">
        <f>IF(Participant_Data!C213="","",Participant_Data!C213)</f>
        <v/>
      </c>
      <c r="D213" s="5"/>
      <c r="E213" s="5"/>
      <c r="F213" s="5"/>
      <c r="G213" s="5"/>
      <c r="H213" s="5"/>
      <c r="I213" s="5"/>
      <c r="J213" s="2" t="str">
        <f t="shared" si="4"/>
        <v/>
      </c>
      <c r="K213" s="5"/>
      <c r="M213">
        <f t="shared" si="3"/>
        <v>0</v>
      </c>
    </row>
    <row r="214" spans="1:13">
      <c r="A214" s="2">
        <f>IF(Participant_Data!A214="","",Participant_Data!A214)</f>
        <v>213</v>
      </c>
      <c r="B214" s="2" t="str">
        <f>IF(Participant_Data!B214="","",Participant_Data!B214)</f>
        <v/>
      </c>
      <c r="C214" s="3" t="str">
        <f>IF(Participant_Data!C214="","",Participant_Data!C214)</f>
        <v/>
      </c>
      <c r="D214" s="5"/>
      <c r="E214" s="5"/>
      <c r="F214" s="5"/>
      <c r="G214" s="5"/>
      <c r="H214" s="5"/>
      <c r="I214" s="5"/>
      <c r="J214" s="2" t="str">
        <f t="shared" si="4"/>
        <v/>
      </c>
      <c r="K214" s="5"/>
      <c r="M214">
        <f t="shared" si="3"/>
        <v>0</v>
      </c>
    </row>
    <row r="215" spans="1:13">
      <c r="A215" s="2">
        <f>IF(Participant_Data!A215="","",Participant_Data!A215)</f>
        <v>214</v>
      </c>
      <c r="B215" s="2" t="str">
        <f>IF(Participant_Data!B215="","",Participant_Data!B215)</f>
        <v/>
      </c>
      <c r="C215" s="3" t="str">
        <f>IF(Participant_Data!C215="","",Participant_Data!C215)</f>
        <v/>
      </c>
      <c r="D215" s="5"/>
      <c r="E215" s="5"/>
      <c r="F215" s="5"/>
      <c r="G215" s="5"/>
      <c r="H215" s="5"/>
      <c r="I215" s="5"/>
      <c r="J215" s="2" t="str">
        <f t="shared" si="4"/>
        <v/>
      </c>
      <c r="K215" s="5"/>
      <c r="M215">
        <f t="shared" si="3"/>
        <v>0</v>
      </c>
    </row>
    <row r="216" spans="1:13">
      <c r="A216" s="2">
        <f>IF(Participant_Data!A216="","",Participant_Data!A216)</f>
        <v>215</v>
      </c>
      <c r="B216" s="2" t="str">
        <f>IF(Participant_Data!B216="","",Participant_Data!B216)</f>
        <v/>
      </c>
      <c r="C216" s="3" t="str">
        <f>IF(Participant_Data!C216="","",Participant_Data!C216)</f>
        <v/>
      </c>
      <c r="D216" s="5"/>
      <c r="E216" s="5"/>
      <c r="F216" s="5"/>
      <c r="G216" s="5"/>
      <c r="H216" s="5"/>
      <c r="I216" s="5"/>
      <c r="J216" s="2" t="str">
        <f t="shared" si="4"/>
        <v/>
      </c>
      <c r="K216" s="5"/>
      <c r="M216">
        <f t="shared" si="3"/>
        <v>0</v>
      </c>
    </row>
    <row r="217" spans="1:13">
      <c r="A217" s="2">
        <f>IF(Participant_Data!A217="","",Participant_Data!A217)</f>
        <v>216</v>
      </c>
      <c r="B217" s="2" t="str">
        <f>IF(Participant_Data!B217="","",Participant_Data!B217)</f>
        <v/>
      </c>
      <c r="C217" s="3" t="str">
        <f>IF(Participant_Data!C217="","",Participant_Data!C217)</f>
        <v/>
      </c>
      <c r="D217" s="5"/>
      <c r="E217" s="5"/>
      <c r="F217" s="5"/>
      <c r="G217" s="5"/>
      <c r="H217" s="5"/>
      <c r="I217" s="5"/>
      <c r="J217" s="2" t="str">
        <f t="shared" si="4"/>
        <v/>
      </c>
      <c r="K217" s="5"/>
      <c r="M217">
        <f t="shared" si="3"/>
        <v>0</v>
      </c>
    </row>
    <row r="218" spans="1:13">
      <c r="A218" s="2">
        <f>IF(Participant_Data!A218="","",Participant_Data!A218)</f>
        <v>217</v>
      </c>
      <c r="B218" s="2" t="str">
        <f>IF(Participant_Data!B218="","",Participant_Data!B218)</f>
        <v/>
      </c>
      <c r="C218" s="3" t="str">
        <f>IF(Participant_Data!C218="","",Participant_Data!C218)</f>
        <v/>
      </c>
      <c r="D218" s="5"/>
      <c r="E218" s="5"/>
      <c r="F218" s="5"/>
      <c r="G218" s="5"/>
      <c r="H218" s="5"/>
      <c r="I218" s="5"/>
      <c r="J218" s="2" t="str">
        <f t="shared" si="4"/>
        <v/>
      </c>
      <c r="K218" s="5"/>
      <c r="M218">
        <f t="shared" si="3"/>
        <v>0</v>
      </c>
    </row>
    <row r="219" spans="1:13">
      <c r="A219" s="2">
        <f>IF(Participant_Data!A219="","",Participant_Data!A219)</f>
        <v>218</v>
      </c>
      <c r="B219" s="2" t="str">
        <f>IF(Participant_Data!B219="","",Participant_Data!B219)</f>
        <v/>
      </c>
      <c r="C219" s="3" t="str">
        <f>IF(Participant_Data!C219="","",Participant_Data!C219)</f>
        <v/>
      </c>
      <c r="D219" s="5"/>
      <c r="E219" s="5"/>
      <c r="F219" s="5"/>
      <c r="G219" s="5"/>
      <c r="H219" s="5"/>
      <c r="I219" s="5"/>
      <c r="J219" s="2" t="str">
        <f t="shared" si="4"/>
        <v/>
      </c>
      <c r="K219" s="5"/>
      <c r="M219">
        <f t="shared" si="3"/>
        <v>0</v>
      </c>
    </row>
    <row r="220" spans="1:13">
      <c r="A220" s="2">
        <f>IF(Participant_Data!A220="","",Participant_Data!A220)</f>
        <v>219</v>
      </c>
      <c r="B220" s="2" t="str">
        <f>IF(Participant_Data!B220="","",Participant_Data!B220)</f>
        <v/>
      </c>
      <c r="C220" s="3" t="str">
        <f>IF(Participant_Data!C220="","",Participant_Data!C220)</f>
        <v/>
      </c>
      <c r="D220" s="5"/>
      <c r="E220" s="5"/>
      <c r="F220" s="5"/>
      <c r="G220" s="5"/>
      <c r="H220" s="5"/>
      <c r="I220" s="5"/>
      <c r="J220" s="2" t="str">
        <f t="shared" si="4"/>
        <v/>
      </c>
      <c r="K220" s="5"/>
      <c r="M220">
        <f t="shared" si="3"/>
        <v>0</v>
      </c>
    </row>
    <row r="221" spans="1:13">
      <c r="A221" s="2">
        <f>IF(Participant_Data!A221="","",Participant_Data!A221)</f>
        <v>220</v>
      </c>
      <c r="B221" s="2" t="str">
        <f>IF(Participant_Data!B221="","",Participant_Data!B221)</f>
        <v/>
      </c>
      <c r="C221" s="3" t="str">
        <f>IF(Participant_Data!C221="","",Participant_Data!C221)</f>
        <v/>
      </c>
      <c r="D221" s="5"/>
      <c r="E221" s="5"/>
      <c r="F221" s="5"/>
      <c r="G221" s="5"/>
      <c r="H221" s="5"/>
      <c r="I221" s="5"/>
      <c r="J221" s="2" t="str">
        <f t="shared" si="4"/>
        <v/>
      </c>
      <c r="K221" s="5"/>
      <c r="M221">
        <f t="shared" si="3"/>
        <v>0</v>
      </c>
    </row>
    <row r="222" spans="1:13">
      <c r="A222" s="2">
        <f>IF(Participant_Data!A222="","",Participant_Data!A222)</f>
        <v>221</v>
      </c>
      <c r="B222" s="2" t="str">
        <f>IF(Participant_Data!B222="","",Participant_Data!B222)</f>
        <v/>
      </c>
      <c r="C222" s="3" t="str">
        <f>IF(Participant_Data!C222="","",Participant_Data!C222)</f>
        <v/>
      </c>
      <c r="D222" s="5"/>
      <c r="E222" s="5"/>
      <c r="F222" s="5"/>
      <c r="G222" s="5"/>
      <c r="H222" s="5"/>
      <c r="I222" s="5"/>
      <c r="J222" s="2" t="str">
        <f t="shared" si="4"/>
        <v/>
      </c>
      <c r="K222" s="5"/>
      <c r="M222">
        <f t="shared" si="3"/>
        <v>0</v>
      </c>
    </row>
    <row r="223" spans="1:13">
      <c r="A223" s="2">
        <f>IF(Participant_Data!A223="","",Participant_Data!A223)</f>
        <v>222</v>
      </c>
      <c r="B223" s="2" t="str">
        <f>IF(Participant_Data!B223="","",Participant_Data!B223)</f>
        <v/>
      </c>
      <c r="C223" s="3" t="str">
        <f>IF(Participant_Data!C223="","",Participant_Data!C223)</f>
        <v/>
      </c>
      <c r="D223" s="5"/>
      <c r="E223" s="5"/>
      <c r="F223" s="5"/>
      <c r="G223" s="5"/>
      <c r="H223" s="5"/>
      <c r="I223" s="5"/>
      <c r="J223" s="2" t="str">
        <f t="shared" si="4"/>
        <v/>
      </c>
      <c r="K223" s="5"/>
      <c r="M223">
        <f t="shared" si="3"/>
        <v>0</v>
      </c>
    </row>
    <row r="224" spans="1:13">
      <c r="A224" s="2">
        <f>IF(Participant_Data!A224="","",Participant_Data!A224)</f>
        <v>223</v>
      </c>
      <c r="B224" s="2" t="str">
        <f>IF(Participant_Data!B224="","",Participant_Data!B224)</f>
        <v/>
      </c>
      <c r="C224" s="3" t="str">
        <f>IF(Participant_Data!C224="","",Participant_Data!C224)</f>
        <v/>
      </c>
      <c r="D224" s="5"/>
      <c r="E224" s="5"/>
      <c r="F224" s="5"/>
      <c r="G224" s="5"/>
      <c r="H224" s="5"/>
      <c r="I224" s="5"/>
      <c r="J224" s="2" t="str">
        <f t="shared" si="4"/>
        <v/>
      </c>
      <c r="K224" s="5"/>
      <c r="M224">
        <f t="shared" si="3"/>
        <v>0</v>
      </c>
    </row>
    <row r="225" spans="1:13">
      <c r="A225" s="2">
        <f>IF(Participant_Data!A225="","",Participant_Data!A225)</f>
        <v>224</v>
      </c>
      <c r="B225" s="2" t="str">
        <f>IF(Participant_Data!B225="","",Participant_Data!B225)</f>
        <v/>
      </c>
      <c r="C225" s="3" t="str">
        <f>IF(Participant_Data!C225="","",Participant_Data!C225)</f>
        <v/>
      </c>
      <c r="D225" s="5"/>
      <c r="E225" s="5"/>
      <c r="F225" s="5"/>
      <c r="G225" s="5"/>
      <c r="H225" s="5"/>
      <c r="I225" s="5"/>
      <c r="J225" s="2" t="str">
        <f t="shared" si="4"/>
        <v/>
      </c>
      <c r="K225" s="5"/>
      <c r="M225">
        <f t="shared" si="3"/>
        <v>0</v>
      </c>
    </row>
    <row r="226" spans="1:13">
      <c r="A226" s="2">
        <f>IF(Participant_Data!A226="","",Participant_Data!A226)</f>
        <v>225</v>
      </c>
      <c r="B226" s="2" t="str">
        <f>IF(Participant_Data!B226="","",Participant_Data!B226)</f>
        <v/>
      </c>
      <c r="C226" s="3" t="str">
        <f>IF(Participant_Data!C226="","",Participant_Data!C226)</f>
        <v/>
      </c>
      <c r="D226" s="5"/>
      <c r="E226" s="5"/>
      <c r="F226" s="5"/>
      <c r="G226" s="5"/>
      <c r="H226" s="5"/>
      <c r="I226" s="5"/>
      <c r="J226" s="2" t="str">
        <f t="shared" si="4"/>
        <v/>
      </c>
      <c r="K226" s="5"/>
      <c r="M226">
        <f t="shared" si="3"/>
        <v>0</v>
      </c>
    </row>
    <row r="227" spans="1:13">
      <c r="A227" s="2">
        <f>IF(Participant_Data!A227="","",Participant_Data!A227)</f>
        <v>226</v>
      </c>
      <c r="B227" s="2" t="str">
        <f>IF(Participant_Data!B227="","",Participant_Data!B227)</f>
        <v/>
      </c>
      <c r="C227" s="3" t="str">
        <f>IF(Participant_Data!C227="","",Participant_Data!C227)</f>
        <v/>
      </c>
      <c r="D227" s="5"/>
      <c r="E227" s="5"/>
      <c r="F227" s="5"/>
      <c r="G227" s="5"/>
      <c r="H227" s="5"/>
      <c r="I227" s="5"/>
      <c r="J227" s="2" t="str">
        <f t="shared" si="4"/>
        <v/>
      </c>
      <c r="K227" s="5"/>
      <c r="M227">
        <f t="shared" si="3"/>
        <v>0</v>
      </c>
    </row>
    <row r="228" spans="1:13">
      <c r="A228" s="2">
        <f>IF(Participant_Data!A228="","",Participant_Data!A228)</f>
        <v>227</v>
      </c>
      <c r="B228" s="2" t="str">
        <f>IF(Participant_Data!B228="","",Participant_Data!B228)</f>
        <v/>
      </c>
      <c r="C228" s="3" t="str">
        <f>IF(Participant_Data!C228="","",Participant_Data!C228)</f>
        <v/>
      </c>
      <c r="D228" s="5"/>
      <c r="E228" s="5"/>
      <c r="F228" s="5"/>
      <c r="G228" s="5"/>
      <c r="H228" s="5"/>
      <c r="I228" s="5"/>
      <c r="J228" s="2" t="str">
        <f t="shared" si="4"/>
        <v/>
      </c>
      <c r="K228" s="5"/>
      <c r="M228">
        <f t="shared" si="3"/>
        <v>0</v>
      </c>
    </row>
    <row r="229" spans="1:13">
      <c r="A229" s="2">
        <f>IF(Participant_Data!A229="","",Participant_Data!A229)</f>
        <v>228</v>
      </c>
      <c r="B229" s="2" t="str">
        <f>IF(Participant_Data!B229="","",Participant_Data!B229)</f>
        <v/>
      </c>
      <c r="C229" s="3" t="str">
        <f>IF(Participant_Data!C229="","",Participant_Data!C229)</f>
        <v/>
      </c>
      <c r="D229" s="5"/>
      <c r="E229" s="5"/>
      <c r="F229" s="5"/>
      <c r="G229" s="5"/>
      <c r="H229" s="5"/>
      <c r="I229" s="5"/>
      <c r="J229" s="2" t="str">
        <f t="shared" si="4"/>
        <v/>
      </c>
      <c r="K229" s="5"/>
      <c r="M229">
        <f t="shared" si="3"/>
        <v>0</v>
      </c>
    </row>
    <row r="230" spans="1:13">
      <c r="A230" s="2">
        <f>IF(Participant_Data!A230="","",Participant_Data!A230)</f>
        <v>229</v>
      </c>
      <c r="B230" s="2" t="str">
        <f>IF(Participant_Data!B230="","",Participant_Data!B230)</f>
        <v/>
      </c>
      <c r="C230" s="3" t="str">
        <f>IF(Participant_Data!C230="","",Participant_Data!C230)</f>
        <v/>
      </c>
      <c r="D230" s="5"/>
      <c r="E230" s="5"/>
      <c r="F230" s="5"/>
      <c r="G230" s="5"/>
      <c r="H230" s="5"/>
      <c r="I230" s="5"/>
      <c r="J230" s="2" t="str">
        <f t="shared" si="4"/>
        <v/>
      </c>
      <c r="K230" s="5"/>
      <c r="M230">
        <f t="shared" si="3"/>
        <v>0</v>
      </c>
    </row>
    <row r="231" spans="1:13">
      <c r="A231" s="2">
        <f>IF(Participant_Data!A231="","",Participant_Data!A231)</f>
        <v>230</v>
      </c>
      <c r="B231" s="2" t="str">
        <f>IF(Participant_Data!B231="","",Participant_Data!B231)</f>
        <v/>
      </c>
      <c r="C231" s="3" t="str">
        <f>IF(Participant_Data!C231="","",Participant_Data!C231)</f>
        <v/>
      </c>
      <c r="D231" s="5"/>
      <c r="E231" s="5"/>
      <c r="F231" s="5"/>
      <c r="G231" s="5"/>
      <c r="H231" s="5"/>
      <c r="I231" s="5"/>
      <c r="J231" s="2" t="str">
        <f t="shared" si="4"/>
        <v/>
      </c>
      <c r="K231" s="5"/>
      <c r="M231">
        <f t="shared" si="3"/>
        <v>0</v>
      </c>
    </row>
    <row r="232" spans="1:13">
      <c r="A232" s="2">
        <f>IF(Participant_Data!A232="","",Participant_Data!A232)</f>
        <v>231</v>
      </c>
      <c r="B232" s="2" t="str">
        <f>IF(Participant_Data!B232="","",Participant_Data!B232)</f>
        <v/>
      </c>
      <c r="C232" s="3" t="str">
        <f>IF(Participant_Data!C232="","",Participant_Data!C232)</f>
        <v/>
      </c>
      <c r="D232" s="5"/>
      <c r="E232" s="5"/>
      <c r="F232" s="5"/>
      <c r="G232" s="5"/>
      <c r="H232" s="5"/>
      <c r="I232" s="5"/>
      <c r="J232" s="2" t="str">
        <f t="shared" si="4"/>
        <v/>
      </c>
      <c r="K232" s="5"/>
      <c r="M232">
        <f t="shared" si="3"/>
        <v>0</v>
      </c>
    </row>
    <row r="233" spans="1:13">
      <c r="A233" s="2">
        <f>IF(Participant_Data!A233="","",Participant_Data!A233)</f>
        <v>232</v>
      </c>
      <c r="B233" s="2" t="str">
        <f>IF(Participant_Data!B233="","",Participant_Data!B233)</f>
        <v/>
      </c>
      <c r="C233" s="3" t="str">
        <f>IF(Participant_Data!C233="","",Participant_Data!C233)</f>
        <v/>
      </c>
      <c r="D233" s="5"/>
      <c r="E233" s="5"/>
      <c r="F233" s="5"/>
      <c r="G233" s="5"/>
      <c r="H233" s="5"/>
      <c r="I233" s="5"/>
      <c r="J233" s="2" t="str">
        <f t="shared" si="4"/>
        <v/>
      </c>
      <c r="K233" s="5"/>
      <c r="M233">
        <f t="shared" si="3"/>
        <v>0</v>
      </c>
    </row>
    <row r="234" spans="1:13">
      <c r="A234" s="2">
        <f>IF(Participant_Data!A234="","",Participant_Data!A234)</f>
        <v>233</v>
      </c>
      <c r="B234" s="2" t="str">
        <f>IF(Participant_Data!B234="","",Participant_Data!B234)</f>
        <v/>
      </c>
      <c r="C234" s="3" t="str">
        <f>IF(Participant_Data!C234="","",Participant_Data!C234)</f>
        <v/>
      </c>
      <c r="D234" s="5"/>
      <c r="E234" s="5"/>
      <c r="F234" s="5"/>
      <c r="G234" s="5"/>
      <c r="H234" s="5"/>
      <c r="I234" s="5"/>
      <c r="J234" s="2" t="str">
        <f t="shared" ref="J234:J265" si="5">IF(COUNTA(E234:I234)=0,"",SUM(E234:I234))</f>
        <v/>
      </c>
      <c r="K234" s="5"/>
      <c r="M234">
        <f t="shared" si="3"/>
        <v>0</v>
      </c>
    </row>
    <row r="235" spans="1:13">
      <c r="A235" s="2">
        <f>IF(Participant_Data!A235="","",Participant_Data!A235)</f>
        <v>234</v>
      </c>
      <c r="B235" s="2" t="str">
        <f>IF(Participant_Data!B235="","",Participant_Data!B235)</f>
        <v/>
      </c>
      <c r="C235" s="3" t="str">
        <f>IF(Participant_Data!C235="","",Participant_Data!C235)</f>
        <v/>
      </c>
      <c r="D235" s="5"/>
      <c r="E235" s="5"/>
      <c r="F235" s="5"/>
      <c r="G235" s="5"/>
      <c r="H235" s="5"/>
      <c r="I235" s="5"/>
      <c r="J235" s="2" t="str">
        <f t="shared" si="5"/>
        <v/>
      </c>
      <c r="K235" s="5"/>
      <c r="M235">
        <f t="shared" si="3"/>
        <v>0</v>
      </c>
    </row>
    <row r="236" spans="1:13">
      <c r="A236" s="2">
        <f>IF(Participant_Data!A236="","",Participant_Data!A236)</f>
        <v>235</v>
      </c>
      <c r="B236" s="2" t="str">
        <f>IF(Participant_Data!B236="","",Participant_Data!B236)</f>
        <v/>
      </c>
      <c r="C236" s="3" t="str">
        <f>IF(Participant_Data!C236="","",Participant_Data!C236)</f>
        <v/>
      </c>
      <c r="D236" s="5"/>
      <c r="E236" s="5"/>
      <c r="F236" s="5"/>
      <c r="G236" s="5"/>
      <c r="H236" s="5"/>
      <c r="I236" s="5"/>
      <c r="J236" s="2" t="str">
        <f t="shared" si="5"/>
        <v/>
      </c>
      <c r="K236" s="5"/>
      <c r="M236">
        <f t="shared" si="3"/>
        <v>0</v>
      </c>
    </row>
    <row r="237" spans="1:13">
      <c r="A237" s="2">
        <f>IF(Participant_Data!A237="","",Participant_Data!A237)</f>
        <v>236</v>
      </c>
      <c r="B237" s="2" t="str">
        <f>IF(Participant_Data!B237="","",Participant_Data!B237)</f>
        <v/>
      </c>
      <c r="C237" s="3" t="str">
        <f>IF(Participant_Data!C237="","",Participant_Data!C237)</f>
        <v/>
      </c>
      <c r="D237" s="5"/>
      <c r="E237" s="5"/>
      <c r="F237" s="5"/>
      <c r="G237" s="5"/>
      <c r="H237" s="5"/>
      <c r="I237" s="5"/>
      <c r="J237" s="2" t="str">
        <f t="shared" si="5"/>
        <v/>
      </c>
      <c r="K237" s="5"/>
      <c r="M237">
        <f t="shared" si="3"/>
        <v>0</v>
      </c>
    </row>
    <row r="238" spans="1:13">
      <c r="A238" s="2">
        <f>IF(Participant_Data!A238="","",Participant_Data!A238)</f>
        <v>237</v>
      </c>
      <c r="B238" s="2" t="str">
        <f>IF(Participant_Data!B238="","",Participant_Data!B238)</f>
        <v/>
      </c>
      <c r="C238" s="3" t="str">
        <f>IF(Participant_Data!C238="","",Participant_Data!C238)</f>
        <v/>
      </c>
      <c r="D238" s="5"/>
      <c r="E238" s="5"/>
      <c r="F238" s="5"/>
      <c r="G238" s="5"/>
      <c r="H238" s="5"/>
      <c r="I238" s="5"/>
      <c r="J238" s="2" t="str">
        <f t="shared" si="5"/>
        <v/>
      </c>
      <c r="K238" s="5"/>
      <c r="M238">
        <f t="shared" si="3"/>
        <v>0</v>
      </c>
    </row>
    <row r="239" spans="1:13">
      <c r="A239" s="2">
        <f>IF(Participant_Data!A239="","",Participant_Data!A239)</f>
        <v>238</v>
      </c>
      <c r="B239" s="2" t="str">
        <f>IF(Participant_Data!B239="","",Participant_Data!B239)</f>
        <v/>
      </c>
      <c r="C239" s="3" t="str">
        <f>IF(Participant_Data!C239="","",Participant_Data!C239)</f>
        <v/>
      </c>
      <c r="D239" s="5"/>
      <c r="E239" s="5"/>
      <c r="F239" s="5"/>
      <c r="G239" s="5"/>
      <c r="H239" s="5"/>
      <c r="I239" s="5"/>
      <c r="J239" s="2" t="str">
        <f t="shared" si="5"/>
        <v/>
      </c>
      <c r="K239" s="5"/>
      <c r="M239">
        <f t="shared" si="3"/>
        <v>0</v>
      </c>
    </row>
    <row r="240" spans="1:13">
      <c r="A240" s="2">
        <f>IF(Participant_Data!A240="","",Participant_Data!A240)</f>
        <v>239</v>
      </c>
      <c r="B240" s="2" t="str">
        <f>IF(Participant_Data!B240="","",Participant_Data!B240)</f>
        <v/>
      </c>
      <c r="C240" s="3" t="str">
        <f>IF(Participant_Data!C240="","",Participant_Data!C240)</f>
        <v/>
      </c>
      <c r="D240" s="5"/>
      <c r="E240" s="5"/>
      <c r="F240" s="5"/>
      <c r="G240" s="5"/>
      <c r="H240" s="5"/>
      <c r="I240" s="5"/>
      <c r="J240" s="2" t="str">
        <f t="shared" si="5"/>
        <v/>
      </c>
      <c r="K240" s="5"/>
      <c r="M240">
        <f t="shared" si="3"/>
        <v>0</v>
      </c>
    </row>
    <row r="241" spans="1:13">
      <c r="A241" s="2">
        <f>IF(Participant_Data!A241="","",Participant_Data!A241)</f>
        <v>240</v>
      </c>
      <c r="B241" s="2" t="str">
        <f>IF(Participant_Data!B241="","",Participant_Data!B241)</f>
        <v/>
      </c>
      <c r="C241" s="3" t="str">
        <f>IF(Participant_Data!C241="","",Participant_Data!C241)</f>
        <v/>
      </c>
      <c r="D241" s="5"/>
      <c r="E241" s="5"/>
      <c r="F241" s="5"/>
      <c r="G241" s="5"/>
      <c r="H241" s="5"/>
      <c r="I241" s="5"/>
      <c r="J241" s="2" t="str">
        <f t="shared" si="5"/>
        <v/>
      </c>
      <c r="K241" s="5"/>
      <c r="M241">
        <f t="shared" si="3"/>
        <v>0</v>
      </c>
    </row>
    <row r="242" spans="1:13">
      <c r="A242" s="2">
        <f>IF(Participant_Data!A242="","",Participant_Data!A242)</f>
        <v>241</v>
      </c>
      <c r="B242" s="2" t="str">
        <f>IF(Participant_Data!B242="","",Participant_Data!B242)</f>
        <v/>
      </c>
      <c r="C242" s="3" t="str">
        <f>IF(Participant_Data!C242="","",Participant_Data!C242)</f>
        <v/>
      </c>
      <c r="D242" s="5"/>
      <c r="E242" s="5"/>
      <c r="F242" s="5"/>
      <c r="G242" s="5"/>
      <c r="H242" s="5"/>
      <c r="I242" s="5"/>
      <c r="J242" s="2" t="str">
        <f t="shared" si="5"/>
        <v/>
      </c>
      <c r="K242" s="5"/>
      <c r="M242">
        <f t="shared" si="3"/>
        <v>0</v>
      </c>
    </row>
    <row r="243" spans="1:13">
      <c r="A243" s="2">
        <f>IF(Participant_Data!A243="","",Participant_Data!A243)</f>
        <v>242</v>
      </c>
      <c r="B243" s="2" t="str">
        <f>IF(Participant_Data!B243="","",Participant_Data!B243)</f>
        <v/>
      </c>
      <c r="C243" s="3" t="str">
        <f>IF(Participant_Data!C243="","",Participant_Data!C243)</f>
        <v/>
      </c>
      <c r="D243" s="5"/>
      <c r="E243" s="5"/>
      <c r="F243" s="5"/>
      <c r="G243" s="5"/>
      <c r="H243" s="5"/>
      <c r="I243" s="5"/>
      <c r="J243" s="2" t="str">
        <f t="shared" si="5"/>
        <v/>
      </c>
      <c r="K243" s="5"/>
      <c r="M243">
        <f t="shared" si="3"/>
        <v>0</v>
      </c>
    </row>
    <row r="244" spans="1:13">
      <c r="A244" s="2">
        <f>IF(Participant_Data!A244="","",Participant_Data!A244)</f>
        <v>243</v>
      </c>
      <c r="B244" s="2" t="str">
        <f>IF(Participant_Data!B244="","",Participant_Data!B244)</f>
        <v/>
      </c>
      <c r="C244" s="3" t="str">
        <f>IF(Participant_Data!C244="","",Participant_Data!C244)</f>
        <v/>
      </c>
      <c r="D244" s="5"/>
      <c r="E244" s="5"/>
      <c r="F244" s="5"/>
      <c r="G244" s="5"/>
      <c r="H244" s="5"/>
      <c r="I244" s="5"/>
      <c r="J244" s="2" t="str">
        <f t="shared" si="5"/>
        <v/>
      </c>
      <c r="K244" s="5"/>
      <c r="M244">
        <f t="shared" si="3"/>
        <v>0</v>
      </c>
    </row>
    <row r="245" spans="1:13">
      <c r="A245" s="2">
        <f>IF(Participant_Data!A245="","",Participant_Data!A245)</f>
        <v>244</v>
      </c>
      <c r="B245" s="2" t="str">
        <f>IF(Participant_Data!B245="","",Participant_Data!B245)</f>
        <v/>
      </c>
      <c r="C245" s="3" t="str">
        <f>IF(Participant_Data!C245="","",Participant_Data!C245)</f>
        <v/>
      </c>
      <c r="D245" s="5"/>
      <c r="E245" s="5"/>
      <c r="F245" s="5"/>
      <c r="G245" s="5"/>
      <c r="H245" s="5"/>
      <c r="I245" s="5"/>
      <c r="J245" s="2" t="str">
        <f t="shared" si="5"/>
        <v/>
      </c>
      <c r="K245" s="5"/>
      <c r="M245">
        <f t="shared" si="3"/>
        <v>0</v>
      </c>
    </row>
    <row r="246" spans="1:13">
      <c r="A246" s="2">
        <f>IF(Participant_Data!A246="","",Participant_Data!A246)</f>
        <v>245</v>
      </c>
      <c r="B246" s="2" t="str">
        <f>IF(Participant_Data!B246="","",Participant_Data!B246)</f>
        <v/>
      </c>
      <c r="C246" s="3" t="str">
        <f>IF(Participant_Data!C246="","",Participant_Data!C246)</f>
        <v/>
      </c>
      <c r="D246" s="5"/>
      <c r="E246" s="5"/>
      <c r="F246" s="5"/>
      <c r="G246" s="5"/>
      <c r="H246" s="5"/>
      <c r="I246" s="5"/>
      <c r="J246" s="2" t="str">
        <f t="shared" si="5"/>
        <v/>
      </c>
      <c r="K246" s="5"/>
      <c r="M246">
        <f t="shared" si="3"/>
        <v>0</v>
      </c>
    </row>
    <row r="247" spans="1:13">
      <c r="A247" s="2">
        <f>IF(Participant_Data!A247="","",Participant_Data!A247)</f>
        <v>246</v>
      </c>
      <c r="B247" s="2" t="str">
        <f>IF(Participant_Data!B247="","",Participant_Data!B247)</f>
        <v/>
      </c>
      <c r="C247" s="3" t="str">
        <f>IF(Participant_Data!C247="","",Participant_Data!C247)</f>
        <v/>
      </c>
      <c r="D247" s="5"/>
      <c r="E247" s="5"/>
      <c r="F247" s="5"/>
      <c r="G247" s="5"/>
      <c r="H247" s="5"/>
      <c r="I247" s="5"/>
      <c r="J247" s="2" t="str">
        <f t="shared" si="5"/>
        <v/>
      </c>
      <c r="K247" s="5"/>
      <c r="M247">
        <f t="shared" si="3"/>
        <v>0</v>
      </c>
    </row>
    <row r="248" spans="1:13">
      <c r="A248" s="2">
        <f>IF(Participant_Data!A248="","",Participant_Data!A248)</f>
        <v>247</v>
      </c>
      <c r="B248" s="2" t="str">
        <f>IF(Participant_Data!B248="","",Participant_Data!B248)</f>
        <v/>
      </c>
      <c r="C248" s="3" t="str">
        <f>IF(Participant_Data!C248="","",Participant_Data!C248)</f>
        <v/>
      </c>
      <c r="D248" s="5"/>
      <c r="E248" s="5"/>
      <c r="F248" s="5"/>
      <c r="G248" s="5"/>
      <c r="H248" s="5"/>
      <c r="I248" s="5"/>
      <c r="J248" s="2" t="str">
        <f t="shared" si="5"/>
        <v/>
      </c>
      <c r="K248" s="5"/>
      <c r="M248">
        <f t="shared" si="3"/>
        <v>0</v>
      </c>
    </row>
    <row r="249" spans="1:13">
      <c r="A249" s="2">
        <f>IF(Participant_Data!A249="","",Participant_Data!A249)</f>
        <v>248</v>
      </c>
      <c r="B249" s="2" t="str">
        <f>IF(Participant_Data!B249="","",Participant_Data!B249)</f>
        <v/>
      </c>
      <c r="C249" s="3" t="str">
        <f>IF(Participant_Data!C249="","",Participant_Data!C249)</f>
        <v/>
      </c>
      <c r="D249" s="5"/>
      <c r="E249" s="5"/>
      <c r="F249" s="5"/>
      <c r="G249" s="5"/>
      <c r="H249" s="5"/>
      <c r="I249" s="5"/>
      <c r="J249" s="2" t="str">
        <f t="shared" si="5"/>
        <v/>
      </c>
      <c r="K249" s="5"/>
      <c r="M249">
        <f t="shared" si="3"/>
        <v>0</v>
      </c>
    </row>
    <row r="250" spans="1:13">
      <c r="A250" s="2">
        <f>IF(Participant_Data!A250="","",Participant_Data!A250)</f>
        <v>249</v>
      </c>
      <c r="B250" s="2" t="str">
        <f>IF(Participant_Data!B250="","",Participant_Data!B250)</f>
        <v/>
      </c>
      <c r="C250" s="3" t="str">
        <f>IF(Participant_Data!C250="","",Participant_Data!C250)</f>
        <v/>
      </c>
      <c r="D250" s="5"/>
      <c r="E250" s="5"/>
      <c r="F250" s="5"/>
      <c r="G250" s="5"/>
      <c r="H250" s="5"/>
      <c r="I250" s="5"/>
      <c r="J250" s="2" t="str">
        <f t="shared" si="5"/>
        <v/>
      </c>
      <c r="K250" s="5"/>
      <c r="M250">
        <f t="shared" si="3"/>
        <v>0</v>
      </c>
    </row>
    <row r="251" spans="1:13">
      <c r="A251" s="2">
        <f>IF(Participant_Data!A251="","",Participant_Data!A251)</f>
        <v>250</v>
      </c>
      <c r="B251" s="2" t="str">
        <f>IF(Participant_Data!B251="","",Participant_Data!B251)</f>
        <v/>
      </c>
      <c r="C251" s="3" t="str">
        <f>IF(Participant_Data!C251="","",Participant_Data!C251)</f>
        <v/>
      </c>
      <c r="D251" s="5"/>
      <c r="E251" s="5"/>
      <c r="F251" s="5"/>
      <c r="G251" s="5"/>
      <c r="H251" s="5"/>
      <c r="I251" s="5"/>
      <c r="J251" s="2" t="str">
        <f t="shared" si="5"/>
        <v/>
      </c>
      <c r="K251" s="5"/>
      <c r="M251">
        <f t="shared" si="3"/>
        <v>0</v>
      </c>
    </row>
    <row r="252" spans="1:13">
      <c r="A252" s="2">
        <f>IF(Participant_Data!A252="","",Participant_Data!A252)</f>
        <v>251</v>
      </c>
      <c r="B252" s="2" t="str">
        <f>IF(Participant_Data!B252="","",Participant_Data!B252)</f>
        <v/>
      </c>
      <c r="C252" s="3" t="str">
        <f>IF(Participant_Data!C252="","",Participant_Data!C252)</f>
        <v/>
      </c>
      <c r="D252" s="5"/>
      <c r="E252" s="5"/>
      <c r="F252" s="5"/>
      <c r="G252" s="5"/>
      <c r="H252" s="5"/>
      <c r="I252" s="5"/>
      <c r="J252" s="2" t="str">
        <f t="shared" si="5"/>
        <v/>
      </c>
      <c r="K252" s="5"/>
      <c r="M252">
        <f t="shared" si="3"/>
        <v>0</v>
      </c>
    </row>
    <row r="253" spans="1:13">
      <c r="A253" s="2">
        <f>IF(Participant_Data!A253="","",Participant_Data!A253)</f>
        <v>252</v>
      </c>
      <c r="B253" s="2" t="str">
        <f>IF(Participant_Data!B253="","",Participant_Data!B253)</f>
        <v/>
      </c>
      <c r="C253" s="3" t="str">
        <f>IF(Participant_Data!C253="","",Participant_Data!C253)</f>
        <v/>
      </c>
      <c r="D253" s="5"/>
      <c r="E253" s="5"/>
      <c r="F253" s="5"/>
      <c r="G253" s="5"/>
      <c r="H253" s="5"/>
      <c r="I253" s="5"/>
      <c r="J253" s="2" t="str">
        <f t="shared" si="5"/>
        <v/>
      </c>
      <c r="K253" s="5"/>
      <c r="M253">
        <f t="shared" si="3"/>
        <v>0</v>
      </c>
    </row>
    <row r="254" spans="1:13">
      <c r="A254" s="2">
        <f>IF(Participant_Data!A254="","",Participant_Data!A254)</f>
        <v>253</v>
      </c>
      <c r="B254" s="2" t="str">
        <f>IF(Participant_Data!B254="","",Participant_Data!B254)</f>
        <v/>
      </c>
      <c r="C254" s="3" t="str">
        <f>IF(Participant_Data!C254="","",Participant_Data!C254)</f>
        <v/>
      </c>
      <c r="D254" s="5"/>
      <c r="E254" s="5"/>
      <c r="F254" s="5"/>
      <c r="G254" s="5"/>
      <c r="H254" s="5"/>
      <c r="I254" s="5"/>
      <c r="J254" s="2" t="str">
        <f t="shared" si="5"/>
        <v/>
      </c>
      <c r="K254" s="5"/>
      <c r="M254">
        <f t="shared" si="3"/>
        <v>0</v>
      </c>
    </row>
    <row r="255" spans="1:13">
      <c r="A255" s="2">
        <f>IF(Participant_Data!A255="","",Participant_Data!A255)</f>
        <v>254</v>
      </c>
      <c r="B255" s="2" t="str">
        <f>IF(Participant_Data!B255="","",Participant_Data!B255)</f>
        <v/>
      </c>
      <c r="C255" s="3" t="str">
        <f>IF(Participant_Data!C255="","",Participant_Data!C255)</f>
        <v/>
      </c>
      <c r="D255" s="5"/>
      <c r="E255" s="5"/>
      <c r="F255" s="5"/>
      <c r="G255" s="5"/>
      <c r="H255" s="5"/>
      <c r="I255" s="5"/>
      <c r="J255" s="2" t="str">
        <f t="shared" si="5"/>
        <v/>
      </c>
      <c r="K255" s="5"/>
      <c r="M255">
        <f t="shared" si="3"/>
        <v>0</v>
      </c>
    </row>
    <row r="256" spans="1:13">
      <c r="A256" s="2">
        <f>IF(Participant_Data!A256="","",Participant_Data!A256)</f>
        <v>255</v>
      </c>
      <c r="B256" s="2" t="str">
        <f>IF(Participant_Data!B256="","",Participant_Data!B256)</f>
        <v/>
      </c>
      <c r="C256" s="3" t="str">
        <f>IF(Participant_Data!C256="","",Participant_Data!C256)</f>
        <v/>
      </c>
      <c r="D256" s="5"/>
      <c r="E256" s="5"/>
      <c r="F256" s="5"/>
      <c r="G256" s="5"/>
      <c r="H256" s="5"/>
      <c r="I256" s="5"/>
      <c r="J256" s="2" t="str">
        <f t="shared" si="5"/>
        <v/>
      </c>
      <c r="K256" s="5"/>
      <c r="M256">
        <f t="shared" si="3"/>
        <v>0</v>
      </c>
    </row>
    <row r="257" spans="1:13">
      <c r="A257" s="2">
        <f>IF(Participant_Data!A257="","",Participant_Data!A257)</f>
        <v>256</v>
      </c>
      <c r="B257" s="2" t="str">
        <f>IF(Participant_Data!B257="","",Participant_Data!B257)</f>
        <v/>
      </c>
      <c r="C257" s="3" t="str">
        <f>IF(Participant_Data!C257="","",Participant_Data!C257)</f>
        <v/>
      </c>
      <c r="D257" s="5"/>
      <c r="E257" s="5"/>
      <c r="F257" s="5"/>
      <c r="G257" s="5"/>
      <c r="H257" s="5"/>
      <c r="I257" s="5"/>
      <c r="J257" s="2" t="str">
        <f t="shared" si="5"/>
        <v/>
      </c>
      <c r="K257" s="5"/>
      <c r="M257">
        <f t="shared" si="3"/>
        <v>0</v>
      </c>
    </row>
    <row r="258" spans="1:13">
      <c r="A258" s="2">
        <f>IF(Participant_Data!A258="","",Participant_Data!A258)</f>
        <v>257</v>
      </c>
      <c r="B258" s="2" t="str">
        <f>IF(Participant_Data!B258="","",Participant_Data!B258)</f>
        <v/>
      </c>
      <c r="C258" s="3" t="str">
        <f>IF(Participant_Data!C258="","",Participant_Data!C258)</f>
        <v/>
      </c>
      <c r="D258" s="5"/>
      <c r="E258" s="5"/>
      <c r="F258" s="5"/>
      <c r="G258" s="5"/>
      <c r="H258" s="5"/>
      <c r="I258" s="5"/>
      <c r="J258" s="2" t="str">
        <f t="shared" si="5"/>
        <v/>
      </c>
      <c r="K258" s="5"/>
      <c r="M258">
        <f t="shared" ref="M258:M301" si="6">SUM(E258:K258)</f>
        <v>0</v>
      </c>
    </row>
    <row r="259" spans="1:13">
      <c r="A259" s="2">
        <f>IF(Participant_Data!A259="","",Participant_Data!A259)</f>
        <v>258</v>
      </c>
      <c r="B259" s="2" t="str">
        <f>IF(Participant_Data!B259="","",Participant_Data!B259)</f>
        <v/>
      </c>
      <c r="C259" s="3" t="str">
        <f>IF(Participant_Data!C259="","",Participant_Data!C259)</f>
        <v/>
      </c>
      <c r="D259" s="5"/>
      <c r="E259" s="5"/>
      <c r="F259" s="5"/>
      <c r="G259" s="5"/>
      <c r="H259" s="5"/>
      <c r="I259" s="5"/>
      <c r="J259" s="2" t="str">
        <f t="shared" si="5"/>
        <v/>
      </c>
      <c r="K259" s="5"/>
      <c r="M259">
        <f t="shared" si="6"/>
        <v>0</v>
      </c>
    </row>
    <row r="260" spans="1:13">
      <c r="A260" s="2">
        <f>IF(Participant_Data!A260="","",Participant_Data!A260)</f>
        <v>259</v>
      </c>
      <c r="B260" s="2" t="str">
        <f>IF(Participant_Data!B260="","",Participant_Data!B260)</f>
        <v/>
      </c>
      <c r="C260" s="3" t="str">
        <f>IF(Participant_Data!C260="","",Participant_Data!C260)</f>
        <v/>
      </c>
      <c r="D260" s="5"/>
      <c r="E260" s="5"/>
      <c r="F260" s="5"/>
      <c r="G260" s="5"/>
      <c r="H260" s="5"/>
      <c r="I260" s="5"/>
      <c r="J260" s="2" t="str">
        <f t="shared" si="5"/>
        <v/>
      </c>
      <c r="K260" s="5"/>
      <c r="M260">
        <f t="shared" si="6"/>
        <v>0</v>
      </c>
    </row>
    <row r="261" spans="1:13">
      <c r="A261" s="2">
        <f>IF(Participant_Data!A261="","",Participant_Data!A261)</f>
        <v>260</v>
      </c>
      <c r="B261" s="2" t="str">
        <f>IF(Participant_Data!B261="","",Participant_Data!B261)</f>
        <v/>
      </c>
      <c r="C261" s="3" t="str">
        <f>IF(Participant_Data!C261="","",Participant_Data!C261)</f>
        <v/>
      </c>
      <c r="D261" s="5"/>
      <c r="E261" s="5"/>
      <c r="F261" s="5"/>
      <c r="G261" s="5"/>
      <c r="H261" s="5"/>
      <c r="I261" s="5"/>
      <c r="J261" s="2" t="str">
        <f t="shared" si="5"/>
        <v/>
      </c>
      <c r="K261" s="5"/>
      <c r="M261">
        <f t="shared" si="6"/>
        <v>0</v>
      </c>
    </row>
    <row r="262" spans="1:13">
      <c r="A262" s="2">
        <f>IF(Participant_Data!A262="","",Participant_Data!A262)</f>
        <v>261</v>
      </c>
      <c r="B262" s="2" t="str">
        <f>IF(Participant_Data!B262="","",Participant_Data!B262)</f>
        <v/>
      </c>
      <c r="C262" s="3" t="str">
        <f>IF(Participant_Data!C262="","",Participant_Data!C262)</f>
        <v/>
      </c>
      <c r="D262" s="5"/>
      <c r="E262" s="5"/>
      <c r="F262" s="5"/>
      <c r="G262" s="5"/>
      <c r="H262" s="5"/>
      <c r="I262" s="5"/>
      <c r="J262" s="2" t="str">
        <f t="shared" si="5"/>
        <v/>
      </c>
      <c r="K262" s="5"/>
      <c r="M262">
        <f t="shared" si="6"/>
        <v>0</v>
      </c>
    </row>
    <row r="263" spans="1:13">
      <c r="A263" s="2">
        <f>IF(Participant_Data!A263="","",Participant_Data!A263)</f>
        <v>262</v>
      </c>
      <c r="B263" s="2" t="str">
        <f>IF(Participant_Data!B263="","",Participant_Data!B263)</f>
        <v/>
      </c>
      <c r="C263" s="3" t="str">
        <f>IF(Participant_Data!C263="","",Participant_Data!C263)</f>
        <v/>
      </c>
      <c r="D263" s="5"/>
      <c r="E263" s="5"/>
      <c r="F263" s="5"/>
      <c r="G263" s="5"/>
      <c r="H263" s="5"/>
      <c r="I263" s="5"/>
      <c r="J263" s="2" t="str">
        <f t="shared" si="5"/>
        <v/>
      </c>
      <c r="K263" s="5"/>
      <c r="M263">
        <f t="shared" si="6"/>
        <v>0</v>
      </c>
    </row>
    <row r="264" spans="1:13">
      <c r="A264" s="2">
        <f>IF(Participant_Data!A264="","",Participant_Data!A264)</f>
        <v>263</v>
      </c>
      <c r="B264" s="2" t="str">
        <f>IF(Participant_Data!B264="","",Participant_Data!B264)</f>
        <v/>
      </c>
      <c r="C264" s="3" t="str">
        <f>IF(Participant_Data!C264="","",Participant_Data!C264)</f>
        <v/>
      </c>
      <c r="D264" s="5"/>
      <c r="E264" s="5"/>
      <c r="F264" s="5"/>
      <c r="G264" s="5"/>
      <c r="H264" s="5"/>
      <c r="I264" s="5"/>
      <c r="J264" s="2" t="str">
        <f t="shared" si="5"/>
        <v/>
      </c>
      <c r="K264" s="5"/>
      <c r="M264">
        <f t="shared" si="6"/>
        <v>0</v>
      </c>
    </row>
    <row r="265" spans="1:13">
      <c r="A265" s="2">
        <f>IF(Participant_Data!A265="","",Participant_Data!A265)</f>
        <v>264</v>
      </c>
      <c r="B265" s="2" t="str">
        <f>IF(Participant_Data!B265="","",Participant_Data!B265)</f>
        <v/>
      </c>
      <c r="C265" s="3" t="str">
        <f>IF(Participant_Data!C265="","",Participant_Data!C265)</f>
        <v/>
      </c>
      <c r="D265" s="5"/>
      <c r="E265" s="5"/>
      <c r="F265" s="5"/>
      <c r="G265" s="5"/>
      <c r="H265" s="5"/>
      <c r="I265" s="5"/>
      <c r="J265" s="2" t="str">
        <f t="shared" si="5"/>
        <v/>
      </c>
      <c r="K265" s="5"/>
      <c r="M265">
        <f t="shared" si="6"/>
        <v>0</v>
      </c>
    </row>
    <row r="266" spans="1:13">
      <c r="A266" s="2">
        <f>IF(Participant_Data!A266="","",Participant_Data!A266)</f>
        <v>265</v>
      </c>
      <c r="B266" s="2" t="str">
        <f>IF(Participant_Data!B266="","",Participant_Data!B266)</f>
        <v/>
      </c>
      <c r="C266" s="3" t="str">
        <f>IF(Participant_Data!C266="","",Participant_Data!C266)</f>
        <v/>
      </c>
      <c r="D266" s="5"/>
      <c r="E266" s="5"/>
      <c r="F266" s="5"/>
      <c r="G266" s="5"/>
      <c r="H266" s="5"/>
      <c r="I266" s="5"/>
      <c r="J266" s="2" t="str">
        <f t="shared" ref="J266:J297" si="7">IF(COUNTA(E266:I266)=0,"",SUM(E266:I266))</f>
        <v/>
      </c>
      <c r="K266" s="5"/>
      <c r="M266">
        <f t="shared" si="6"/>
        <v>0</v>
      </c>
    </row>
    <row r="267" spans="1:13">
      <c r="A267" s="2">
        <f>IF(Participant_Data!A267="","",Participant_Data!A267)</f>
        <v>266</v>
      </c>
      <c r="B267" s="2" t="str">
        <f>IF(Participant_Data!B267="","",Participant_Data!B267)</f>
        <v/>
      </c>
      <c r="C267" s="3" t="str">
        <f>IF(Participant_Data!C267="","",Participant_Data!C267)</f>
        <v/>
      </c>
      <c r="D267" s="5"/>
      <c r="E267" s="5"/>
      <c r="F267" s="5"/>
      <c r="G267" s="5"/>
      <c r="H267" s="5"/>
      <c r="I267" s="5"/>
      <c r="J267" s="2" t="str">
        <f t="shared" si="7"/>
        <v/>
      </c>
      <c r="K267" s="5"/>
      <c r="M267">
        <f t="shared" si="6"/>
        <v>0</v>
      </c>
    </row>
    <row r="268" spans="1:13">
      <c r="A268" s="2">
        <f>IF(Participant_Data!A268="","",Participant_Data!A268)</f>
        <v>267</v>
      </c>
      <c r="B268" s="2" t="str">
        <f>IF(Participant_Data!B268="","",Participant_Data!B268)</f>
        <v/>
      </c>
      <c r="C268" s="3" t="str">
        <f>IF(Participant_Data!C268="","",Participant_Data!C268)</f>
        <v/>
      </c>
      <c r="D268" s="5"/>
      <c r="E268" s="5"/>
      <c r="F268" s="5"/>
      <c r="G268" s="5"/>
      <c r="H268" s="5"/>
      <c r="I268" s="5"/>
      <c r="J268" s="2" t="str">
        <f t="shared" si="7"/>
        <v/>
      </c>
      <c r="K268" s="5"/>
      <c r="M268">
        <f t="shared" si="6"/>
        <v>0</v>
      </c>
    </row>
    <row r="269" spans="1:13">
      <c r="A269" s="2">
        <f>IF(Participant_Data!A269="","",Participant_Data!A269)</f>
        <v>268</v>
      </c>
      <c r="B269" s="2" t="str">
        <f>IF(Participant_Data!B269="","",Participant_Data!B269)</f>
        <v/>
      </c>
      <c r="C269" s="3" t="str">
        <f>IF(Participant_Data!C269="","",Participant_Data!C269)</f>
        <v/>
      </c>
      <c r="D269" s="5"/>
      <c r="E269" s="5"/>
      <c r="F269" s="5"/>
      <c r="G269" s="5"/>
      <c r="H269" s="5"/>
      <c r="I269" s="5"/>
      <c r="J269" s="2" t="str">
        <f t="shared" si="7"/>
        <v/>
      </c>
      <c r="K269" s="5"/>
      <c r="M269">
        <f t="shared" si="6"/>
        <v>0</v>
      </c>
    </row>
    <row r="270" spans="1:13">
      <c r="A270" s="2">
        <f>IF(Participant_Data!A270="","",Participant_Data!A270)</f>
        <v>269</v>
      </c>
      <c r="B270" s="2" t="str">
        <f>IF(Participant_Data!B270="","",Participant_Data!B270)</f>
        <v/>
      </c>
      <c r="C270" s="3" t="str">
        <f>IF(Participant_Data!C270="","",Participant_Data!C270)</f>
        <v/>
      </c>
      <c r="D270" s="5"/>
      <c r="E270" s="5"/>
      <c r="F270" s="5"/>
      <c r="G270" s="5"/>
      <c r="H270" s="5"/>
      <c r="I270" s="5"/>
      <c r="J270" s="2" t="str">
        <f t="shared" si="7"/>
        <v/>
      </c>
      <c r="K270" s="5"/>
      <c r="M270">
        <f t="shared" si="6"/>
        <v>0</v>
      </c>
    </row>
    <row r="271" spans="1:13">
      <c r="A271" s="2">
        <f>IF(Participant_Data!A271="","",Participant_Data!A271)</f>
        <v>270</v>
      </c>
      <c r="B271" s="2" t="str">
        <f>IF(Participant_Data!B271="","",Participant_Data!B271)</f>
        <v/>
      </c>
      <c r="C271" s="3" t="str">
        <f>IF(Participant_Data!C271="","",Participant_Data!C271)</f>
        <v/>
      </c>
      <c r="D271" s="5"/>
      <c r="E271" s="5"/>
      <c r="F271" s="5"/>
      <c r="G271" s="5"/>
      <c r="H271" s="5"/>
      <c r="I271" s="5"/>
      <c r="J271" s="2" t="str">
        <f t="shared" si="7"/>
        <v/>
      </c>
      <c r="K271" s="5"/>
      <c r="M271">
        <f t="shared" si="6"/>
        <v>0</v>
      </c>
    </row>
    <row r="272" spans="1:13">
      <c r="A272" s="2">
        <f>IF(Participant_Data!A272="","",Participant_Data!A272)</f>
        <v>271</v>
      </c>
      <c r="B272" s="2" t="str">
        <f>IF(Participant_Data!B272="","",Participant_Data!B272)</f>
        <v/>
      </c>
      <c r="C272" s="3" t="str">
        <f>IF(Participant_Data!C272="","",Participant_Data!C272)</f>
        <v/>
      </c>
      <c r="D272" s="5"/>
      <c r="E272" s="5"/>
      <c r="F272" s="5"/>
      <c r="G272" s="5"/>
      <c r="H272" s="5"/>
      <c r="I272" s="5"/>
      <c r="J272" s="2" t="str">
        <f t="shared" si="7"/>
        <v/>
      </c>
      <c r="K272" s="5"/>
      <c r="M272">
        <f t="shared" si="6"/>
        <v>0</v>
      </c>
    </row>
    <row r="273" spans="1:13">
      <c r="A273" s="2">
        <f>IF(Participant_Data!A273="","",Participant_Data!A273)</f>
        <v>272</v>
      </c>
      <c r="B273" s="2" t="str">
        <f>IF(Participant_Data!B273="","",Participant_Data!B273)</f>
        <v/>
      </c>
      <c r="C273" s="3" t="str">
        <f>IF(Participant_Data!C273="","",Participant_Data!C273)</f>
        <v/>
      </c>
      <c r="D273" s="5"/>
      <c r="E273" s="5"/>
      <c r="F273" s="5"/>
      <c r="G273" s="5"/>
      <c r="H273" s="5"/>
      <c r="I273" s="5"/>
      <c r="J273" s="2" t="str">
        <f t="shared" si="7"/>
        <v/>
      </c>
      <c r="K273" s="5"/>
      <c r="M273">
        <f t="shared" si="6"/>
        <v>0</v>
      </c>
    </row>
    <row r="274" spans="1:13">
      <c r="A274" s="2">
        <f>IF(Participant_Data!A274="","",Participant_Data!A274)</f>
        <v>273</v>
      </c>
      <c r="B274" s="2" t="str">
        <f>IF(Participant_Data!B274="","",Participant_Data!B274)</f>
        <v/>
      </c>
      <c r="C274" s="3" t="str">
        <f>IF(Participant_Data!C274="","",Participant_Data!C274)</f>
        <v/>
      </c>
      <c r="D274" s="5"/>
      <c r="E274" s="5"/>
      <c r="F274" s="5"/>
      <c r="G274" s="5"/>
      <c r="H274" s="5"/>
      <c r="I274" s="5"/>
      <c r="J274" s="2" t="str">
        <f t="shared" si="7"/>
        <v/>
      </c>
      <c r="K274" s="5"/>
      <c r="M274">
        <f t="shared" si="6"/>
        <v>0</v>
      </c>
    </row>
    <row r="275" spans="1:13">
      <c r="A275" s="2">
        <f>IF(Participant_Data!A275="","",Participant_Data!A275)</f>
        <v>274</v>
      </c>
      <c r="B275" s="2" t="str">
        <f>IF(Participant_Data!B275="","",Participant_Data!B275)</f>
        <v/>
      </c>
      <c r="C275" s="3" t="str">
        <f>IF(Participant_Data!C275="","",Participant_Data!C275)</f>
        <v/>
      </c>
      <c r="D275" s="5"/>
      <c r="E275" s="5"/>
      <c r="F275" s="5"/>
      <c r="G275" s="5"/>
      <c r="H275" s="5"/>
      <c r="I275" s="5"/>
      <c r="J275" s="2" t="str">
        <f t="shared" si="7"/>
        <v/>
      </c>
      <c r="K275" s="5"/>
      <c r="M275">
        <f t="shared" si="6"/>
        <v>0</v>
      </c>
    </row>
    <row r="276" spans="1:13">
      <c r="A276" s="2">
        <f>IF(Participant_Data!A276="","",Participant_Data!A276)</f>
        <v>275</v>
      </c>
      <c r="B276" s="2" t="str">
        <f>IF(Participant_Data!B276="","",Participant_Data!B276)</f>
        <v/>
      </c>
      <c r="C276" s="3" t="str">
        <f>IF(Participant_Data!C276="","",Participant_Data!C276)</f>
        <v/>
      </c>
      <c r="D276" s="5"/>
      <c r="E276" s="5"/>
      <c r="F276" s="5"/>
      <c r="G276" s="5"/>
      <c r="H276" s="5"/>
      <c r="I276" s="5"/>
      <c r="J276" s="2" t="str">
        <f t="shared" si="7"/>
        <v/>
      </c>
      <c r="K276" s="5"/>
      <c r="M276">
        <f t="shared" si="6"/>
        <v>0</v>
      </c>
    </row>
    <row r="277" spans="1:13">
      <c r="A277" s="2">
        <f>IF(Participant_Data!A277="","",Participant_Data!A277)</f>
        <v>276</v>
      </c>
      <c r="B277" s="2" t="str">
        <f>IF(Participant_Data!B277="","",Participant_Data!B277)</f>
        <v/>
      </c>
      <c r="C277" s="3" t="str">
        <f>IF(Participant_Data!C277="","",Participant_Data!C277)</f>
        <v/>
      </c>
      <c r="D277" s="5"/>
      <c r="E277" s="5"/>
      <c r="F277" s="5"/>
      <c r="G277" s="5"/>
      <c r="H277" s="5"/>
      <c r="I277" s="5"/>
      <c r="J277" s="2" t="str">
        <f t="shared" si="7"/>
        <v/>
      </c>
      <c r="K277" s="5"/>
      <c r="M277">
        <f t="shared" si="6"/>
        <v>0</v>
      </c>
    </row>
    <row r="278" spans="1:13">
      <c r="A278" s="2">
        <f>IF(Participant_Data!A278="","",Participant_Data!A278)</f>
        <v>277</v>
      </c>
      <c r="B278" s="2" t="str">
        <f>IF(Participant_Data!B278="","",Participant_Data!B278)</f>
        <v/>
      </c>
      <c r="C278" s="3" t="str">
        <f>IF(Participant_Data!C278="","",Participant_Data!C278)</f>
        <v/>
      </c>
      <c r="D278" s="5"/>
      <c r="E278" s="5"/>
      <c r="F278" s="5"/>
      <c r="G278" s="5"/>
      <c r="H278" s="5"/>
      <c r="I278" s="5"/>
      <c r="J278" s="2" t="str">
        <f t="shared" si="7"/>
        <v/>
      </c>
      <c r="K278" s="5"/>
      <c r="M278">
        <f t="shared" si="6"/>
        <v>0</v>
      </c>
    </row>
    <row r="279" spans="1:13">
      <c r="A279" s="2">
        <f>IF(Participant_Data!A279="","",Participant_Data!A279)</f>
        <v>278</v>
      </c>
      <c r="B279" s="2" t="str">
        <f>IF(Participant_Data!B279="","",Participant_Data!B279)</f>
        <v/>
      </c>
      <c r="C279" s="3" t="str">
        <f>IF(Participant_Data!C279="","",Participant_Data!C279)</f>
        <v/>
      </c>
      <c r="D279" s="5"/>
      <c r="E279" s="5"/>
      <c r="F279" s="5"/>
      <c r="G279" s="5"/>
      <c r="H279" s="5"/>
      <c r="I279" s="5"/>
      <c r="J279" s="2" t="str">
        <f t="shared" si="7"/>
        <v/>
      </c>
      <c r="K279" s="5"/>
      <c r="M279">
        <f t="shared" si="6"/>
        <v>0</v>
      </c>
    </row>
    <row r="280" spans="1:13">
      <c r="A280" s="2">
        <f>IF(Participant_Data!A280="","",Participant_Data!A280)</f>
        <v>279</v>
      </c>
      <c r="B280" s="2" t="str">
        <f>IF(Participant_Data!B280="","",Participant_Data!B280)</f>
        <v/>
      </c>
      <c r="C280" s="3" t="str">
        <f>IF(Participant_Data!C280="","",Participant_Data!C280)</f>
        <v/>
      </c>
      <c r="D280" s="5"/>
      <c r="E280" s="5"/>
      <c r="F280" s="5"/>
      <c r="G280" s="5"/>
      <c r="H280" s="5"/>
      <c r="I280" s="5"/>
      <c r="J280" s="2" t="str">
        <f t="shared" si="7"/>
        <v/>
      </c>
      <c r="K280" s="5"/>
      <c r="M280">
        <f t="shared" si="6"/>
        <v>0</v>
      </c>
    </row>
    <row r="281" spans="1:13">
      <c r="A281" s="2">
        <f>IF(Participant_Data!A281="","",Participant_Data!A281)</f>
        <v>280</v>
      </c>
      <c r="B281" s="2" t="str">
        <f>IF(Participant_Data!B281="","",Participant_Data!B281)</f>
        <v/>
      </c>
      <c r="C281" s="3" t="str">
        <f>IF(Participant_Data!C281="","",Participant_Data!C281)</f>
        <v/>
      </c>
      <c r="D281" s="5"/>
      <c r="E281" s="5"/>
      <c r="F281" s="5"/>
      <c r="G281" s="5"/>
      <c r="H281" s="5"/>
      <c r="I281" s="5"/>
      <c r="J281" s="2" t="str">
        <f t="shared" si="7"/>
        <v/>
      </c>
      <c r="K281" s="5"/>
      <c r="M281">
        <f t="shared" si="6"/>
        <v>0</v>
      </c>
    </row>
    <row r="282" spans="1:13">
      <c r="A282" s="2">
        <f>IF(Participant_Data!A282="","",Participant_Data!A282)</f>
        <v>281</v>
      </c>
      <c r="B282" s="2" t="str">
        <f>IF(Participant_Data!B282="","",Participant_Data!B282)</f>
        <v/>
      </c>
      <c r="C282" s="3" t="str">
        <f>IF(Participant_Data!C282="","",Participant_Data!C282)</f>
        <v/>
      </c>
      <c r="D282" s="5"/>
      <c r="E282" s="5"/>
      <c r="F282" s="5"/>
      <c r="G282" s="5"/>
      <c r="H282" s="5"/>
      <c r="I282" s="5"/>
      <c r="J282" s="2" t="str">
        <f t="shared" si="7"/>
        <v/>
      </c>
      <c r="K282" s="5"/>
      <c r="M282">
        <f t="shared" si="6"/>
        <v>0</v>
      </c>
    </row>
    <row r="283" spans="1:13">
      <c r="A283" s="2">
        <f>IF(Participant_Data!A283="","",Participant_Data!A283)</f>
        <v>282</v>
      </c>
      <c r="B283" s="2" t="str">
        <f>IF(Participant_Data!B283="","",Participant_Data!B283)</f>
        <v/>
      </c>
      <c r="C283" s="3" t="str">
        <f>IF(Participant_Data!C283="","",Participant_Data!C283)</f>
        <v/>
      </c>
      <c r="D283" s="5"/>
      <c r="E283" s="5"/>
      <c r="F283" s="5"/>
      <c r="G283" s="5"/>
      <c r="H283" s="5"/>
      <c r="I283" s="5"/>
      <c r="J283" s="2" t="str">
        <f t="shared" si="7"/>
        <v/>
      </c>
      <c r="K283" s="5"/>
      <c r="M283">
        <f t="shared" si="6"/>
        <v>0</v>
      </c>
    </row>
    <row r="284" spans="1:13">
      <c r="A284" s="2">
        <f>IF(Participant_Data!A284="","",Participant_Data!A284)</f>
        <v>283</v>
      </c>
      <c r="B284" s="2" t="str">
        <f>IF(Participant_Data!B284="","",Participant_Data!B284)</f>
        <v/>
      </c>
      <c r="C284" s="3" t="str">
        <f>IF(Participant_Data!C284="","",Participant_Data!C284)</f>
        <v/>
      </c>
      <c r="D284" s="5"/>
      <c r="E284" s="5"/>
      <c r="F284" s="5"/>
      <c r="G284" s="5"/>
      <c r="H284" s="5"/>
      <c r="I284" s="5"/>
      <c r="J284" s="2" t="str">
        <f t="shared" si="7"/>
        <v/>
      </c>
      <c r="K284" s="5"/>
      <c r="M284">
        <f t="shared" si="6"/>
        <v>0</v>
      </c>
    </row>
    <row r="285" spans="1:13">
      <c r="A285" s="2">
        <f>IF(Participant_Data!A285="","",Participant_Data!A285)</f>
        <v>284</v>
      </c>
      <c r="B285" s="2" t="str">
        <f>IF(Participant_Data!B285="","",Participant_Data!B285)</f>
        <v/>
      </c>
      <c r="C285" s="3" t="str">
        <f>IF(Participant_Data!C285="","",Participant_Data!C285)</f>
        <v/>
      </c>
      <c r="D285" s="5"/>
      <c r="E285" s="5"/>
      <c r="F285" s="5"/>
      <c r="G285" s="5"/>
      <c r="H285" s="5"/>
      <c r="I285" s="5"/>
      <c r="J285" s="2" t="str">
        <f t="shared" si="7"/>
        <v/>
      </c>
      <c r="K285" s="5"/>
      <c r="M285">
        <f t="shared" si="6"/>
        <v>0</v>
      </c>
    </row>
    <row r="286" spans="1:13">
      <c r="A286" s="2">
        <f>IF(Participant_Data!A286="","",Participant_Data!A286)</f>
        <v>285</v>
      </c>
      <c r="B286" s="2" t="str">
        <f>IF(Participant_Data!B286="","",Participant_Data!B286)</f>
        <v/>
      </c>
      <c r="C286" s="3" t="str">
        <f>IF(Participant_Data!C286="","",Participant_Data!C286)</f>
        <v/>
      </c>
      <c r="D286" s="5"/>
      <c r="E286" s="5"/>
      <c r="F286" s="5"/>
      <c r="G286" s="5"/>
      <c r="H286" s="5"/>
      <c r="I286" s="5"/>
      <c r="J286" s="2" t="str">
        <f t="shared" si="7"/>
        <v/>
      </c>
      <c r="K286" s="5"/>
      <c r="M286">
        <f t="shared" si="6"/>
        <v>0</v>
      </c>
    </row>
    <row r="287" spans="1:13">
      <c r="A287" s="2">
        <f>IF(Participant_Data!A287="","",Participant_Data!A287)</f>
        <v>286</v>
      </c>
      <c r="B287" s="2" t="str">
        <f>IF(Participant_Data!B287="","",Participant_Data!B287)</f>
        <v/>
      </c>
      <c r="C287" s="3" t="str">
        <f>IF(Participant_Data!C287="","",Participant_Data!C287)</f>
        <v/>
      </c>
      <c r="D287" s="5"/>
      <c r="E287" s="5"/>
      <c r="F287" s="5"/>
      <c r="G287" s="5"/>
      <c r="H287" s="5"/>
      <c r="I287" s="5"/>
      <c r="J287" s="2" t="str">
        <f t="shared" si="7"/>
        <v/>
      </c>
      <c r="K287" s="5"/>
      <c r="M287">
        <f t="shared" si="6"/>
        <v>0</v>
      </c>
    </row>
    <row r="288" spans="1:13">
      <c r="A288" s="2">
        <f>IF(Participant_Data!A288="","",Participant_Data!A288)</f>
        <v>287</v>
      </c>
      <c r="B288" s="2" t="str">
        <f>IF(Participant_Data!B288="","",Participant_Data!B288)</f>
        <v/>
      </c>
      <c r="C288" s="3" t="str">
        <f>IF(Participant_Data!C288="","",Participant_Data!C288)</f>
        <v/>
      </c>
      <c r="D288" s="5"/>
      <c r="E288" s="5"/>
      <c r="F288" s="5"/>
      <c r="G288" s="5"/>
      <c r="H288" s="5"/>
      <c r="I288" s="5"/>
      <c r="J288" s="2" t="str">
        <f t="shared" si="7"/>
        <v/>
      </c>
      <c r="K288" s="5"/>
      <c r="M288">
        <f t="shared" si="6"/>
        <v>0</v>
      </c>
    </row>
    <row r="289" spans="1:13">
      <c r="A289" s="2">
        <f>IF(Participant_Data!A289="","",Participant_Data!A289)</f>
        <v>288</v>
      </c>
      <c r="B289" s="2" t="str">
        <f>IF(Participant_Data!B289="","",Participant_Data!B289)</f>
        <v/>
      </c>
      <c r="C289" s="3" t="str">
        <f>IF(Participant_Data!C289="","",Participant_Data!C289)</f>
        <v/>
      </c>
      <c r="D289" s="5"/>
      <c r="E289" s="5"/>
      <c r="F289" s="5"/>
      <c r="G289" s="5"/>
      <c r="H289" s="5"/>
      <c r="I289" s="5"/>
      <c r="J289" s="2" t="str">
        <f t="shared" si="7"/>
        <v/>
      </c>
      <c r="K289" s="5"/>
      <c r="M289">
        <f t="shared" si="6"/>
        <v>0</v>
      </c>
    </row>
    <row r="290" spans="1:13">
      <c r="A290" s="2">
        <f>IF(Participant_Data!A290="","",Participant_Data!A290)</f>
        <v>289</v>
      </c>
      <c r="B290" s="2" t="str">
        <f>IF(Participant_Data!B290="","",Participant_Data!B290)</f>
        <v/>
      </c>
      <c r="C290" s="3" t="str">
        <f>IF(Participant_Data!C290="","",Participant_Data!C290)</f>
        <v/>
      </c>
      <c r="D290" s="5"/>
      <c r="E290" s="5"/>
      <c r="F290" s="5"/>
      <c r="G290" s="5"/>
      <c r="H290" s="5"/>
      <c r="I290" s="5"/>
      <c r="J290" s="2" t="str">
        <f t="shared" si="7"/>
        <v/>
      </c>
      <c r="K290" s="5"/>
      <c r="M290">
        <f t="shared" si="6"/>
        <v>0</v>
      </c>
    </row>
    <row r="291" spans="1:13">
      <c r="A291" s="2">
        <f>IF(Participant_Data!A291="","",Participant_Data!A291)</f>
        <v>290</v>
      </c>
      <c r="B291" s="2" t="str">
        <f>IF(Participant_Data!B291="","",Participant_Data!B291)</f>
        <v/>
      </c>
      <c r="C291" s="3" t="str">
        <f>IF(Participant_Data!C291="","",Participant_Data!C291)</f>
        <v/>
      </c>
      <c r="D291" s="5"/>
      <c r="E291" s="5"/>
      <c r="F291" s="5"/>
      <c r="G291" s="5"/>
      <c r="H291" s="5"/>
      <c r="I291" s="5"/>
      <c r="J291" s="2" t="str">
        <f t="shared" si="7"/>
        <v/>
      </c>
      <c r="K291" s="5"/>
      <c r="M291">
        <f t="shared" si="6"/>
        <v>0</v>
      </c>
    </row>
    <row r="292" spans="1:13">
      <c r="A292" s="2">
        <f>IF(Participant_Data!A292="","",Participant_Data!A292)</f>
        <v>291</v>
      </c>
      <c r="B292" s="2" t="str">
        <f>IF(Participant_Data!B292="","",Participant_Data!B292)</f>
        <v/>
      </c>
      <c r="C292" s="3" t="str">
        <f>IF(Participant_Data!C292="","",Participant_Data!C292)</f>
        <v/>
      </c>
      <c r="D292" s="5"/>
      <c r="E292" s="5"/>
      <c r="F292" s="5"/>
      <c r="G292" s="5"/>
      <c r="H292" s="5"/>
      <c r="I292" s="5"/>
      <c r="J292" s="2" t="str">
        <f t="shared" si="7"/>
        <v/>
      </c>
      <c r="K292" s="5"/>
      <c r="M292">
        <f t="shared" si="6"/>
        <v>0</v>
      </c>
    </row>
    <row r="293" spans="1:13">
      <c r="A293" s="2">
        <f>IF(Participant_Data!A293="","",Participant_Data!A293)</f>
        <v>292</v>
      </c>
      <c r="B293" s="2" t="str">
        <f>IF(Participant_Data!B293="","",Participant_Data!B293)</f>
        <v/>
      </c>
      <c r="C293" s="3" t="str">
        <f>IF(Participant_Data!C293="","",Participant_Data!C293)</f>
        <v/>
      </c>
      <c r="D293" s="5"/>
      <c r="E293" s="5"/>
      <c r="F293" s="5"/>
      <c r="G293" s="5"/>
      <c r="H293" s="5"/>
      <c r="I293" s="5"/>
      <c r="J293" s="2" t="str">
        <f t="shared" si="7"/>
        <v/>
      </c>
      <c r="K293" s="5"/>
      <c r="M293">
        <f t="shared" si="6"/>
        <v>0</v>
      </c>
    </row>
    <row r="294" spans="1:13">
      <c r="A294" s="2">
        <f>IF(Participant_Data!A294="","",Participant_Data!A294)</f>
        <v>293</v>
      </c>
      <c r="B294" s="2" t="str">
        <f>IF(Participant_Data!B294="","",Participant_Data!B294)</f>
        <v/>
      </c>
      <c r="C294" s="3" t="str">
        <f>IF(Participant_Data!C294="","",Participant_Data!C294)</f>
        <v/>
      </c>
      <c r="D294" s="5"/>
      <c r="E294" s="5"/>
      <c r="F294" s="5"/>
      <c r="G294" s="5"/>
      <c r="H294" s="5"/>
      <c r="I294" s="5"/>
      <c r="J294" s="2" t="str">
        <f t="shared" si="7"/>
        <v/>
      </c>
      <c r="K294" s="5"/>
      <c r="M294">
        <f t="shared" si="6"/>
        <v>0</v>
      </c>
    </row>
    <row r="295" spans="1:13">
      <c r="A295" s="2">
        <f>IF(Participant_Data!A295="","",Participant_Data!A295)</f>
        <v>294</v>
      </c>
      <c r="B295" s="2" t="str">
        <f>IF(Participant_Data!B295="","",Participant_Data!B295)</f>
        <v/>
      </c>
      <c r="C295" s="3" t="str">
        <f>IF(Participant_Data!C295="","",Participant_Data!C295)</f>
        <v/>
      </c>
      <c r="D295" s="5"/>
      <c r="E295" s="5"/>
      <c r="F295" s="5"/>
      <c r="G295" s="5"/>
      <c r="H295" s="5"/>
      <c r="I295" s="5"/>
      <c r="J295" s="2" t="str">
        <f t="shared" si="7"/>
        <v/>
      </c>
      <c r="K295" s="5"/>
      <c r="M295">
        <f t="shared" si="6"/>
        <v>0</v>
      </c>
    </row>
    <row r="296" spans="1:13">
      <c r="A296" s="2">
        <f>IF(Participant_Data!A296="","",Participant_Data!A296)</f>
        <v>295</v>
      </c>
      <c r="B296" s="2" t="str">
        <f>IF(Participant_Data!B296="","",Participant_Data!B296)</f>
        <v/>
      </c>
      <c r="C296" s="3" t="str">
        <f>IF(Participant_Data!C296="","",Participant_Data!C296)</f>
        <v/>
      </c>
      <c r="D296" s="5"/>
      <c r="E296" s="5"/>
      <c r="F296" s="5"/>
      <c r="G296" s="5"/>
      <c r="H296" s="5"/>
      <c r="I296" s="5"/>
      <c r="J296" s="2" t="str">
        <f t="shared" si="7"/>
        <v/>
      </c>
      <c r="K296" s="5"/>
      <c r="M296">
        <f t="shared" si="6"/>
        <v>0</v>
      </c>
    </row>
    <row r="297" spans="1:13">
      <c r="A297" s="2">
        <f>IF(Participant_Data!A297="","",Participant_Data!A297)</f>
        <v>296</v>
      </c>
      <c r="B297" s="2" t="str">
        <f>IF(Participant_Data!B297="","",Participant_Data!B297)</f>
        <v/>
      </c>
      <c r="C297" s="3" t="str">
        <f>IF(Participant_Data!C297="","",Participant_Data!C297)</f>
        <v/>
      </c>
      <c r="D297" s="5"/>
      <c r="E297" s="5"/>
      <c r="F297" s="5"/>
      <c r="G297" s="5"/>
      <c r="H297" s="5"/>
      <c r="I297" s="5"/>
      <c r="J297" s="2" t="str">
        <f t="shared" si="7"/>
        <v/>
      </c>
      <c r="K297" s="5"/>
      <c r="M297">
        <f t="shared" si="6"/>
        <v>0</v>
      </c>
    </row>
    <row r="298" spans="1:13">
      <c r="A298" s="2">
        <f>IF(Participant_Data!A298="","",Participant_Data!A298)</f>
        <v>297</v>
      </c>
      <c r="B298" s="2" t="str">
        <f>IF(Participant_Data!B298="","",Participant_Data!B298)</f>
        <v/>
      </c>
      <c r="C298" s="3" t="str">
        <f>IF(Participant_Data!C298="","",Participant_Data!C298)</f>
        <v/>
      </c>
      <c r="D298" s="5"/>
      <c r="E298" s="5"/>
      <c r="F298" s="5"/>
      <c r="G298" s="5"/>
      <c r="H298" s="5"/>
      <c r="I298" s="5"/>
      <c r="J298" s="2" t="str">
        <f t="shared" ref="J298:J329" si="8">IF(COUNTA(E298:I298)=0,"",SUM(E298:I298))</f>
        <v/>
      </c>
      <c r="K298" s="5"/>
      <c r="M298">
        <f t="shared" si="6"/>
        <v>0</v>
      </c>
    </row>
    <row r="299" spans="1:13">
      <c r="A299" s="2">
        <f>IF(Participant_Data!A299="","",Participant_Data!A299)</f>
        <v>298</v>
      </c>
      <c r="B299" s="2" t="str">
        <f>IF(Participant_Data!B299="","",Participant_Data!B299)</f>
        <v/>
      </c>
      <c r="C299" s="3" t="str">
        <f>IF(Participant_Data!C299="","",Participant_Data!C299)</f>
        <v/>
      </c>
      <c r="D299" s="5"/>
      <c r="E299" s="5"/>
      <c r="F299" s="5"/>
      <c r="G299" s="5"/>
      <c r="H299" s="5"/>
      <c r="I299" s="5"/>
      <c r="J299" s="2" t="str">
        <f t="shared" si="8"/>
        <v/>
      </c>
      <c r="K299" s="5"/>
      <c r="M299">
        <f t="shared" si="6"/>
        <v>0</v>
      </c>
    </row>
    <row r="300" spans="1:13">
      <c r="A300" s="2">
        <f>IF(Participant_Data!A300="","",Participant_Data!A300)</f>
        <v>299</v>
      </c>
      <c r="B300" s="2" t="str">
        <f>IF(Participant_Data!B300="","",Participant_Data!B300)</f>
        <v/>
      </c>
      <c r="C300" s="3" t="str">
        <f>IF(Participant_Data!C300="","",Participant_Data!C300)</f>
        <v/>
      </c>
      <c r="D300" s="5"/>
      <c r="E300" s="5"/>
      <c r="F300" s="5"/>
      <c r="G300" s="5"/>
      <c r="H300" s="5"/>
      <c r="I300" s="5"/>
      <c r="J300" s="2" t="str">
        <f t="shared" si="8"/>
        <v/>
      </c>
      <c r="K300" s="5"/>
      <c r="M300">
        <f t="shared" si="6"/>
        <v>0</v>
      </c>
    </row>
    <row r="301" spans="1:13">
      <c r="A301" s="2">
        <f>IF(Participant_Data!A301="","",Participant_Data!A301)</f>
        <v>300</v>
      </c>
      <c r="B301" s="2" t="str">
        <f>IF(Participant_Data!B301="","",Participant_Data!B301)</f>
        <v/>
      </c>
      <c r="C301" s="3" t="str">
        <f>IF(Participant_Data!C301="","",Participant_Data!C301)</f>
        <v/>
      </c>
      <c r="D301" s="5"/>
      <c r="E301" s="5"/>
      <c r="F301" s="5"/>
      <c r="G301" s="5"/>
      <c r="H301" s="5"/>
      <c r="I301" s="5"/>
      <c r="J301" s="2" t="str">
        <f t="shared" si="8"/>
        <v/>
      </c>
      <c r="K301" s="5"/>
      <c r="M301">
        <f t="shared" si="6"/>
        <v>0</v>
      </c>
    </row>
  </sheetData>
  <dataValidations count="2">
    <dataValidation type="list" sqref="D2:D301" xr:uid="{00000000-0002-0000-0300-000000000000}">
      <formula1>"Older adult,Staff"</formula1>
    </dataValidation>
    <dataValidation sqref="E2:I301" xr:uid="{00000000-0002-0000-0300-000001000000}">
      <formula1>1</formula1>
      <formula2>5</formula2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57A4-A110-894B-A68A-CE1CA4A9C70B}">
  <dimension ref="A1:H119"/>
  <sheetViews>
    <sheetView tabSelected="1" topLeftCell="A35" workbookViewId="0">
      <selection activeCell="H88" sqref="H88"/>
    </sheetView>
  </sheetViews>
  <sheetFormatPr baseColWidth="10" defaultColWidth="8.83203125" defaultRowHeight="15"/>
  <cols>
    <col min="1" max="1" width="20" customWidth="1"/>
    <col min="2" max="2" width="26" customWidth="1"/>
    <col min="3" max="3" width="30" customWidth="1"/>
    <col min="4" max="5" width="18" customWidth="1"/>
    <col min="6" max="6" width="16" customWidth="1"/>
    <col min="7" max="7" width="34" customWidth="1"/>
    <col min="8" max="8" width="55" customWidth="1"/>
  </cols>
  <sheetData>
    <row r="1" spans="1:8" ht="16" customHeight="1">
      <c r="A1" s="32" t="s">
        <v>147</v>
      </c>
      <c r="B1" s="32" t="s">
        <v>148</v>
      </c>
      <c r="C1" s="32" t="s">
        <v>149</v>
      </c>
      <c r="D1" s="32" t="s">
        <v>150</v>
      </c>
      <c r="E1" s="32" t="s">
        <v>151</v>
      </c>
      <c r="F1" s="32" t="s">
        <v>152</v>
      </c>
      <c r="G1" s="32" t="s">
        <v>153</v>
      </c>
      <c r="H1" s="32" t="s">
        <v>154</v>
      </c>
    </row>
    <row r="2" spans="1:8" ht="16" customHeight="1">
      <c r="A2" s="7" t="s">
        <v>155</v>
      </c>
      <c r="B2" s="7" t="s">
        <v>0</v>
      </c>
      <c r="C2" s="7" t="s">
        <v>156</v>
      </c>
      <c r="D2" s="7" t="s">
        <v>157</v>
      </c>
      <c r="E2" s="7" t="s">
        <v>158</v>
      </c>
      <c r="F2" s="7" t="s">
        <v>159</v>
      </c>
      <c r="G2" s="7"/>
      <c r="H2" s="7" t="s">
        <v>160</v>
      </c>
    </row>
    <row r="3" spans="1:8" ht="16" customHeight="1">
      <c r="A3" s="7" t="s">
        <v>155</v>
      </c>
      <c r="B3" s="7" t="s">
        <v>1</v>
      </c>
      <c r="C3" s="7" t="s">
        <v>161</v>
      </c>
      <c r="D3" s="7" t="s">
        <v>162</v>
      </c>
      <c r="E3" s="7" t="s">
        <v>158</v>
      </c>
      <c r="F3" s="7" t="s">
        <v>159</v>
      </c>
      <c r="G3" s="7"/>
      <c r="H3" s="7" t="s">
        <v>163</v>
      </c>
    </row>
    <row r="4" spans="1:8" ht="16" customHeight="1">
      <c r="A4" s="7" t="s">
        <v>155</v>
      </c>
      <c r="B4" s="7" t="s">
        <v>2</v>
      </c>
      <c r="C4" s="7" t="s">
        <v>164</v>
      </c>
      <c r="D4" s="7" t="s">
        <v>157</v>
      </c>
      <c r="E4" s="7" t="s">
        <v>158</v>
      </c>
      <c r="F4" s="7" t="s">
        <v>159</v>
      </c>
      <c r="G4" s="7"/>
      <c r="H4" s="7" t="s">
        <v>165</v>
      </c>
    </row>
    <row r="5" spans="1:8" ht="16" customHeight="1">
      <c r="A5" s="7" t="s">
        <v>155</v>
      </c>
      <c r="B5" s="7" t="s">
        <v>42</v>
      </c>
      <c r="C5" s="7" t="s">
        <v>166</v>
      </c>
      <c r="D5" s="7" t="s">
        <v>167</v>
      </c>
      <c r="E5" s="7" t="s">
        <v>158</v>
      </c>
      <c r="F5" s="7" t="s">
        <v>159</v>
      </c>
      <c r="G5" s="7" t="s">
        <v>168</v>
      </c>
      <c r="H5" s="7" t="s">
        <v>169</v>
      </c>
    </row>
    <row r="6" spans="1:8" ht="48" customHeight="1">
      <c r="A6" s="31" t="s">
        <v>155</v>
      </c>
      <c r="B6" s="31" t="s">
        <v>43</v>
      </c>
      <c r="C6" s="31" t="s">
        <v>170</v>
      </c>
      <c r="D6" s="31" t="s">
        <v>171</v>
      </c>
      <c r="E6" s="31" t="s">
        <v>158</v>
      </c>
      <c r="F6" s="31" t="s">
        <v>172</v>
      </c>
      <c r="G6" s="31" t="s">
        <v>173</v>
      </c>
      <c r="H6" s="31" t="s">
        <v>247</v>
      </c>
    </row>
    <row r="7" spans="1:8" ht="16" customHeight="1">
      <c r="A7" s="33" t="s">
        <v>155</v>
      </c>
      <c r="B7" s="33" t="s">
        <v>44</v>
      </c>
      <c r="C7" s="33" t="s">
        <v>174</v>
      </c>
      <c r="D7" s="33" t="s">
        <v>162</v>
      </c>
      <c r="E7" s="33" t="s">
        <v>175</v>
      </c>
      <c r="F7" s="33" t="s">
        <v>176</v>
      </c>
      <c r="G7" s="33" t="s">
        <v>177</v>
      </c>
      <c r="H7" s="31"/>
    </row>
    <row r="8" spans="1:8" ht="16" customHeight="1">
      <c r="A8" s="7" t="s">
        <v>155</v>
      </c>
      <c r="B8" s="7" t="s">
        <v>45</v>
      </c>
      <c r="C8" s="7" t="s">
        <v>178</v>
      </c>
      <c r="D8" s="7" t="s">
        <v>171</v>
      </c>
      <c r="E8" s="7" t="s">
        <v>158</v>
      </c>
      <c r="F8" s="7" t="s">
        <v>159</v>
      </c>
      <c r="G8" s="7" t="s">
        <v>248</v>
      </c>
      <c r="H8" s="7" t="s">
        <v>249</v>
      </c>
    </row>
    <row r="9" spans="1:8" ht="48" customHeight="1">
      <c r="A9" s="7" t="s">
        <v>155</v>
      </c>
      <c r="B9" s="7" t="s">
        <v>46</v>
      </c>
      <c r="C9" s="7" t="s">
        <v>179</v>
      </c>
      <c r="D9" s="7" t="s">
        <v>171</v>
      </c>
      <c r="E9" s="7" t="s">
        <v>158</v>
      </c>
      <c r="F9" s="7" t="s">
        <v>159</v>
      </c>
      <c r="G9" s="7" t="s">
        <v>180</v>
      </c>
      <c r="H9" s="7" t="s">
        <v>243</v>
      </c>
    </row>
    <row r="10" spans="1:8" ht="16" customHeight="1">
      <c r="A10" s="7" t="s">
        <v>155</v>
      </c>
      <c r="B10" s="7" t="s">
        <v>47</v>
      </c>
      <c r="C10" s="7" t="s">
        <v>181</v>
      </c>
      <c r="D10" s="7" t="s">
        <v>171</v>
      </c>
      <c r="E10" s="7" t="s">
        <v>158</v>
      </c>
      <c r="F10" s="7" t="s">
        <v>159</v>
      </c>
      <c r="G10" s="7" t="s">
        <v>182</v>
      </c>
      <c r="H10" s="7" t="s">
        <v>243</v>
      </c>
    </row>
    <row r="11" spans="1:8" ht="48" customHeight="1">
      <c r="A11" s="7" t="s">
        <v>155</v>
      </c>
      <c r="B11" s="7" t="s">
        <v>48</v>
      </c>
      <c r="C11" s="7" t="s">
        <v>183</v>
      </c>
      <c r="D11" s="7" t="s">
        <v>171</v>
      </c>
      <c r="E11" s="7" t="s">
        <v>158</v>
      </c>
      <c r="F11" s="7" t="s">
        <v>159</v>
      </c>
      <c r="G11" s="7" t="s">
        <v>184</v>
      </c>
      <c r="H11" s="7" t="s">
        <v>243</v>
      </c>
    </row>
    <row r="12" spans="1:8" ht="80" customHeight="1">
      <c r="A12" s="7" t="s">
        <v>155</v>
      </c>
      <c r="B12" s="7" t="s">
        <v>49</v>
      </c>
      <c r="C12" s="7" t="s">
        <v>250</v>
      </c>
      <c r="D12" s="7" t="s">
        <v>171</v>
      </c>
      <c r="E12" s="7" t="s">
        <v>158</v>
      </c>
      <c r="F12" s="7" t="s">
        <v>159</v>
      </c>
      <c r="G12" s="7" t="s">
        <v>256</v>
      </c>
      <c r="H12" s="7" t="s">
        <v>243</v>
      </c>
    </row>
    <row r="13" spans="1:8" ht="80" customHeight="1">
      <c r="A13" s="7" t="s">
        <v>155</v>
      </c>
      <c r="B13" s="7" t="s">
        <v>50</v>
      </c>
      <c r="C13" s="7" t="s">
        <v>251</v>
      </c>
      <c r="D13" s="7" t="s">
        <v>171</v>
      </c>
      <c r="E13" s="7" t="s">
        <v>158</v>
      </c>
      <c r="F13" s="7" t="s">
        <v>159</v>
      </c>
      <c r="G13" s="7" t="s">
        <v>256</v>
      </c>
      <c r="H13" s="7" t="s">
        <v>243</v>
      </c>
    </row>
    <row r="14" spans="1:8" ht="48" customHeight="1">
      <c r="A14" s="7" t="s">
        <v>155</v>
      </c>
      <c r="B14" s="7" t="s">
        <v>51</v>
      </c>
      <c r="C14" s="7" t="s">
        <v>252</v>
      </c>
      <c r="D14" s="7" t="s">
        <v>171</v>
      </c>
      <c r="E14" s="7" t="s">
        <v>158</v>
      </c>
      <c r="F14" s="7" t="s">
        <v>159</v>
      </c>
      <c r="G14" s="7" t="s">
        <v>256</v>
      </c>
      <c r="H14" s="7" t="s">
        <v>243</v>
      </c>
    </row>
    <row r="15" spans="1:8" ht="32" customHeight="1">
      <c r="A15" s="7" t="s">
        <v>155</v>
      </c>
      <c r="B15" s="7" t="s">
        <v>52</v>
      </c>
      <c r="C15" s="7" t="s">
        <v>253</v>
      </c>
      <c r="D15" s="7" t="s">
        <v>171</v>
      </c>
      <c r="E15" s="7" t="s">
        <v>158</v>
      </c>
      <c r="F15" s="7" t="s">
        <v>159</v>
      </c>
      <c r="G15" s="7" t="s">
        <v>256</v>
      </c>
      <c r="H15" s="7" t="s">
        <v>243</v>
      </c>
    </row>
    <row r="16" spans="1:8" ht="32" customHeight="1">
      <c r="A16" s="7" t="s">
        <v>155</v>
      </c>
      <c r="B16" s="7" t="s">
        <v>53</v>
      </c>
      <c r="C16" s="7" t="s">
        <v>254</v>
      </c>
      <c r="D16" s="7" t="s">
        <v>171</v>
      </c>
      <c r="E16" s="7" t="s">
        <v>158</v>
      </c>
      <c r="F16" s="7" t="s">
        <v>159</v>
      </c>
      <c r="G16" s="7" t="s">
        <v>256</v>
      </c>
      <c r="H16" s="7" t="s">
        <v>243</v>
      </c>
    </row>
    <row r="17" spans="1:8" ht="32" customHeight="1">
      <c r="A17" s="7" t="s">
        <v>155</v>
      </c>
      <c r="B17" s="7" t="s">
        <v>54</v>
      </c>
      <c r="C17" s="7" t="s">
        <v>255</v>
      </c>
      <c r="D17" s="7" t="s">
        <v>167</v>
      </c>
      <c r="E17" s="7" t="s">
        <v>158</v>
      </c>
      <c r="F17" s="7" t="s">
        <v>159</v>
      </c>
      <c r="G17" s="7" t="s">
        <v>256</v>
      </c>
      <c r="H17" s="7" t="s">
        <v>243</v>
      </c>
    </row>
    <row r="18" spans="1:8" ht="16" customHeight="1">
      <c r="A18" s="7" t="s">
        <v>155</v>
      </c>
      <c r="B18" s="7" t="s">
        <v>55</v>
      </c>
      <c r="C18" s="7" t="s">
        <v>257</v>
      </c>
      <c r="D18" s="7" t="s">
        <v>167</v>
      </c>
      <c r="E18" s="7" t="s">
        <v>158</v>
      </c>
      <c r="F18" s="7" t="s">
        <v>159</v>
      </c>
      <c r="G18" s="7" t="s">
        <v>256</v>
      </c>
      <c r="H18" s="7" t="s">
        <v>243</v>
      </c>
    </row>
    <row r="19" spans="1:8" ht="16" customHeight="1">
      <c r="A19" s="7" t="s">
        <v>155</v>
      </c>
      <c r="B19" s="7" t="s">
        <v>56</v>
      </c>
      <c r="C19" s="7" t="s">
        <v>258</v>
      </c>
      <c r="D19" s="7" t="s">
        <v>167</v>
      </c>
      <c r="E19" s="7" t="s">
        <v>158</v>
      </c>
      <c r="F19" s="7" t="s">
        <v>159</v>
      </c>
      <c r="G19" s="7" t="s">
        <v>256</v>
      </c>
      <c r="H19" s="7" t="s">
        <v>243</v>
      </c>
    </row>
    <row r="20" spans="1:8" ht="16" customHeight="1">
      <c r="A20" s="7" t="s">
        <v>155</v>
      </c>
      <c r="B20" s="7" t="s">
        <v>57</v>
      </c>
      <c r="C20" s="7" t="s">
        <v>259</v>
      </c>
      <c r="D20" s="7" t="s">
        <v>167</v>
      </c>
      <c r="E20" s="7" t="s">
        <v>158</v>
      </c>
      <c r="F20" s="7" t="s">
        <v>159</v>
      </c>
      <c r="G20" s="7" t="s">
        <v>256</v>
      </c>
      <c r="H20" s="7" t="s">
        <v>243</v>
      </c>
    </row>
    <row r="21" spans="1:8" ht="16" customHeight="1">
      <c r="A21" s="7" t="s">
        <v>155</v>
      </c>
      <c r="B21" s="7" t="s">
        <v>58</v>
      </c>
      <c r="C21" s="7" t="s">
        <v>260</v>
      </c>
      <c r="D21" s="7" t="s">
        <v>167</v>
      </c>
      <c r="E21" s="7" t="s">
        <v>158</v>
      </c>
      <c r="F21" s="7" t="s">
        <v>159</v>
      </c>
      <c r="G21" s="7" t="s">
        <v>256</v>
      </c>
      <c r="H21" s="7" t="s">
        <v>243</v>
      </c>
    </row>
    <row r="22" spans="1:8" ht="16" customHeight="1">
      <c r="A22" s="7" t="s">
        <v>155</v>
      </c>
      <c r="B22" s="7" t="s">
        <v>59</v>
      </c>
      <c r="C22" s="7" t="s">
        <v>261</v>
      </c>
      <c r="D22" s="7" t="s">
        <v>167</v>
      </c>
      <c r="E22" s="7" t="s">
        <v>158</v>
      </c>
      <c r="F22" s="7" t="s">
        <v>159</v>
      </c>
      <c r="G22" s="7" t="s">
        <v>256</v>
      </c>
      <c r="H22" s="7" t="s">
        <v>346</v>
      </c>
    </row>
    <row r="23" spans="1:8" ht="15" customHeight="1">
      <c r="A23" s="7" t="s">
        <v>155</v>
      </c>
      <c r="B23" s="7" t="s">
        <v>60</v>
      </c>
      <c r="C23" s="7" t="s">
        <v>262</v>
      </c>
      <c r="D23" s="7" t="s">
        <v>167</v>
      </c>
      <c r="E23" s="7" t="s">
        <v>158</v>
      </c>
      <c r="F23" s="7" t="s">
        <v>159</v>
      </c>
      <c r="G23" s="7" t="s">
        <v>263</v>
      </c>
      <c r="H23" s="27" t="s">
        <v>243</v>
      </c>
    </row>
    <row r="24" spans="1:8" ht="15" customHeight="1">
      <c r="A24" s="7" t="s">
        <v>155</v>
      </c>
      <c r="B24" s="7" t="s">
        <v>61</v>
      </c>
      <c r="C24" s="7" t="s">
        <v>185</v>
      </c>
      <c r="D24" s="7" t="s">
        <v>171</v>
      </c>
      <c r="E24" s="7" t="s">
        <v>158</v>
      </c>
      <c r="F24" s="7" t="s">
        <v>159</v>
      </c>
      <c r="G24" s="7" t="s">
        <v>186</v>
      </c>
      <c r="H24" s="27" t="s">
        <v>243</v>
      </c>
    </row>
    <row r="25" spans="1:8" ht="15" customHeight="1">
      <c r="A25" s="7" t="s">
        <v>155</v>
      </c>
      <c r="B25" s="7" t="s">
        <v>62</v>
      </c>
      <c r="C25" s="7" t="s">
        <v>187</v>
      </c>
      <c r="D25" s="7" t="s">
        <v>171</v>
      </c>
      <c r="E25" s="7" t="s">
        <v>158</v>
      </c>
      <c r="F25" s="7" t="s">
        <v>159</v>
      </c>
      <c r="G25" s="7"/>
      <c r="H25" s="27" t="s">
        <v>243</v>
      </c>
    </row>
    <row r="26" spans="1:8" ht="15" customHeight="1">
      <c r="A26" s="7" t="s">
        <v>155</v>
      </c>
      <c r="B26" s="7" t="s">
        <v>63</v>
      </c>
      <c r="C26" s="7" t="s">
        <v>188</v>
      </c>
      <c r="D26" s="7" t="s">
        <v>171</v>
      </c>
      <c r="E26" s="7" t="s">
        <v>158</v>
      </c>
      <c r="F26" s="7" t="s">
        <v>159</v>
      </c>
      <c r="G26" s="7"/>
      <c r="H26" s="27" t="s">
        <v>243</v>
      </c>
    </row>
    <row r="27" spans="1:8" ht="15" customHeight="1">
      <c r="A27" s="7" t="s">
        <v>155</v>
      </c>
      <c r="B27" s="7" t="s">
        <v>64</v>
      </c>
      <c r="C27" s="7" t="s">
        <v>189</v>
      </c>
      <c r="D27" s="7" t="s">
        <v>171</v>
      </c>
      <c r="E27" s="7" t="s">
        <v>158</v>
      </c>
      <c r="F27" s="7" t="s">
        <v>159</v>
      </c>
      <c r="G27" s="7"/>
      <c r="H27" s="27" t="s">
        <v>243</v>
      </c>
    </row>
    <row r="28" spans="1:8" ht="15" customHeight="1">
      <c r="A28" s="7" t="s">
        <v>155</v>
      </c>
      <c r="B28" s="7" t="s">
        <v>65</v>
      </c>
      <c r="C28" s="7" t="s">
        <v>190</v>
      </c>
      <c r="D28" s="7" t="s">
        <v>171</v>
      </c>
      <c r="E28" s="7" t="s">
        <v>158</v>
      </c>
      <c r="F28" s="7" t="s">
        <v>159</v>
      </c>
      <c r="G28" s="7"/>
      <c r="H28" s="27" t="s">
        <v>243</v>
      </c>
    </row>
    <row r="29" spans="1:8" ht="15" customHeight="1">
      <c r="A29" s="7" t="s">
        <v>155</v>
      </c>
      <c r="B29" s="7" t="s">
        <v>66</v>
      </c>
      <c r="C29" s="7" t="s">
        <v>191</v>
      </c>
      <c r="D29" s="7" t="s">
        <v>171</v>
      </c>
      <c r="E29" s="7" t="s">
        <v>158</v>
      </c>
      <c r="F29" s="7" t="s">
        <v>159</v>
      </c>
      <c r="G29" s="7"/>
      <c r="H29" s="27" t="s">
        <v>243</v>
      </c>
    </row>
    <row r="30" spans="1:8" ht="15" customHeight="1">
      <c r="A30" s="7" t="s">
        <v>155</v>
      </c>
      <c r="B30" s="7" t="s">
        <v>67</v>
      </c>
      <c r="C30" s="7" t="s">
        <v>192</v>
      </c>
      <c r="D30" s="7" t="s">
        <v>171</v>
      </c>
      <c r="E30" s="7" t="s">
        <v>158</v>
      </c>
      <c r="F30" s="7" t="s">
        <v>159</v>
      </c>
      <c r="G30" s="7"/>
      <c r="H30" s="27" t="s">
        <v>243</v>
      </c>
    </row>
    <row r="31" spans="1:8" ht="15" customHeight="1">
      <c r="A31" s="7" t="s">
        <v>155</v>
      </c>
      <c r="B31" s="7" t="s">
        <v>68</v>
      </c>
      <c r="C31" s="7" t="s">
        <v>193</v>
      </c>
      <c r="D31" s="7" t="s">
        <v>171</v>
      </c>
      <c r="E31" s="7" t="s">
        <v>158</v>
      </c>
      <c r="F31" s="7" t="s">
        <v>159</v>
      </c>
      <c r="G31" s="7"/>
      <c r="H31" s="27" t="s">
        <v>243</v>
      </c>
    </row>
    <row r="32" spans="1:8" ht="15" customHeight="1">
      <c r="A32" s="7" t="s">
        <v>155</v>
      </c>
      <c r="B32" s="7" t="s">
        <v>69</v>
      </c>
      <c r="C32" s="7" t="s">
        <v>194</v>
      </c>
      <c r="D32" s="7" t="s">
        <v>171</v>
      </c>
      <c r="E32" s="7" t="s">
        <v>158</v>
      </c>
      <c r="F32" s="7" t="s">
        <v>195</v>
      </c>
      <c r="G32" s="7"/>
      <c r="H32" s="28" t="s">
        <v>244</v>
      </c>
    </row>
    <row r="33" spans="1:8" ht="15" customHeight="1">
      <c r="A33" s="7" t="s">
        <v>155</v>
      </c>
      <c r="B33" s="7" t="s">
        <v>70</v>
      </c>
      <c r="C33" s="7" t="s">
        <v>196</v>
      </c>
      <c r="D33" s="7" t="s">
        <v>171</v>
      </c>
      <c r="E33" s="7" t="s">
        <v>158</v>
      </c>
      <c r="F33" s="7" t="s">
        <v>195</v>
      </c>
      <c r="G33" s="7"/>
      <c r="H33" s="29" t="s">
        <v>244</v>
      </c>
    </row>
    <row r="34" spans="1:8" ht="15" customHeight="1">
      <c r="A34" s="7" t="s">
        <v>155</v>
      </c>
      <c r="B34" s="7" t="s">
        <v>71</v>
      </c>
      <c r="C34" s="7" t="s">
        <v>197</v>
      </c>
      <c r="D34" s="7" t="s">
        <v>171</v>
      </c>
      <c r="E34" s="7" t="s">
        <v>158</v>
      </c>
      <c r="F34" s="7" t="s">
        <v>195</v>
      </c>
      <c r="G34" s="7"/>
      <c r="H34" s="29" t="s">
        <v>244</v>
      </c>
    </row>
    <row r="35" spans="1:8" ht="15" customHeight="1">
      <c r="A35" s="7" t="s">
        <v>155</v>
      </c>
      <c r="B35" s="7" t="s">
        <v>72</v>
      </c>
      <c r="C35" s="7" t="s">
        <v>198</v>
      </c>
      <c r="D35" s="7" t="s">
        <v>171</v>
      </c>
      <c r="E35" s="7" t="s">
        <v>158</v>
      </c>
      <c r="F35" s="7" t="s">
        <v>195</v>
      </c>
      <c r="G35" s="7"/>
      <c r="H35" s="29" t="s">
        <v>244</v>
      </c>
    </row>
    <row r="36" spans="1:8" ht="15" customHeight="1">
      <c r="A36" s="7" t="s">
        <v>155</v>
      </c>
      <c r="B36" s="7" t="s">
        <v>73</v>
      </c>
      <c r="C36" s="7" t="s">
        <v>199</v>
      </c>
      <c r="D36" s="7" t="s">
        <v>171</v>
      </c>
      <c r="E36" s="7" t="s">
        <v>158</v>
      </c>
      <c r="F36" s="7" t="s">
        <v>195</v>
      </c>
      <c r="G36" s="7"/>
      <c r="H36" s="29" t="s">
        <v>244</v>
      </c>
    </row>
    <row r="37" spans="1:8" ht="15" customHeight="1">
      <c r="A37" s="7" t="s">
        <v>155</v>
      </c>
      <c r="B37" s="7" t="s">
        <v>74</v>
      </c>
      <c r="C37" s="7" t="s">
        <v>200</v>
      </c>
      <c r="D37" s="7" t="s">
        <v>171</v>
      </c>
      <c r="E37" s="7" t="s">
        <v>158</v>
      </c>
      <c r="F37" s="7" t="s">
        <v>195</v>
      </c>
      <c r="G37" s="7"/>
      <c r="H37" s="29" t="s">
        <v>244</v>
      </c>
    </row>
    <row r="38" spans="1:8" ht="15" customHeight="1">
      <c r="A38" s="7" t="s">
        <v>155</v>
      </c>
      <c r="B38" s="7" t="s">
        <v>75</v>
      </c>
      <c r="C38" s="7" t="s">
        <v>201</v>
      </c>
      <c r="D38" s="7" t="s">
        <v>171</v>
      </c>
      <c r="E38" s="7" t="s">
        <v>158</v>
      </c>
      <c r="F38" s="7" t="s">
        <v>202</v>
      </c>
      <c r="G38" s="7"/>
      <c r="H38" s="30" t="s">
        <v>245</v>
      </c>
    </row>
    <row r="39" spans="1:8" ht="15" customHeight="1">
      <c r="A39" s="7" t="s">
        <v>155</v>
      </c>
      <c r="B39" s="7" t="s">
        <v>76</v>
      </c>
      <c r="C39" s="7" t="s">
        <v>203</v>
      </c>
      <c r="D39" s="7" t="s">
        <v>171</v>
      </c>
      <c r="E39" s="7" t="s">
        <v>158</v>
      </c>
      <c r="F39" s="7" t="s">
        <v>202</v>
      </c>
      <c r="G39" s="7"/>
      <c r="H39" s="30" t="s">
        <v>245</v>
      </c>
    </row>
    <row r="40" spans="1:8" ht="32" customHeight="1">
      <c r="A40" s="7" t="s">
        <v>155</v>
      </c>
      <c r="B40" s="7" t="s">
        <v>77</v>
      </c>
      <c r="C40" s="7" t="s">
        <v>204</v>
      </c>
      <c r="D40" s="7" t="s">
        <v>171</v>
      </c>
      <c r="E40" s="7" t="s">
        <v>158</v>
      </c>
      <c r="F40" s="7" t="s">
        <v>202</v>
      </c>
      <c r="G40" s="7"/>
      <c r="H40" s="30" t="s">
        <v>245</v>
      </c>
    </row>
    <row r="41" spans="1:8" ht="16" customHeight="1">
      <c r="A41" s="7" t="s">
        <v>155</v>
      </c>
      <c r="B41" s="7" t="s">
        <v>78</v>
      </c>
      <c r="C41" s="7" t="s">
        <v>205</v>
      </c>
      <c r="D41" s="7" t="s">
        <v>162</v>
      </c>
      <c r="E41" s="7" t="s">
        <v>175</v>
      </c>
      <c r="F41" s="7" t="s">
        <v>159</v>
      </c>
      <c r="G41" s="7" t="s">
        <v>206</v>
      </c>
      <c r="H41" s="27" t="s">
        <v>243</v>
      </c>
    </row>
    <row r="42" spans="1:8" ht="16" customHeight="1">
      <c r="A42" s="33" t="s">
        <v>155</v>
      </c>
      <c r="B42" s="33" t="s">
        <v>79</v>
      </c>
      <c r="C42" s="33" t="s">
        <v>207</v>
      </c>
      <c r="D42" s="33" t="s">
        <v>162</v>
      </c>
      <c r="E42" s="33" t="s">
        <v>175</v>
      </c>
      <c r="F42" s="33" t="s">
        <v>176</v>
      </c>
      <c r="G42" s="33" t="s">
        <v>208</v>
      </c>
      <c r="H42" s="7"/>
    </row>
    <row r="43" spans="1:8" ht="64" customHeight="1">
      <c r="A43" s="33" t="s">
        <v>155</v>
      </c>
      <c r="B43" s="33" t="s">
        <v>80</v>
      </c>
      <c r="C43" s="33" t="s">
        <v>209</v>
      </c>
      <c r="D43" s="33" t="s">
        <v>162</v>
      </c>
      <c r="E43" s="33" t="s">
        <v>175</v>
      </c>
      <c r="F43" s="33" t="s">
        <v>176</v>
      </c>
      <c r="G43" s="33" t="s">
        <v>210</v>
      </c>
      <c r="H43" s="7"/>
    </row>
    <row r="44" spans="1:8" ht="16" customHeight="1">
      <c r="A44" s="7" t="s">
        <v>155</v>
      </c>
      <c r="B44" s="7" t="s">
        <v>81</v>
      </c>
      <c r="C44" s="7" t="s">
        <v>211</v>
      </c>
      <c r="D44" s="7" t="s">
        <v>167</v>
      </c>
      <c r="E44" s="7" t="s">
        <v>158</v>
      </c>
      <c r="F44" s="7" t="s">
        <v>172</v>
      </c>
      <c r="G44" s="7"/>
      <c r="H44" s="7"/>
    </row>
    <row r="45" spans="1:8" ht="16">
      <c r="A45" s="7" t="s">
        <v>155</v>
      </c>
      <c r="B45" s="7" t="s">
        <v>82</v>
      </c>
      <c r="C45" s="7" t="s">
        <v>212</v>
      </c>
      <c r="D45" s="7" t="s">
        <v>167</v>
      </c>
      <c r="E45" s="7" t="s">
        <v>158</v>
      </c>
      <c r="F45" s="7" t="s">
        <v>172</v>
      </c>
      <c r="G45" s="7" t="s">
        <v>213</v>
      </c>
      <c r="H45" s="7"/>
    </row>
    <row r="46" spans="1:8" ht="16">
      <c r="A46" s="33" t="s">
        <v>155</v>
      </c>
      <c r="B46" s="33" t="s">
        <v>83</v>
      </c>
      <c r="C46" s="33" t="s">
        <v>214</v>
      </c>
      <c r="D46" s="33" t="s">
        <v>162</v>
      </c>
      <c r="E46" s="33" t="s">
        <v>175</v>
      </c>
      <c r="F46" s="33" t="s">
        <v>176</v>
      </c>
      <c r="G46" s="33" t="s">
        <v>215</v>
      </c>
      <c r="H46" s="7"/>
    </row>
    <row r="47" spans="1:8" ht="16">
      <c r="A47" s="7" t="s">
        <v>216</v>
      </c>
      <c r="B47" s="7" t="s">
        <v>0</v>
      </c>
      <c r="C47" s="7" t="s">
        <v>156</v>
      </c>
      <c r="D47" s="7" t="s">
        <v>162</v>
      </c>
      <c r="E47" s="7" t="s">
        <v>175</v>
      </c>
      <c r="F47" s="7" t="s">
        <v>159</v>
      </c>
      <c r="G47" s="7"/>
      <c r="H47" s="7" t="s">
        <v>264</v>
      </c>
    </row>
    <row r="48" spans="1:8" ht="16">
      <c r="A48" s="7" t="s">
        <v>216</v>
      </c>
      <c r="B48" s="7" t="s">
        <v>1</v>
      </c>
      <c r="C48" s="7" t="s">
        <v>161</v>
      </c>
      <c r="D48" s="7" t="s">
        <v>162</v>
      </c>
      <c r="E48" s="7" t="s">
        <v>175</v>
      </c>
      <c r="F48" s="7" t="s">
        <v>159</v>
      </c>
      <c r="G48" s="7"/>
      <c r="H48" s="7"/>
    </row>
    <row r="49" spans="1:8" ht="16">
      <c r="A49" s="7" t="s">
        <v>216</v>
      </c>
      <c r="B49" s="7" t="s">
        <v>2</v>
      </c>
      <c r="C49" s="7" t="s">
        <v>164</v>
      </c>
      <c r="D49" s="7" t="s">
        <v>162</v>
      </c>
      <c r="E49" s="7" t="s">
        <v>175</v>
      </c>
      <c r="F49" s="7" t="s">
        <v>159</v>
      </c>
      <c r="G49" s="7"/>
      <c r="H49" s="7"/>
    </row>
    <row r="50" spans="1:8" ht="16">
      <c r="A50" s="7" t="s">
        <v>216</v>
      </c>
      <c r="B50" s="7" t="s">
        <v>44</v>
      </c>
      <c r="C50" s="7" t="s">
        <v>174</v>
      </c>
      <c r="D50" s="7" t="s">
        <v>162</v>
      </c>
      <c r="E50" s="7" t="s">
        <v>175</v>
      </c>
      <c r="F50" s="7" t="s">
        <v>176</v>
      </c>
      <c r="G50" s="7"/>
      <c r="H50" s="7" t="s">
        <v>265</v>
      </c>
    </row>
    <row r="51" spans="1:8" ht="16">
      <c r="A51" s="7" t="s">
        <v>216</v>
      </c>
      <c r="B51" s="7" t="s">
        <v>79</v>
      </c>
      <c r="C51" s="7" t="s">
        <v>207</v>
      </c>
      <c r="D51" s="7" t="s">
        <v>162</v>
      </c>
      <c r="E51" s="7" t="s">
        <v>175</v>
      </c>
      <c r="F51" s="7" t="s">
        <v>176</v>
      </c>
      <c r="G51" s="7"/>
      <c r="H51" s="7" t="s">
        <v>265</v>
      </c>
    </row>
    <row r="52" spans="1:8" ht="16">
      <c r="A52" s="7" t="s">
        <v>216</v>
      </c>
      <c r="B52" s="7" t="s">
        <v>80</v>
      </c>
      <c r="C52" s="7" t="s">
        <v>209</v>
      </c>
      <c r="D52" s="7" t="s">
        <v>162</v>
      </c>
      <c r="E52" s="7" t="s">
        <v>175</v>
      </c>
      <c r="F52" s="7" t="s">
        <v>176</v>
      </c>
      <c r="G52" s="7"/>
      <c r="H52" s="7" t="s">
        <v>265</v>
      </c>
    </row>
    <row r="53" spans="1:8" ht="16">
      <c r="A53" s="7" t="s">
        <v>216</v>
      </c>
      <c r="B53" s="7" t="s">
        <v>83</v>
      </c>
      <c r="C53" s="7" t="s">
        <v>214</v>
      </c>
      <c r="D53" s="7" t="s">
        <v>162</v>
      </c>
      <c r="E53" s="7" t="s">
        <v>175</v>
      </c>
      <c r="F53" s="7" t="s">
        <v>176</v>
      </c>
      <c r="G53" s="7"/>
      <c r="H53" s="7" t="s">
        <v>265</v>
      </c>
    </row>
    <row r="54" spans="1:8" ht="48">
      <c r="A54" s="7" t="s">
        <v>216</v>
      </c>
      <c r="B54" s="7" t="s">
        <v>118</v>
      </c>
      <c r="C54" s="7" t="s">
        <v>266</v>
      </c>
      <c r="D54" s="7" t="s">
        <v>162</v>
      </c>
      <c r="E54" s="7" t="s">
        <v>175</v>
      </c>
      <c r="F54" s="7" t="s">
        <v>176</v>
      </c>
      <c r="G54" s="7" t="s">
        <v>267</v>
      </c>
      <c r="H54" s="7" t="s">
        <v>268</v>
      </c>
    </row>
    <row r="55" spans="1:8" ht="48">
      <c r="A55" s="7" t="s">
        <v>216</v>
      </c>
      <c r="B55" s="7" t="s">
        <v>119</v>
      </c>
      <c r="C55" s="7" t="s">
        <v>269</v>
      </c>
      <c r="D55" s="7" t="s">
        <v>162</v>
      </c>
      <c r="E55" s="7" t="s">
        <v>175</v>
      </c>
      <c r="F55" s="7" t="s">
        <v>176</v>
      </c>
      <c r="G55" s="7" t="s">
        <v>270</v>
      </c>
      <c r="H55" s="7" t="s">
        <v>268</v>
      </c>
    </row>
    <row r="56" spans="1:8" ht="16">
      <c r="A56" s="7" t="s">
        <v>216</v>
      </c>
      <c r="B56" s="7" t="s">
        <v>120</v>
      </c>
      <c r="C56" s="7" t="s">
        <v>271</v>
      </c>
      <c r="D56" s="7" t="s">
        <v>162</v>
      </c>
      <c r="E56" s="7" t="s">
        <v>175</v>
      </c>
      <c r="F56" s="7" t="s">
        <v>176</v>
      </c>
      <c r="G56" s="7"/>
      <c r="H56" s="7"/>
    </row>
    <row r="57" spans="1:8" ht="16">
      <c r="A57" s="7" t="s">
        <v>216</v>
      </c>
      <c r="B57" s="7" t="s">
        <v>121</v>
      </c>
      <c r="C57" s="7" t="s">
        <v>272</v>
      </c>
      <c r="D57" s="7" t="s">
        <v>162</v>
      </c>
      <c r="E57" s="7" t="s">
        <v>175</v>
      </c>
      <c r="F57" s="7" t="s">
        <v>176</v>
      </c>
      <c r="G57" s="7"/>
      <c r="H57" s="7"/>
    </row>
    <row r="58" spans="1:8" ht="16">
      <c r="A58" s="7" t="s">
        <v>216</v>
      </c>
      <c r="B58" s="7" t="s">
        <v>122</v>
      </c>
      <c r="C58" s="7" t="s">
        <v>273</v>
      </c>
      <c r="D58" s="7" t="s">
        <v>162</v>
      </c>
      <c r="E58" s="7" t="s">
        <v>175</v>
      </c>
      <c r="F58" s="7" t="s">
        <v>176</v>
      </c>
      <c r="G58" s="7"/>
      <c r="H58" s="7"/>
    </row>
    <row r="59" spans="1:8" ht="32">
      <c r="A59" s="7" t="s">
        <v>216</v>
      </c>
      <c r="B59" s="7" t="s">
        <v>123</v>
      </c>
      <c r="C59" s="7" t="s">
        <v>274</v>
      </c>
      <c r="D59" s="7" t="s">
        <v>162</v>
      </c>
      <c r="E59" s="7" t="s">
        <v>175</v>
      </c>
      <c r="F59" s="7" t="s">
        <v>217</v>
      </c>
      <c r="G59" s="7"/>
      <c r="H59" s="7" t="s">
        <v>275</v>
      </c>
    </row>
    <row r="60" spans="1:8" ht="32">
      <c r="A60" s="7" t="s">
        <v>216</v>
      </c>
      <c r="B60" s="7" t="s">
        <v>124</v>
      </c>
      <c r="C60" s="7" t="s">
        <v>276</v>
      </c>
      <c r="D60" s="7" t="s">
        <v>162</v>
      </c>
      <c r="E60" s="7" t="s">
        <v>175</v>
      </c>
      <c r="F60" s="7" t="s">
        <v>217</v>
      </c>
      <c r="G60" s="7"/>
      <c r="H60" s="7"/>
    </row>
    <row r="61" spans="1:8" ht="16">
      <c r="A61" s="7" t="s">
        <v>216</v>
      </c>
      <c r="B61" s="7" t="s">
        <v>125</v>
      </c>
      <c r="C61" s="7" t="s">
        <v>277</v>
      </c>
      <c r="D61" s="7" t="s">
        <v>162</v>
      </c>
      <c r="E61" s="7" t="s">
        <v>175</v>
      </c>
      <c r="F61" s="7" t="s">
        <v>217</v>
      </c>
      <c r="G61" s="7"/>
      <c r="H61" s="7"/>
    </row>
    <row r="62" spans="1:8" ht="32">
      <c r="A62" s="7" t="s">
        <v>216</v>
      </c>
      <c r="B62" s="7" t="s">
        <v>126</v>
      </c>
      <c r="C62" s="7" t="s">
        <v>278</v>
      </c>
      <c r="D62" s="7" t="s">
        <v>162</v>
      </c>
      <c r="E62" s="7" t="s">
        <v>175</v>
      </c>
      <c r="F62" s="7" t="s">
        <v>217</v>
      </c>
      <c r="G62" s="7"/>
      <c r="H62" s="7" t="s">
        <v>279</v>
      </c>
    </row>
    <row r="63" spans="1:8" ht="16">
      <c r="A63" s="7" t="s">
        <v>218</v>
      </c>
      <c r="B63" s="7" t="s">
        <v>0</v>
      </c>
      <c r="C63" s="7" t="s">
        <v>156</v>
      </c>
      <c r="D63" s="7" t="s">
        <v>157</v>
      </c>
      <c r="E63" s="7" t="s">
        <v>158</v>
      </c>
      <c r="F63" s="7" t="s">
        <v>159</v>
      </c>
      <c r="G63" s="7"/>
      <c r="H63" s="7"/>
    </row>
    <row r="64" spans="1:8" ht="16">
      <c r="A64" s="7" t="s">
        <v>218</v>
      </c>
      <c r="B64" s="7" t="s">
        <v>1</v>
      </c>
      <c r="C64" s="7" t="s">
        <v>161</v>
      </c>
      <c r="D64" s="7" t="s">
        <v>162</v>
      </c>
      <c r="E64" s="7" t="s">
        <v>158</v>
      </c>
      <c r="F64" s="7" t="s">
        <v>159</v>
      </c>
      <c r="G64" s="7"/>
      <c r="H64" s="7"/>
    </row>
    <row r="65" spans="1:8" ht="16">
      <c r="A65" s="7" t="s">
        <v>218</v>
      </c>
      <c r="B65" s="7" t="s">
        <v>2</v>
      </c>
      <c r="C65" s="7" t="s">
        <v>164</v>
      </c>
      <c r="D65" s="7" t="s">
        <v>157</v>
      </c>
      <c r="E65" s="7" t="s">
        <v>158</v>
      </c>
      <c r="F65" s="7" t="s">
        <v>159</v>
      </c>
      <c r="G65" s="7"/>
      <c r="H65" s="7"/>
    </row>
    <row r="66" spans="1:8" ht="16">
      <c r="A66" s="7" t="s">
        <v>218</v>
      </c>
      <c r="B66" s="7" t="s">
        <v>3</v>
      </c>
      <c r="C66" s="7" t="s">
        <v>280</v>
      </c>
      <c r="D66" s="7" t="s">
        <v>219</v>
      </c>
      <c r="E66" s="7" t="s">
        <v>158</v>
      </c>
      <c r="F66" s="7" t="s">
        <v>159</v>
      </c>
      <c r="G66" s="7"/>
      <c r="H66" s="7"/>
    </row>
    <row r="67" spans="1:8" ht="16">
      <c r="A67" s="7" t="s">
        <v>218</v>
      </c>
      <c r="B67" s="7" t="s">
        <v>4</v>
      </c>
      <c r="C67" s="7" t="s">
        <v>281</v>
      </c>
      <c r="D67" s="7" t="s">
        <v>219</v>
      </c>
      <c r="E67" s="7" t="s">
        <v>158</v>
      </c>
      <c r="F67" s="7" t="s">
        <v>172</v>
      </c>
      <c r="G67" s="7"/>
      <c r="H67" s="7" t="s">
        <v>282</v>
      </c>
    </row>
    <row r="68" spans="1:8" ht="16">
      <c r="A68" s="7" t="s">
        <v>218</v>
      </c>
      <c r="B68" s="7" t="s">
        <v>5</v>
      </c>
      <c r="C68" s="7" t="s">
        <v>283</v>
      </c>
      <c r="D68" s="7" t="s">
        <v>219</v>
      </c>
      <c r="E68" s="7" t="s">
        <v>158</v>
      </c>
      <c r="F68" s="7" t="s">
        <v>172</v>
      </c>
      <c r="G68" s="7"/>
      <c r="H68" s="7" t="s">
        <v>282</v>
      </c>
    </row>
    <row r="69" spans="1:8" ht="16">
      <c r="A69" s="7" t="s">
        <v>218</v>
      </c>
      <c r="B69" s="7" t="s">
        <v>6</v>
      </c>
      <c r="C69" s="7" t="s">
        <v>284</v>
      </c>
      <c r="D69" s="7" t="s">
        <v>285</v>
      </c>
      <c r="E69" s="7" t="s">
        <v>158</v>
      </c>
      <c r="F69" s="7" t="s">
        <v>176</v>
      </c>
      <c r="G69" s="7" t="s">
        <v>286</v>
      </c>
      <c r="H69" s="7" t="s">
        <v>351</v>
      </c>
    </row>
    <row r="70" spans="1:8" ht="16">
      <c r="A70" s="7" t="s">
        <v>218</v>
      </c>
      <c r="B70" s="7" t="s">
        <v>7</v>
      </c>
      <c r="C70" s="7" t="s">
        <v>287</v>
      </c>
      <c r="D70" s="7" t="s">
        <v>285</v>
      </c>
      <c r="E70" s="7" t="s">
        <v>158</v>
      </c>
      <c r="F70" s="7" t="s">
        <v>159</v>
      </c>
      <c r="G70" s="7"/>
      <c r="H70" s="7"/>
    </row>
    <row r="71" spans="1:8" ht="16">
      <c r="A71" s="7" t="s">
        <v>218</v>
      </c>
      <c r="B71" s="7" t="s">
        <v>8</v>
      </c>
      <c r="C71" s="7" t="s">
        <v>288</v>
      </c>
      <c r="D71" s="7" t="s">
        <v>285</v>
      </c>
      <c r="E71" s="7" t="s">
        <v>158</v>
      </c>
      <c r="F71" s="7" t="s">
        <v>176</v>
      </c>
      <c r="G71" s="7"/>
      <c r="H71" s="7" t="s">
        <v>352</v>
      </c>
    </row>
    <row r="72" spans="1:8" ht="32">
      <c r="A72" s="7" t="s">
        <v>218</v>
      </c>
      <c r="B72" s="7" t="s">
        <v>9</v>
      </c>
      <c r="C72" s="7" t="s">
        <v>289</v>
      </c>
      <c r="D72" s="7" t="s">
        <v>285</v>
      </c>
      <c r="E72" s="7" t="s">
        <v>158</v>
      </c>
      <c r="F72" s="7" t="s">
        <v>159</v>
      </c>
      <c r="G72" s="7"/>
      <c r="H72" s="7"/>
    </row>
    <row r="73" spans="1:8" ht="16">
      <c r="A73" s="7" t="s">
        <v>218</v>
      </c>
      <c r="B73" s="7" t="s">
        <v>10</v>
      </c>
      <c r="C73" s="7" t="s">
        <v>290</v>
      </c>
      <c r="D73" s="7" t="s">
        <v>285</v>
      </c>
      <c r="E73" s="7" t="s">
        <v>158</v>
      </c>
      <c r="F73" s="7" t="s">
        <v>159</v>
      </c>
      <c r="G73" s="7"/>
      <c r="H73" s="7"/>
    </row>
    <row r="74" spans="1:8" ht="16">
      <c r="A74" s="7" t="s">
        <v>218</v>
      </c>
      <c r="B74" s="7" t="s">
        <v>11</v>
      </c>
      <c r="C74" s="7" t="s">
        <v>291</v>
      </c>
      <c r="D74" s="7" t="s">
        <v>285</v>
      </c>
      <c r="E74" s="7" t="s">
        <v>158</v>
      </c>
      <c r="F74" s="7" t="s">
        <v>159</v>
      </c>
      <c r="G74" s="7"/>
      <c r="H74" s="7"/>
    </row>
    <row r="75" spans="1:8" ht="32">
      <c r="A75" s="7" t="s">
        <v>218</v>
      </c>
      <c r="B75" s="7" t="s">
        <v>12</v>
      </c>
      <c r="C75" s="7" t="s">
        <v>292</v>
      </c>
      <c r="D75" s="7" t="s">
        <v>285</v>
      </c>
      <c r="E75" s="7" t="s">
        <v>158</v>
      </c>
      <c r="F75" s="7" t="s">
        <v>159</v>
      </c>
      <c r="G75" s="7"/>
      <c r="H75" s="7"/>
    </row>
    <row r="76" spans="1:8" ht="32">
      <c r="A76" s="7" t="s">
        <v>218</v>
      </c>
      <c r="B76" s="7" t="s">
        <v>13</v>
      </c>
      <c r="C76" s="7" t="s">
        <v>293</v>
      </c>
      <c r="D76" s="7" t="s">
        <v>285</v>
      </c>
      <c r="E76" s="7" t="s">
        <v>158</v>
      </c>
      <c r="F76" s="7" t="s">
        <v>159</v>
      </c>
      <c r="G76" s="7"/>
      <c r="H76" s="7"/>
    </row>
    <row r="77" spans="1:8" ht="16">
      <c r="A77" s="7" t="s">
        <v>218</v>
      </c>
      <c r="B77" s="7" t="s">
        <v>14</v>
      </c>
      <c r="C77" s="7" t="s">
        <v>348</v>
      </c>
      <c r="D77" s="7" t="s">
        <v>219</v>
      </c>
      <c r="E77" s="7" t="s">
        <v>158</v>
      </c>
      <c r="F77" s="7" t="s">
        <v>159</v>
      </c>
      <c r="G77" s="7"/>
      <c r="H77" s="7"/>
    </row>
    <row r="78" spans="1:8" ht="16">
      <c r="A78" s="7" t="s">
        <v>218</v>
      </c>
      <c r="B78" s="7" t="s">
        <v>15</v>
      </c>
      <c r="C78" s="7" t="s">
        <v>294</v>
      </c>
      <c r="D78" s="7" t="s">
        <v>219</v>
      </c>
      <c r="E78" s="7" t="s">
        <v>158</v>
      </c>
      <c r="F78" s="7" t="s">
        <v>159</v>
      </c>
      <c r="G78" s="7"/>
      <c r="H78" s="7"/>
    </row>
    <row r="79" spans="1:8" ht="16">
      <c r="A79" s="7" t="s">
        <v>218</v>
      </c>
      <c r="B79" s="7" t="s">
        <v>16</v>
      </c>
      <c r="C79" s="7" t="s">
        <v>295</v>
      </c>
      <c r="D79" s="7" t="s">
        <v>219</v>
      </c>
      <c r="E79" s="7" t="s">
        <v>158</v>
      </c>
      <c r="F79" s="7" t="s">
        <v>159</v>
      </c>
      <c r="G79" s="7"/>
      <c r="H79" s="7"/>
    </row>
    <row r="80" spans="1:8" ht="16">
      <c r="A80" s="7" t="s">
        <v>218</v>
      </c>
      <c r="B80" s="7" t="s">
        <v>17</v>
      </c>
      <c r="C80" s="7" t="s">
        <v>296</v>
      </c>
      <c r="D80" s="7" t="s">
        <v>219</v>
      </c>
      <c r="E80" s="7" t="s">
        <v>158</v>
      </c>
      <c r="F80" s="7" t="s">
        <v>159</v>
      </c>
      <c r="G80" s="7"/>
      <c r="H80" s="7"/>
    </row>
    <row r="81" spans="1:8" ht="16">
      <c r="A81" s="7" t="s">
        <v>218</v>
      </c>
      <c r="B81" s="7" t="s">
        <v>18</v>
      </c>
      <c r="C81" s="7" t="s">
        <v>297</v>
      </c>
      <c r="D81" s="7" t="s">
        <v>219</v>
      </c>
      <c r="E81" s="7" t="s">
        <v>158</v>
      </c>
      <c r="F81" s="7" t="s">
        <v>159</v>
      </c>
      <c r="G81" s="7"/>
      <c r="H81" s="7"/>
    </row>
    <row r="82" spans="1:8" ht="16">
      <c r="A82" s="7" t="s">
        <v>218</v>
      </c>
      <c r="B82" s="7" t="s">
        <v>19</v>
      </c>
      <c r="C82" s="7" t="s">
        <v>298</v>
      </c>
      <c r="D82" s="7" t="s">
        <v>219</v>
      </c>
      <c r="E82" s="7" t="s">
        <v>158</v>
      </c>
      <c r="F82" s="7" t="s">
        <v>159</v>
      </c>
      <c r="G82" s="7"/>
      <c r="H82" s="7"/>
    </row>
    <row r="83" spans="1:8" ht="16">
      <c r="A83" s="7" t="s">
        <v>218</v>
      </c>
      <c r="B83" s="7" t="s">
        <v>20</v>
      </c>
      <c r="C83" s="7" t="s">
        <v>299</v>
      </c>
      <c r="D83" s="7" t="s">
        <v>162</v>
      </c>
      <c r="E83" s="7" t="s">
        <v>175</v>
      </c>
      <c r="F83" s="7" t="s">
        <v>159</v>
      </c>
      <c r="G83" s="7" t="s">
        <v>300</v>
      </c>
      <c r="H83" s="7"/>
    </row>
    <row r="84" spans="1:8" ht="32">
      <c r="A84" s="7" t="s">
        <v>218</v>
      </c>
      <c r="B84" s="7" t="s">
        <v>21</v>
      </c>
      <c r="C84" s="7" t="s">
        <v>301</v>
      </c>
      <c r="D84" s="7" t="s">
        <v>162</v>
      </c>
      <c r="E84" s="7" t="s">
        <v>175</v>
      </c>
      <c r="F84" s="7" t="s">
        <v>159</v>
      </c>
      <c r="G84" s="7"/>
      <c r="H84" s="7" t="s">
        <v>302</v>
      </c>
    </row>
    <row r="85" spans="1:8" ht="32">
      <c r="A85" s="7" t="s">
        <v>218</v>
      </c>
      <c r="B85" s="7" t="s">
        <v>22</v>
      </c>
      <c r="C85" s="7" t="s">
        <v>303</v>
      </c>
      <c r="D85" s="7" t="s">
        <v>219</v>
      </c>
      <c r="E85" s="7" t="s">
        <v>158</v>
      </c>
      <c r="F85" s="7" t="s">
        <v>159</v>
      </c>
      <c r="G85" s="7"/>
      <c r="H85" s="7" t="s">
        <v>304</v>
      </c>
    </row>
    <row r="86" spans="1:8" ht="16">
      <c r="A86" s="7" t="s">
        <v>218</v>
      </c>
      <c r="B86" s="7" t="s">
        <v>23</v>
      </c>
      <c r="C86" s="7" t="s">
        <v>305</v>
      </c>
      <c r="D86" s="7" t="s">
        <v>219</v>
      </c>
      <c r="E86" s="7" t="s">
        <v>158</v>
      </c>
      <c r="F86" s="7" t="s">
        <v>159</v>
      </c>
      <c r="G86" s="7"/>
      <c r="H86" s="7"/>
    </row>
    <row r="87" spans="1:8" ht="16">
      <c r="A87" s="7" t="s">
        <v>218</v>
      </c>
      <c r="B87" s="7" t="s">
        <v>24</v>
      </c>
      <c r="C87" s="7" t="s">
        <v>306</v>
      </c>
      <c r="D87" s="7" t="s">
        <v>219</v>
      </c>
      <c r="E87" s="7" t="s">
        <v>158</v>
      </c>
      <c r="F87" s="7" t="s">
        <v>159</v>
      </c>
      <c r="G87" s="7"/>
      <c r="H87" s="7"/>
    </row>
    <row r="88" spans="1:8" ht="16">
      <c r="A88" s="7" t="s">
        <v>218</v>
      </c>
      <c r="B88" s="7" t="s">
        <v>25</v>
      </c>
      <c r="C88" s="7" t="s">
        <v>307</v>
      </c>
      <c r="D88" s="7" t="s">
        <v>219</v>
      </c>
      <c r="E88" s="7" t="s">
        <v>158</v>
      </c>
      <c r="F88" s="7" t="s">
        <v>159</v>
      </c>
      <c r="G88" s="7"/>
      <c r="H88" s="7"/>
    </row>
    <row r="89" spans="1:8" ht="16">
      <c r="A89" s="7" t="s">
        <v>218</v>
      </c>
      <c r="B89" s="7" t="s">
        <v>26</v>
      </c>
      <c r="C89" s="7" t="s">
        <v>308</v>
      </c>
      <c r="D89" s="7" t="s">
        <v>219</v>
      </c>
      <c r="E89" s="7" t="s">
        <v>158</v>
      </c>
      <c r="F89" s="7" t="s">
        <v>159</v>
      </c>
      <c r="G89" s="7"/>
      <c r="H89" s="7"/>
    </row>
    <row r="90" spans="1:8" ht="16">
      <c r="A90" s="7" t="s">
        <v>218</v>
      </c>
      <c r="B90" s="7" t="s">
        <v>27</v>
      </c>
      <c r="C90" s="7" t="s">
        <v>309</v>
      </c>
      <c r="D90" s="7" t="s">
        <v>219</v>
      </c>
      <c r="E90" s="7" t="s">
        <v>158</v>
      </c>
      <c r="F90" s="7" t="s">
        <v>159</v>
      </c>
      <c r="G90" s="7"/>
      <c r="H90" s="7"/>
    </row>
    <row r="91" spans="1:8" ht="16">
      <c r="A91" s="7" t="s">
        <v>218</v>
      </c>
      <c r="B91" s="7" t="s">
        <v>28</v>
      </c>
      <c r="C91" s="7" t="s">
        <v>310</v>
      </c>
      <c r="D91" s="7" t="s">
        <v>219</v>
      </c>
      <c r="E91" s="7" t="s">
        <v>158</v>
      </c>
      <c r="F91" s="7" t="s">
        <v>159</v>
      </c>
      <c r="G91" s="7"/>
      <c r="H91" s="7"/>
    </row>
    <row r="92" spans="1:8" ht="16">
      <c r="A92" s="7" t="s">
        <v>218</v>
      </c>
      <c r="B92" s="7" t="s">
        <v>29</v>
      </c>
      <c r="C92" s="7" t="s">
        <v>311</v>
      </c>
      <c r="D92" s="7" t="s">
        <v>219</v>
      </c>
      <c r="E92" s="7" t="s">
        <v>158</v>
      </c>
      <c r="F92" s="7" t="s">
        <v>159</v>
      </c>
      <c r="G92" s="7"/>
      <c r="H92" s="7"/>
    </row>
    <row r="93" spans="1:8" ht="16">
      <c r="A93" s="7" t="s">
        <v>218</v>
      </c>
      <c r="B93" s="7" t="s">
        <v>30</v>
      </c>
      <c r="C93" s="7" t="s">
        <v>312</v>
      </c>
      <c r="D93" s="7" t="s">
        <v>219</v>
      </c>
      <c r="E93" s="7" t="s">
        <v>158</v>
      </c>
      <c r="F93" s="7" t="s">
        <v>159</v>
      </c>
      <c r="G93" s="7"/>
      <c r="H93" s="7"/>
    </row>
    <row r="94" spans="1:8" ht="16">
      <c r="A94" s="7" t="s">
        <v>218</v>
      </c>
      <c r="B94" s="7" t="s">
        <v>31</v>
      </c>
      <c r="C94" s="7" t="s">
        <v>313</v>
      </c>
      <c r="D94" s="7" t="s">
        <v>219</v>
      </c>
      <c r="E94" s="7" t="s">
        <v>158</v>
      </c>
      <c r="F94" s="7" t="s">
        <v>159</v>
      </c>
      <c r="G94" s="7"/>
      <c r="H94" s="7"/>
    </row>
    <row r="95" spans="1:8" ht="16">
      <c r="A95" s="7" t="s">
        <v>218</v>
      </c>
      <c r="B95" s="7" t="s">
        <v>32</v>
      </c>
      <c r="C95" s="7" t="s">
        <v>314</v>
      </c>
      <c r="D95" s="7" t="s">
        <v>219</v>
      </c>
      <c r="E95" s="7" t="s">
        <v>158</v>
      </c>
      <c r="F95" s="7" t="s">
        <v>159</v>
      </c>
      <c r="G95" s="7"/>
      <c r="H95" s="7"/>
    </row>
    <row r="96" spans="1:8" ht="16">
      <c r="A96" s="7" t="s">
        <v>218</v>
      </c>
      <c r="B96" s="7" t="s">
        <v>33</v>
      </c>
      <c r="C96" s="7" t="s">
        <v>315</v>
      </c>
      <c r="D96" s="7" t="s">
        <v>219</v>
      </c>
      <c r="E96" s="7" t="s">
        <v>158</v>
      </c>
      <c r="F96" s="7" t="s">
        <v>159</v>
      </c>
      <c r="G96" s="7"/>
      <c r="H96" s="7"/>
    </row>
    <row r="97" spans="1:8" ht="32">
      <c r="A97" s="7" t="s">
        <v>218</v>
      </c>
      <c r="B97" s="7" t="s">
        <v>34</v>
      </c>
      <c r="C97" s="7" t="s">
        <v>316</v>
      </c>
      <c r="D97" s="7" t="s">
        <v>162</v>
      </c>
      <c r="E97" s="7" t="s">
        <v>175</v>
      </c>
      <c r="F97" s="7" t="s">
        <v>159</v>
      </c>
      <c r="G97" s="7" t="s">
        <v>317</v>
      </c>
      <c r="H97" s="7"/>
    </row>
    <row r="98" spans="1:8" ht="16">
      <c r="A98" s="7" t="s">
        <v>218</v>
      </c>
      <c r="B98" s="7" t="s">
        <v>35</v>
      </c>
      <c r="C98" s="7" t="s">
        <v>318</v>
      </c>
      <c r="D98" s="7" t="s">
        <v>162</v>
      </c>
      <c r="E98" s="7" t="s">
        <v>175</v>
      </c>
      <c r="F98" s="7" t="s">
        <v>159</v>
      </c>
      <c r="G98" s="7" t="s">
        <v>319</v>
      </c>
      <c r="H98" s="7"/>
    </row>
    <row r="99" spans="1:8" ht="32">
      <c r="A99" s="7" t="s">
        <v>218</v>
      </c>
      <c r="B99" s="7" t="s">
        <v>36</v>
      </c>
      <c r="C99" s="7" t="s">
        <v>320</v>
      </c>
      <c r="D99" s="7" t="s">
        <v>162</v>
      </c>
      <c r="E99" s="7" t="s">
        <v>175</v>
      </c>
      <c r="F99" s="7" t="s">
        <v>159</v>
      </c>
      <c r="G99" s="7"/>
      <c r="H99" s="7" t="s">
        <v>321</v>
      </c>
    </row>
    <row r="100" spans="1:8" ht="32">
      <c r="A100" s="7" t="s">
        <v>218</v>
      </c>
      <c r="B100" s="7" t="s">
        <v>37</v>
      </c>
      <c r="C100" s="7" t="s">
        <v>322</v>
      </c>
      <c r="D100" s="7" t="s">
        <v>219</v>
      </c>
      <c r="E100" s="7" t="s">
        <v>158</v>
      </c>
      <c r="F100" s="7" t="s">
        <v>159</v>
      </c>
      <c r="G100" s="7"/>
      <c r="H100" s="7" t="s">
        <v>347</v>
      </c>
    </row>
    <row r="101" spans="1:8" ht="32">
      <c r="A101" s="7" t="s">
        <v>218</v>
      </c>
      <c r="B101" s="7" t="s">
        <v>38</v>
      </c>
      <c r="C101" s="7" t="s">
        <v>323</v>
      </c>
      <c r="D101" s="7" t="s">
        <v>219</v>
      </c>
      <c r="E101" s="7" t="s">
        <v>158</v>
      </c>
      <c r="F101" s="7" t="s">
        <v>159</v>
      </c>
      <c r="G101" s="7"/>
      <c r="H101" s="7" t="s">
        <v>347</v>
      </c>
    </row>
    <row r="102" spans="1:8" ht="64">
      <c r="A102" s="7" t="s">
        <v>218</v>
      </c>
      <c r="B102" s="7" t="s">
        <v>39</v>
      </c>
      <c r="C102" s="7" t="s">
        <v>324</v>
      </c>
      <c r="D102" s="7" t="s">
        <v>162</v>
      </c>
      <c r="E102" s="7" t="s">
        <v>175</v>
      </c>
      <c r="F102" s="7" t="s">
        <v>159</v>
      </c>
      <c r="G102" s="7" t="s">
        <v>325</v>
      </c>
      <c r="H102" s="7" t="s">
        <v>326</v>
      </c>
    </row>
    <row r="103" spans="1:8" ht="64">
      <c r="A103" s="7" t="s">
        <v>218</v>
      </c>
      <c r="B103" s="7" t="s">
        <v>40</v>
      </c>
      <c r="C103" s="7" t="s">
        <v>327</v>
      </c>
      <c r="D103" s="7" t="s">
        <v>162</v>
      </c>
      <c r="E103" s="7" t="s">
        <v>175</v>
      </c>
      <c r="F103" s="7" t="s">
        <v>159</v>
      </c>
      <c r="G103" s="7" t="s">
        <v>328</v>
      </c>
      <c r="H103" s="7" t="s">
        <v>326</v>
      </c>
    </row>
    <row r="104" spans="1:8" ht="64">
      <c r="A104" s="7" t="s">
        <v>218</v>
      </c>
      <c r="B104" s="7" t="s">
        <v>41</v>
      </c>
      <c r="C104" s="7" t="s">
        <v>329</v>
      </c>
      <c r="D104" s="7" t="s">
        <v>162</v>
      </c>
      <c r="E104" s="7" t="s">
        <v>175</v>
      </c>
      <c r="F104" s="7" t="s">
        <v>159</v>
      </c>
      <c r="G104" s="7" t="s">
        <v>330</v>
      </c>
      <c r="H104" s="7" t="s">
        <v>331</v>
      </c>
    </row>
    <row r="105" spans="1:8" ht="16">
      <c r="A105" s="7" t="s">
        <v>220</v>
      </c>
      <c r="B105" s="7" t="s">
        <v>0</v>
      </c>
      <c r="C105" s="7" t="s">
        <v>156</v>
      </c>
      <c r="D105" s="7" t="s">
        <v>157</v>
      </c>
      <c r="E105" s="7" t="s">
        <v>158</v>
      </c>
      <c r="F105" s="7" t="s">
        <v>159</v>
      </c>
      <c r="G105" s="7"/>
      <c r="H105" s="7"/>
    </row>
    <row r="106" spans="1:8" ht="16">
      <c r="A106" s="7" t="s">
        <v>220</v>
      </c>
      <c r="B106" s="7" t="s">
        <v>1</v>
      </c>
      <c r="C106" s="7" t="s">
        <v>161</v>
      </c>
      <c r="D106" s="7" t="s">
        <v>162</v>
      </c>
      <c r="E106" s="7" t="s">
        <v>158</v>
      </c>
      <c r="F106" s="7" t="s">
        <v>159</v>
      </c>
      <c r="G106" s="7"/>
      <c r="H106" s="7"/>
    </row>
    <row r="107" spans="1:8" ht="16">
      <c r="A107" s="7" t="s">
        <v>220</v>
      </c>
      <c r="B107" s="7" t="s">
        <v>2</v>
      </c>
      <c r="C107" s="7" t="s">
        <v>164</v>
      </c>
      <c r="D107" s="7" t="s">
        <v>157</v>
      </c>
      <c r="E107" s="7" t="s">
        <v>158</v>
      </c>
      <c r="F107" s="7" t="s">
        <v>159</v>
      </c>
      <c r="G107" s="7"/>
      <c r="H107" s="7"/>
    </row>
    <row r="108" spans="1:8" ht="16">
      <c r="A108" s="7" t="s">
        <v>220</v>
      </c>
      <c r="B108" s="7" t="s">
        <v>127</v>
      </c>
      <c r="C108" s="7" t="s">
        <v>332</v>
      </c>
      <c r="D108" s="7" t="s">
        <v>167</v>
      </c>
      <c r="E108" s="7" t="s">
        <v>158</v>
      </c>
      <c r="F108" s="7" t="s">
        <v>159</v>
      </c>
      <c r="G108" s="7" t="s">
        <v>349</v>
      </c>
      <c r="H108" s="7"/>
    </row>
    <row r="109" spans="1:8" ht="32">
      <c r="A109" s="7" t="s">
        <v>220</v>
      </c>
      <c r="B109" s="7" t="s">
        <v>128</v>
      </c>
      <c r="C109" s="7" t="s">
        <v>333</v>
      </c>
      <c r="D109" s="7" t="s">
        <v>167</v>
      </c>
      <c r="E109" s="7" t="s">
        <v>158</v>
      </c>
      <c r="F109" s="7" t="s">
        <v>159</v>
      </c>
      <c r="G109" s="7"/>
      <c r="H109" s="7"/>
    </row>
    <row r="110" spans="1:8" ht="16">
      <c r="A110" s="7" t="s">
        <v>220</v>
      </c>
      <c r="B110" s="7" t="s">
        <v>129</v>
      </c>
      <c r="C110" s="7" t="s">
        <v>334</v>
      </c>
      <c r="D110" s="7" t="s">
        <v>167</v>
      </c>
      <c r="E110" s="7" t="s">
        <v>158</v>
      </c>
      <c r="F110" s="7" t="s">
        <v>159</v>
      </c>
      <c r="G110" s="7"/>
      <c r="H110" s="7"/>
    </row>
    <row r="111" spans="1:8" ht="32">
      <c r="A111" s="7" t="s">
        <v>220</v>
      </c>
      <c r="B111" s="7" t="s">
        <v>130</v>
      </c>
      <c r="C111" s="7" t="s">
        <v>335</v>
      </c>
      <c r="D111" s="7" t="s">
        <v>167</v>
      </c>
      <c r="E111" s="7" t="s">
        <v>158</v>
      </c>
      <c r="F111" s="7" t="s">
        <v>159</v>
      </c>
      <c r="G111" s="7"/>
      <c r="H111" s="7"/>
    </row>
    <row r="112" spans="1:8" ht="32">
      <c r="A112" s="7" t="s">
        <v>220</v>
      </c>
      <c r="B112" s="7" t="s">
        <v>131</v>
      </c>
      <c r="C112" s="7" t="s">
        <v>336</v>
      </c>
      <c r="D112" s="7" t="s">
        <v>167</v>
      </c>
      <c r="E112" s="7" t="s">
        <v>158</v>
      </c>
      <c r="F112" s="7" t="s">
        <v>159</v>
      </c>
      <c r="G112" s="7"/>
      <c r="H112" s="7"/>
    </row>
    <row r="113" spans="1:8" ht="16">
      <c r="A113" s="7" t="s">
        <v>220</v>
      </c>
      <c r="B113" s="7" t="s">
        <v>132</v>
      </c>
      <c r="C113" s="7" t="s">
        <v>337</v>
      </c>
      <c r="D113" s="7" t="s">
        <v>167</v>
      </c>
      <c r="E113" s="7" t="s">
        <v>158</v>
      </c>
      <c r="F113" s="7" t="s">
        <v>159</v>
      </c>
      <c r="G113" s="7"/>
      <c r="H113" s="7"/>
    </row>
    <row r="114" spans="1:8" ht="32">
      <c r="A114" s="7" t="s">
        <v>220</v>
      </c>
      <c r="B114" s="7" t="s">
        <v>133</v>
      </c>
      <c r="C114" s="7" t="s">
        <v>338</v>
      </c>
      <c r="D114" s="7" t="s">
        <v>167</v>
      </c>
      <c r="E114" s="7" t="s">
        <v>158</v>
      </c>
      <c r="F114" s="7" t="s">
        <v>159</v>
      </c>
      <c r="G114" s="7"/>
      <c r="H114" s="7"/>
    </row>
    <row r="115" spans="1:8" ht="16">
      <c r="A115" s="7" t="s">
        <v>220</v>
      </c>
      <c r="B115" s="7" t="s">
        <v>134</v>
      </c>
      <c r="C115" s="7" t="s">
        <v>339</v>
      </c>
      <c r="D115" s="7" t="s">
        <v>167</v>
      </c>
      <c r="E115" s="7" t="s">
        <v>158</v>
      </c>
      <c r="F115" s="7" t="s">
        <v>159</v>
      </c>
      <c r="G115" s="7"/>
      <c r="H115" s="7"/>
    </row>
    <row r="116" spans="1:8" ht="16">
      <c r="A116" s="7" t="s">
        <v>220</v>
      </c>
      <c r="B116" s="7" t="s">
        <v>135</v>
      </c>
      <c r="C116" s="7" t="s">
        <v>340</v>
      </c>
      <c r="D116" s="7" t="s">
        <v>167</v>
      </c>
      <c r="E116" s="7" t="s">
        <v>158</v>
      </c>
      <c r="F116" s="7" t="s">
        <v>159</v>
      </c>
      <c r="G116" s="7" t="s">
        <v>263</v>
      </c>
      <c r="H116" s="7"/>
    </row>
    <row r="117" spans="1:8" ht="48">
      <c r="A117" s="7" t="s">
        <v>220</v>
      </c>
      <c r="B117" s="7" t="s">
        <v>136</v>
      </c>
      <c r="C117" s="7" t="s">
        <v>341</v>
      </c>
      <c r="D117" s="7" t="s">
        <v>162</v>
      </c>
      <c r="E117" s="7" t="s">
        <v>175</v>
      </c>
      <c r="F117" s="7" t="s">
        <v>159</v>
      </c>
      <c r="G117" s="7" t="s">
        <v>342</v>
      </c>
      <c r="H117" s="7"/>
    </row>
    <row r="118" spans="1:8" ht="16">
      <c r="A118" s="7" t="s">
        <v>220</v>
      </c>
      <c r="B118" s="7" t="s">
        <v>137</v>
      </c>
      <c r="C118" s="7" t="s">
        <v>343</v>
      </c>
      <c r="D118" s="7" t="s">
        <v>162</v>
      </c>
      <c r="E118" s="7" t="s">
        <v>175</v>
      </c>
      <c r="F118" s="7" t="s">
        <v>159</v>
      </c>
      <c r="G118" s="7" t="s">
        <v>344</v>
      </c>
      <c r="H118" s="7"/>
    </row>
    <row r="119" spans="1:8" ht="16">
      <c r="A119" s="7" t="s">
        <v>220</v>
      </c>
      <c r="B119" s="7" t="s">
        <v>138</v>
      </c>
      <c r="C119" s="7" t="s">
        <v>345</v>
      </c>
      <c r="D119" s="7" t="s">
        <v>162</v>
      </c>
      <c r="E119" s="7" t="s">
        <v>175</v>
      </c>
      <c r="F119" s="7" t="s">
        <v>159</v>
      </c>
      <c r="G119" s="7"/>
      <c r="H119" s="7" t="s">
        <v>350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>
      <selection activeCell="B17" sqref="B17"/>
    </sheetView>
  </sheetViews>
  <sheetFormatPr baseColWidth="10" defaultColWidth="8.83203125" defaultRowHeight="15"/>
  <cols>
    <col min="1" max="1" width="24" customWidth="1"/>
    <col min="2" max="2" width="80" customWidth="1"/>
  </cols>
  <sheetData>
    <row r="1" spans="1:2" ht="16" customHeight="1">
      <c r="A1" s="1" t="s">
        <v>221</v>
      </c>
      <c r="B1" s="1" t="s">
        <v>222</v>
      </c>
    </row>
    <row r="2" spans="1:2">
      <c r="A2" t="s">
        <v>223</v>
      </c>
      <c r="B2" t="s">
        <v>224</v>
      </c>
    </row>
    <row r="3" spans="1:2">
      <c r="A3" t="s">
        <v>225</v>
      </c>
      <c r="B3" t="s">
        <v>226</v>
      </c>
    </row>
    <row r="4" spans="1:2">
      <c r="A4" t="s">
        <v>227</v>
      </c>
      <c r="B4" t="s">
        <v>228</v>
      </c>
    </row>
    <row r="5" spans="1:2">
      <c r="A5" t="s">
        <v>118</v>
      </c>
      <c r="B5" t="s">
        <v>229</v>
      </c>
    </row>
    <row r="6" spans="1:2">
      <c r="A6" t="s">
        <v>119</v>
      </c>
      <c r="B6" t="s">
        <v>230</v>
      </c>
    </row>
    <row r="7" spans="1:2">
      <c r="A7" t="s">
        <v>231</v>
      </c>
      <c r="B7" t="s">
        <v>232</v>
      </c>
    </row>
    <row r="8" spans="1:2">
      <c r="A8" t="s">
        <v>233</v>
      </c>
      <c r="B8" t="s">
        <v>234</v>
      </c>
    </row>
    <row r="9" spans="1:2">
      <c r="A9" t="s">
        <v>235</v>
      </c>
      <c r="B9" t="s">
        <v>236</v>
      </c>
    </row>
    <row r="10" spans="1:2">
      <c r="A10" t="s">
        <v>237</v>
      </c>
      <c r="B10" t="s">
        <v>238</v>
      </c>
    </row>
    <row r="11" spans="1:2">
      <c r="A11" t="s">
        <v>239</v>
      </c>
      <c r="B11" t="s">
        <v>240</v>
      </c>
    </row>
    <row r="12" spans="1:2">
      <c r="A12" t="s">
        <v>241</v>
      </c>
      <c r="B12" t="s">
        <v>242</v>
      </c>
    </row>
    <row r="14" spans="1:2">
      <c r="A14" s="8"/>
      <c r="B1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Participant_Data</vt:lpstr>
      <vt:lpstr>Prediction</vt:lpstr>
      <vt:lpstr>BIA_MNA_Staff</vt:lpstr>
      <vt:lpstr>Satisfaction</vt:lpstr>
      <vt:lpstr>Data_Dictionary </vt:lpstr>
      <vt:lpstr>Model_Logic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11-54-พรนัชชา-สนอ -</cp:lastModifiedBy>
  <dcterms:created xsi:type="dcterms:W3CDTF">2026-09-10T16:40:59Z</dcterms:created>
  <dcterms:modified xsi:type="dcterms:W3CDTF">2026-09-11T06:22:54Z</dcterms:modified>
</cp:coreProperties>
</file>