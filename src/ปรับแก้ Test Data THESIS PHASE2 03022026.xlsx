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ukanyabuasri/Downloads/"/>
    </mc:Choice>
  </mc:AlternateContent>
  <xr:revisionPtr revIDLastSave="0" documentId="13_ncr:1_{D5B12A4C-F675-754A-98F8-F09A3A89990C}" xr6:coauthVersionLast="47" xr6:coauthVersionMax="47" xr10:uidLastSave="{00000000-0000-0000-0000-000000000000}"/>
  <bookViews>
    <workbookView xWindow="0" yWindow="500" windowWidth="28800" windowHeight="15540" activeTab="10" xr2:uid="{7C1B1123-A905-F747-80B9-6681FF799BC3}"/>
  </bookViews>
  <sheets>
    <sheet name="Code_Demo" sheetId="3" r:id="rId1"/>
    <sheet name="Demographic " sheetId="2" r:id="rId2"/>
    <sheet name="Code_Self" sheetId="4" r:id="rId3"/>
    <sheet name="Self Screen Assess (3)" sheetId="13" r:id="rId4"/>
    <sheet name="Self Screen Assess (2)" sheetId="5" state="hidden" r:id="rId5"/>
    <sheet name="Code_Satisfaction" sheetId="6" r:id="rId6"/>
    <sheet name="Satisfaction" sheetId="7" r:id="rId7"/>
    <sheet name="Code_BIA" sheetId="9" r:id="rId8"/>
    <sheet name="BIA" sheetId="10" r:id="rId9"/>
    <sheet name="Code_MNA" sheetId="11" r:id="rId10"/>
    <sheet name="MNA" sheetId="12" r:id="rId11"/>
    <sheet name="Self Screen Assess" sheetId="1" state="hidden" r:id="rId12"/>
  </sheets>
  <definedNames>
    <definedName name="_xlnm.Print_Area" localSheetId="11">'Self Screen Assess'!$A$1:$V$33</definedName>
    <definedName name="_xlnm.Print_Area" localSheetId="4">'Self Screen Assess (2)'!$A$1:$V$31</definedName>
    <definedName name="_xlnm.Print_Area" localSheetId="3">'Self Screen Assess (3)'!$A$1:$V$6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2" i="7"/>
  <c r="J3" i="7"/>
  <c r="J4" i="7"/>
  <c r="J5" i="7"/>
  <c r="J6" i="7"/>
  <c r="J2" i="7"/>
  <c r="T3" i="13"/>
  <c r="T4" i="13"/>
  <c r="T5" i="13"/>
  <c r="T6" i="13"/>
  <c r="T2" i="13"/>
  <c r="F3" i="13"/>
  <c r="F4" i="13"/>
  <c r="F5" i="13"/>
  <c r="F6" i="13"/>
  <c r="F2" i="13"/>
  <c r="X5" i="12"/>
  <c r="W3" i="12"/>
  <c r="X3" i="12" s="1"/>
  <c r="W4" i="12"/>
  <c r="X4" i="12" s="1"/>
  <c r="W5" i="12"/>
  <c r="W6" i="12"/>
  <c r="X6" i="12" s="1"/>
  <c r="W2" i="12"/>
  <c r="X2" i="12" s="1"/>
  <c r="I3" i="12"/>
  <c r="I4" i="12"/>
  <c r="I5" i="12"/>
  <c r="I6" i="12"/>
  <c r="I2" i="12"/>
  <c r="V6" i="13"/>
  <c r="V5" i="13"/>
  <c r="V4" i="13"/>
  <c r="V3" i="13"/>
  <c r="V2" i="13"/>
  <c r="V31" i="5"/>
  <c r="T31" i="5"/>
  <c r="F31" i="5"/>
  <c r="V30" i="5"/>
  <c r="T30" i="5"/>
  <c r="F30" i="5"/>
  <c r="V29" i="5"/>
  <c r="T29" i="5"/>
  <c r="F29" i="5"/>
  <c r="V28" i="5"/>
  <c r="T28" i="5"/>
  <c r="F28" i="5"/>
  <c r="V27" i="5"/>
  <c r="T27" i="5"/>
  <c r="F27" i="5"/>
  <c r="V26" i="5"/>
  <c r="T26" i="5"/>
  <c r="F26" i="5"/>
  <c r="V25" i="5"/>
  <c r="T25" i="5"/>
  <c r="F25" i="5"/>
  <c r="V24" i="5"/>
  <c r="T24" i="5"/>
  <c r="F24" i="5"/>
  <c r="V23" i="5"/>
  <c r="T23" i="5"/>
  <c r="F23" i="5"/>
  <c r="V22" i="5"/>
  <c r="T22" i="5"/>
  <c r="F22" i="5"/>
  <c r="V21" i="5"/>
  <c r="T21" i="5"/>
  <c r="F21" i="5"/>
  <c r="V20" i="5"/>
  <c r="T20" i="5"/>
  <c r="F20" i="5"/>
  <c r="V19" i="5"/>
  <c r="T19" i="5"/>
  <c r="F19" i="5"/>
  <c r="V18" i="5"/>
  <c r="T18" i="5"/>
  <c r="F18" i="5"/>
  <c r="V17" i="5"/>
  <c r="T17" i="5"/>
  <c r="F17" i="5"/>
  <c r="V16" i="5"/>
  <c r="T16" i="5"/>
  <c r="F16" i="5"/>
  <c r="V15" i="5"/>
  <c r="T15" i="5"/>
  <c r="F15" i="5"/>
  <c r="V14" i="5"/>
  <c r="T14" i="5"/>
  <c r="F14" i="5"/>
  <c r="V13" i="5"/>
  <c r="T13" i="5"/>
  <c r="F13" i="5"/>
  <c r="V12" i="5"/>
  <c r="T12" i="5"/>
  <c r="F12" i="5"/>
  <c r="V11" i="5"/>
  <c r="T11" i="5"/>
  <c r="F11" i="5"/>
  <c r="V10" i="5"/>
  <c r="T10" i="5"/>
  <c r="F10" i="5"/>
  <c r="V9" i="5"/>
  <c r="T9" i="5"/>
  <c r="F9" i="5"/>
  <c r="V8" i="5"/>
  <c r="T8" i="5"/>
  <c r="F8" i="5"/>
  <c r="V7" i="5"/>
  <c r="T7" i="5"/>
  <c r="F7" i="5"/>
  <c r="V6" i="5"/>
  <c r="T6" i="5"/>
  <c r="F6" i="5"/>
  <c r="V5" i="5"/>
  <c r="T5" i="5"/>
  <c r="F5" i="5"/>
  <c r="V4" i="5"/>
  <c r="T4" i="5"/>
  <c r="F4" i="5"/>
  <c r="V3" i="5"/>
  <c r="T3" i="5"/>
  <c r="F3" i="5"/>
  <c r="V2" i="5"/>
  <c r="T2" i="5"/>
  <c r="F2" i="5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4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6" i="1"/>
  <c r="F5" i="1"/>
  <c r="F4" i="1"/>
</calcChain>
</file>

<file path=xl/sharedStrings.xml><?xml version="1.0" encoding="utf-8"?>
<sst xmlns="http://schemas.openxmlformats.org/spreadsheetml/2006/main" count="836" uniqueCount="393">
  <si>
    <t>SCREEN</t>
  </si>
  <si>
    <t>DIETARY ASSESS</t>
  </si>
  <si>
    <t xml:space="preserve">Total </t>
  </si>
  <si>
    <t>Total</t>
  </si>
  <si>
    <t>M</t>
  </si>
  <si>
    <t>U</t>
  </si>
  <si>
    <t>N</t>
  </si>
  <si>
    <t>BW Change</t>
  </si>
  <si>
    <t>Appitite</t>
  </si>
  <si>
    <t>Activity</t>
  </si>
  <si>
    <t>Disease</t>
  </si>
  <si>
    <t>Meal</t>
  </si>
  <si>
    <t>Intake</t>
  </si>
  <si>
    <t>Type</t>
  </si>
  <si>
    <t>Rice/Strach</t>
  </si>
  <si>
    <t>Meat/Egg</t>
  </si>
  <si>
    <t>Milk</t>
  </si>
  <si>
    <t>Fruit</t>
  </si>
  <si>
    <t>Vegetable</t>
  </si>
  <si>
    <t>Water</t>
  </si>
  <si>
    <t>Sweet Drink</t>
  </si>
  <si>
    <t>Cook Method</t>
  </si>
  <si>
    <t>Oil</t>
  </si>
  <si>
    <t>N=Normal,  M=Moderate Malnutrition</t>
  </si>
  <si>
    <t>U=under nutrition, M=Moderate Malnutrition, N=Normal, O=Over nutrition</t>
  </si>
  <si>
    <t>ID</t>
  </si>
  <si>
    <t>รหัสผู้เข้าร่วม</t>
  </si>
  <si>
    <t>Coding</t>
  </si>
  <si>
    <t>Column</t>
  </si>
  <si>
    <t>คีย์ข้อมูล</t>
  </si>
  <si>
    <t>1,2,3…300</t>
  </si>
  <si>
    <t>Role</t>
  </si>
  <si>
    <t>สถานะ</t>
  </si>
  <si>
    <t>Age</t>
  </si>
  <si>
    <t>อายุ (ปี)</t>
  </si>
  <si>
    <t xml:space="preserve">ตัวเลขตามอายุจริง </t>
  </si>
  <si>
    <t>Sex</t>
  </si>
  <si>
    <t>เพศ</t>
  </si>
  <si>
    <t>1 = ชาย</t>
  </si>
  <si>
    <t>2 = ผู้ดูแล</t>
  </si>
  <si>
    <t>1 = ผู้สูงอายุ</t>
  </si>
  <si>
    <t>2 = หญิง</t>
  </si>
  <si>
    <t>Education</t>
  </si>
  <si>
    <t>1 = ประถม</t>
  </si>
  <si>
    <t>2 = มัธยม</t>
  </si>
  <si>
    <t>3 = ป.ตรี</t>
  </si>
  <si>
    <t>4 = สูงกว่าป.ตรี</t>
  </si>
  <si>
    <t>Martial_status</t>
  </si>
  <si>
    <t>ระดับการศึกษา</t>
  </si>
  <si>
    <t>สถานภาพการสมรส</t>
  </si>
  <si>
    <t>1 = โสด</t>
  </si>
  <si>
    <t>2 = สมรส</t>
  </si>
  <si>
    <t>3 = หม้าย</t>
  </si>
  <si>
    <t>4 = หย่าร้าง</t>
  </si>
  <si>
    <t>Income</t>
  </si>
  <si>
    <t>รายได้ต่อเดือน</t>
  </si>
  <si>
    <t xml:space="preserve">1 = &lt; 10,000 </t>
  </si>
  <si>
    <t>2 = 10,001 - 20,000</t>
  </si>
  <si>
    <t>3 = 20,001 - 30,000</t>
  </si>
  <si>
    <t>4 = มากกว่า 30,000</t>
  </si>
  <si>
    <t>Income_Source</t>
  </si>
  <si>
    <t>DM</t>
  </si>
  <si>
    <t>0 = ไม่เป็น</t>
  </si>
  <si>
    <t>1 = เป็น</t>
  </si>
  <si>
    <t>HT</t>
  </si>
  <si>
    <t>DLP</t>
  </si>
  <si>
    <t>CKD</t>
  </si>
  <si>
    <t>CA</t>
  </si>
  <si>
    <t>Other</t>
  </si>
  <si>
    <t>ท่านอาศัยอยู่กับ</t>
  </si>
  <si>
    <t>1 = อยู่คนเดียว</t>
  </si>
  <si>
    <t>2 = อยู่กับคู่สมรส</t>
  </si>
  <si>
    <t>3 = อยู่กับเพื่อน</t>
  </si>
  <si>
    <t>4 = อยู่กับครอบครัว</t>
  </si>
  <si>
    <t>ข้อมูลพื้นฐานเกี่ยวกับบุคคลที่เข้าร่วมการศึกษา</t>
  </si>
  <si>
    <t>0 = ไม่มี</t>
  </si>
  <si>
    <t>1 = มี</t>
  </si>
  <si>
    <t>เบี้ยยังชีพผู้สูงอายุ</t>
  </si>
  <si>
    <t>บำเหน็จ/บำนาญ</t>
  </si>
  <si>
    <t>คู่สมรส</t>
  </si>
  <si>
    <t>บุตร</t>
  </si>
  <si>
    <t>การทำงาน</t>
  </si>
  <si>
    <t>Income_oldage</t>
  </si>
  <si>
    <t>Income_spouse</t>
  </si>
  <si>
    <t>Income_children</t>
  </si>
  <si>
    <t>Income_work</t>
  </si>
  <si>
    <t>Income_Pension</t>
  </si>
  <si>
    <t>Other_text</t>
  </si>
  <si>
    <t>0 = ไม่มีแหล่งรายได้นั้น</t>
  </si>
  <si>
    <t>1 = มีแหล่งรายได้นั้น</t>
  </si>
  <si>
    <t>Marital_status</t>
  </si>
  <si>
    <t>Living_with</t>
  </si>
  <si>
    <t>ระดับการวัด</t>
  </si>
  <si>
    <t>Nominal</t>
  </si>
  <si>
    <t>Scale</t>
  </si>
  <si>
    <t>Ordinal</t>
  </si>
  <si>
    <t>Text</t>
  </si>
  <si>
    <t>ข้อความระบุโรค (กรอกเมื่อ Other = 1)</t>
  </si>
  <si>
    <t>scr_bw</t>
  </si>
  <si>
    <t>การเปลี่ยนแปลงน้ำหนักตัว</t>
  </si>
  <si>
    <t>2 = ลดลง</t>
  </si>
  <si>
    <t>0 = คงเดิม</t>
  </si>
  <si>
    <t>2 = เพิ่มขึ้น</t>
  </si>
  <si>
    <t>scr_app</t>
  </si>
  <si>
    <t>ความเปลี่ยนแปลงการกิน</t>
  </si>
  <si>
    <t>2 = เบื่ออาหาร กินได้น้อย</t>
  </si>
  <si>
    <t>0 = ปกติ กินได้เท่าเดิม</t>
  </si>
  <si>
    <t>2 = อยากอาหารมากขึ้น</t>
  </si>
  <si>
    <t>scr_act</t>
  </si>
  <si>
    <t>ความสามารถในการทำกิจวัตร</t>
  </si>
  <si>
    <t>2 = ไม่สามารถทำได้</t>
  </si>
  <si>
    <t>1 = ทำได้แต่ใช้เวลามาก</t>
  </si>
  <si>
    <t>0 = ทำได้ปกติ</t>
  </si>
  <si>
    <t>โรคประจำตัว</t>
  </si>
  <si>
    <t>scr_dx</t>
  </si>
  <si>
    <t>scr_total</t>
  </si>
  <si>
    <t>ผลคะแนนรวมการคัดกรอง</t>
  </si>
  <si>
    <t>scr_status</t>
  </si>
  <si>
    <t>ass_meal</t>
  </si>
  <si>
    <t>แปลผล</t>
  </si>
  <si>
    <t>0 = ภาวะโภชนาการปกติ (Normal Nutrition)</t>
  </si>
  <si>
    <t>1 = มีความเสี่ยงทุพโภชนาการ (Moderate Malnutrition)</t>
  </si>
  <si>
    <t>ระบุคะแนนเป็นตัวเลข</t>
  </si>
  <si>
    <t>กินอาหารมื้อหลักวันละ</t>
  </si>
  <si>
    <t>0 = แทบไม่ได้กิน กินได้เล็กน้อย</t>
  </si>
  <si>
    <t>1 = กิน 1 มื้อหลัก</t>
  </si>
  <si>
    <t>2 = กิน 2 มื้อหลัก</t>
  </si>
  <si>
    <t>3 = กิน 3 มื้อหลัก</t>
  </si>
  <si>
    <t>4 = กินมากกว่า 3 มื้อหลัก</t>
  </si>
  <si>
    <t>ass_intake</t>
  </si>
  <si>
    <t>ปริมาณที่กินได้</t>
  </si>
  <si>
    <t>0 = กินได้ 25%</t>
  </si>
  <si>
    <t>1 = กินได้ 50%</t>
  </si>
  <si>
    <t>2 = กินได้ 75%</t>
  </si>
  <si>
    <t>3 = กินได้ 100%</t>
  </si>
  <si>
    <t>4 = กินได้ &gt;100%</t>
  </si>
  <si>
    <t>ass_type</t>
  </si>
  <si>
    <t>ลักษณะอาหารที่กิน</t>
  </si>
  <si>
    <t>0 = อาหารเหลว</t>
  </si>
  <si>
    <t>1 = อาหารอ่อนนิ่ม</t>
  </si>
  <si>
    <t>4 = อาหารปกติ</t>
  </si>
  <si>
    <t>ข้าว/แป้ง</t>
  </si>
  <si>
    <t>0 = แทบไม่กิน</t>
  </si>
  <si>
    <t>1 = กิน 1-3 กำปั้นมือ</t>
  </si>
  <si>
    <t>2 = กิน 4-6 กำปั้นมือ</t>
  </si>
  <si>
    <t>3 = กิน 7-9 กำปั้นมือ</t>
  </si>
  <si>
    <t>4 = กิน &gt;9 กำปั้นมือ</t>
  </si>
  <si>
    <t>เนื้อสัตว์/ไข่</t>
  </si>
  <si>
    <t>0 = แทบไม่ได้กิน</t>
  </si>
  <si>
    <t>ass_milk</t>
  </si>
  <si>
    <t>นม</t>
  </si>
  <si>
    <t>0 = ไม่ได้ดื่ม</t>
  </si>
  <si>
    <t>1 = ดื่ม 1 แก้ว</t>
  </si>
  <si>
    <t>2 = ดื่ม 2 แก้ว</t>
  </si>
  <si>
    <t>3 = ดื่ม 3 แก้ว</t>
  </si>
  <si>
    <t>4 = ดื่ม 4 แก้ว</t>
  </si>
  <si>
    <t>ass_fruit</t>
  </si>
  <si>
    <t>ผลไม้</t>
  </si>
  <si>
    <t>ass_veget</t>
  </si>
  <si>
    <t>ผัก</t>
  </si>
  <si>
    <t>2 = กิน 2-3 อุ้งมือต่อกัน</t>
  </si>
  <si>
    <t>3 = กิน 4 อุ้งมือต่อกัน</t>
  </si>
  <si>
    <t>4 = กิน &gt;4 อุ้งมือต่อกัน</t>
  </si>
  <si>
    <t>ass_water</t>
  </si>
  <si>
    <t>น้ำ</t>
  </si>
  <si>
    <t>0 = แทบไม่ได้ดื่ม</t>
  </si>
  <si>
    <t>1 = ดื่ม 1-3 แก้ว</t>
  </si>
  <si>
    <t>2 = ดื่ม 4-6 แก้ว</t>
  </si>
  <si>
    <t>3 = ดื่ม 7-8 แก้ว</t>
  </si>
  <si>
    <t>4 = ดื่ม &gt;8 แก้ว</t>
  </si>
  <si>
    <t>ass_sweetdrink</t>
  </si>
  <si>
    <t>น้ำหวาน เครื่องดื่ม 3 in 1</t>
  </si>
  <si>
    <t>4 = ดื่ม &gt;3 แก้ว</t>
  </si>
  <si>
    <t>ass_cook</t>
  </si>
  <si>
    <t>ประเภทการปรุงประกอบอาหาร</t>
  </si>
  <si>
    <t>1 = กิน 1-2 นิ้วหัวแม่มือ</t>
  </si>
  <si>
    <t>2 = กิน 3-4 นิ้วหัวแม่มือ</t>
  </si>
  <si>
    <t>3 = กิน 5-6 นิ้วหัวแม่มือ</t>
  </si>
  <si>
    <t>4 = กิน &gt; 6 นิ้วหัวแม่มือ</t>
  </si>
  <si>
    <t>ass_total</t>
  </si>
  <si>
    <t>ass_status</t>
  </si>
  <si>
    <t>ผลคะแนนรวมการประเมินการกิน</t>
  </si>
  <si>
    <t>2 =ทุพโภชนาการแบบขาด (Under Malnutrition)</t>
  </si>
  <si>
    <t>3 = ทุพโภชนาการแบบเกิน (Over Malnutrition</t>
  </si>
  <si>
    <t>ass_oil</t>
  </si>
  <si>
    <t>ass_result</t>
  </si>
  <si>
    <t>น้ำมัน</t>
  </si>
  <si>
    <t>0 = แกงไม่มีกะทิ</t>
  </si>
  <si>
    <t>1 = ผัด</t>
  </si>
  <si>
    <t>2 = แกงกะทิ</t>
  </si>
  <si>
    <t>4 = ทอด</t>
  </si>
  <si>
    <t>1 = กิน 1-2 ฝ่ามือ</t>
  </si>
  <si>
    <t>2 = กิน 3-5 ฝ่ามือ</t>
  </si>
  <si>
    <t>3 = กิน 6-8 ฝ่ามือ</t>
  </si>
  <si>
    <t>4 = กิน &gt;8 ฝ่ามือ</t>
  </si>
  <si>
    <t>1 = กินได้ 1-2 กำปั้นมือ</t>
  </si>
  <si>
    <t>2 = กินได้ 3-5 กำปั้นมือ</t>
  </si>
  <si>
    <t>3 = กินได้ 6-8 กำปั้นมือ</t>
  </si>
  <si>
    <t>4 = กินได้ &gt;8 กำปั้นมือ</t>
  </si>
  <si>
    <t>1 = กิน 0-1 อุ้งมือต่อกัน</t>
  </si>
  <si>
    <t>ass_rice_starch</t>
  </si>
  <si>
    <t>ass_meat_egg</t>
  </si>
  <si>
    <t>ass_rice_strach</t>
  </si>
  <si>
    <t>sat_clarity</t>
  </si>
  <si>
    <t>1.ความชัดเจนของคำถาม</t>
  </si>
  <si>
    <t>5 = มากที่สุด</t>
  </si>
  <si>
    <t>4 = มาก</t>
  </si>
  <si>
    <t>3 = ปานกลาง</t>
  </si>
  <si>
    <t>2 = น้อย</t>
  </si>
  <si>
    <t>1 = น้อยที่สุด</t>
  </si>
  <si>
    <t>sat_easy</t>
  </si>
  <si>
    <t>2.ความสะดวกในการใช้งาน</t>
  </si>
  <si>
    <t>sat_confident</t>
  </si>
  <si>
    <t>3.ความรู้สึกมั่นใจในการกรอกคะแนน</t>
  </si>
  <si>
    <t>sat_design</t>
  </si>
  <si>
    <t>4.รูปแบบการนำเสนอ</t>
  </si>
  <si>
    <t>sat_result</t>
  </si>
  <si>
    <t>5.การแสดงผลลัพทธ์และคำแนะนำ</t>
  </si>
  <si>
    <t>sat_benefit</t>
  </si>
  <si>
    <t>6.ประโยชน์ที่ได้รับ</t>
  </si>
  <si>
    <t>sat_overall</t>
  </si>
  <si>
    <t>7.ความพึงพอใจโดยรวม</t>
  </si>
  <si>
    <t>sat_comment</t>
  </si>
  <si>
    <t>8.ข้อเสนอแนะ</t>
  </si>
  <si>
    <t>ระบุข้อความ</t>
  </si>
  <si>
    <t>sat_total</t>
  </si>
  <si>
    <t>คะแนนรวมความพึงพอใจ</t>
  </si>
  <si>
    <t>ผลรวม 7 ข้อ</t>
  </si>
  <si>
    <t>sat_mean</t>
  </si>
  <si>
    <t>คะแนนเฉลี่ยความพึงพอใจ</t>
  </si>
  <si>
    <t>ผลรวม 7 ข้อ/7</t>
  </si>
  <si>
    <t>sat_level</t>
  </si>
  <si>
    <t>ระดับความพึงพอใจจัดกลุ่ม</t>
  </si>
  <si>
    <t>1 = น้อย (1.00-2.33)</t>
  </si>
  <si>
    <t>2 = ปานกลาง (2.34-3.66)</t>
  </si>
  <si>
    <t>3 = สูง (3.67-5.00)</t>
  </si>
  <si>
    <t>age</t>
  </si>
  <si>
    <t>sex</t>
  </si>
  <si>
    <t>wc_cm</t>
  </si>
  <si>
    <t>เส้นรอบเอว (เซนติเมตร)</t>
  </si>
  <si>
    <t>ตัวเลขตามที่วัดได้จริง</t>
  </si>
  <si>
    <t>wc_risk</t>
  </si>
  <si>
    <t xml:space="preserve">รอบเอวมากกว่าส่วนสูง/2 </t>
  </si>
  <si>
    <t>0 = ปกติ</t>
  </si>
  <si>
    <t>1 = เสี่ยง</t>
  </si>
  <si>
    <t>weight_kg</t>
  </si>
  <si>
    <t>น้ำหนัก (กิโลกรัม)</t>
  </si>
  <si>
    <t>ตัวเลข</t>
  </si>
  <si>
    <t>height_cm</t>
  </si>
  <si>
    <t>ส่วนสูง (เซนติเมตร)</t>
  </si>
  <si>
    <t>bmi</t>
  </si>
  <si>
    <t>BMI (kg/m2)</t>
  </si>
  <si>
    <t>bmi_cat</t>
  </si>
  <si>
    <t>กลุ่ม BMI</t>
  </si>
  <si>
    <t>1 = &lt;18.5</t>
  </si>
  <si>
    <t>2 = 18.5 - 22.9</t>
  </si>
  <si>
    <t>3 = 23.0 - 24.9</t>
  </si>
  <si>
    <t>4 = 25.0 - 29.9</t>
  </si>
  <si>
    <r>
      <t xml:space="preserve">5 = </t>
    </r>
    <r>
      <rPr>
        <u/>
        <sz val="12"/>
        <color theme="1"/>
        <rFont val="Tahoma (เนื้อความ)"/>
        <charset val="222"/>
      </rPr>
      <t>&gt;</t>
    </r>
    <r>
      <rPr>
        <sz val="12"/>
        <color theme="1"/>
        <rFont val="Aptos Narrow"/>
        <family val="2"/>
        <charset val="222"/>
        <scheme val="minor"/>
      </rPr>
      <t xml:space="preserve"> 30</t>
    </r>
  </si>
  <si>
    <t>fat_mass_kg</t>
  </si>
  <si>
    <t>มวลไขมัน (กิโลกรัม)</t>
  </si>
  <si>
    <t>ตัวเลข (%)</t>
  </si>
  <si>
    <t>pbf</t>
  </si>
  <si>
    <t>%ไขมันในร่างกาย</t>
  </si>
  <si>
    <t>vfat_level</t>
  </si>
  <si>
    <t>ไขมันในช่องท้อง</t>
  </si>
  <si>
    <t xml:space="preserve">ตัวเลข </t>
  </si>
  <si>
    <t>ตัวเลขตามเครื่อง</t>
  </si>
  <si>
    <t>muscle_mass_kg</t>
  </si>
  <si>
    <t>มวลกล้ามเนื้อ (กิโลกรัม)</t>
  </si>
  <si>
    <t>bone_mass_kg</t>
  </si>
  <si>
    <t>มวลกระดูก (กิโลกรัม)</t>
  </si>
  <si>
    <t>tbw</t>
  </si>
  <si>
    <t>น้ำในร่างกาย (%)</t>
  </si>
  <si>
    <t>bmr_kcal</t>
  </si>
  <si>
    <t>อัตราการเผาผลาญพลังงาน (kcal/day)</t>
  </si>
  <si>
    <t>vfat_cat</t>
  </si>
  <si>
    <t>1 = น้อย</t>
  </si>
  <si>
    <t>2 = ปกติ</t>
  </si>
  <si>
    <t>3 = มาก</t>
  </si>
  <si>
    <t>muscle_cat</t>
  </si>
  <si>
    <t xml:space="preserve">มวลกล้ามเนื้อ </t>
  </si>
  <si>
    <t>bone_cat</t>
  </si>
  <si>
    <t>มวลกระดูก</t>
  </si>
  <si>
    <t>water_status</t>
  </si>
  <si>
    <t>น้ำในร่างกาย</t>
  </si>
  <si>
    <t>0 = เพียงพอ</t>
  </si>
  <si>
    <t>1 = ขาดน้ำ</t>
  </si>
  <si>
    <t>รับประทานอาหารลดลงใน 3 เดือนที่ผ่านมา</t>
  </si>
  <si>
    <t>0 = ลดลงมาก</t>
  </si>
  <si>
    <t>1 = ลดลงปานกลาง</t>
  </si>
  <si>
    <t>2 = ไม่เปลี่ยนแปลง</t>
  </si>
  <si>
    <t>น้ำหนักลดใน 3 เดือนที่ผ่านมา</t>
  </si>
  <si>
    <t>0 = &gt; 3 กก</t>
  </si>
  <si>
    <t>1 = ไม่ทราบ</t>
  </si>
  <si>
    <t>2 = 1-3 กก</t>
  </si>
  <si>
    <t>3 = ไม่ลด</t>
  </si>
  <si>
    <t>ความสามารถในการเคลื่อนไหว</t>
  </si>
  <si>
    <t>0 = นอนติดเตียง</t>
  </si>
  <si>
    <t>1 = ลุกได้แต่ไปนอกบ้านไม่ได้</t>
  </si>
  <si>
    <t>2 = เดินได้ปกติ</t>
  </si>
  <si>
    <t>ความเครียดหรือเจ็บป่วยเฉียบพลัน</t>
  </si>
  <si>
    <t>0 = มี</t>
  </si>
  <si>
    <t>2 = ไม่มี</t>
  </si>
  <si>
    <t>ปัญหาทางจิตประสาท</t>
  </si>
  <si>
    <t>0 = รุนแรง</t>
  </si>
  <si>
    <t>1 = เล็กน้อย</t>
  </si>
  <si>
    <t>BMI</t>
  </si>
  <si>
    <t>0 = &lt;19</t>
  </si>
  <si>
    <r>
      <t xml:space="preserve">1 = 19 - </t>
    </r>
    <r>
      <rPr>
        <u/>
        <sz val="12"/>
        <color theme="1"/>
        <rFont val="Tahoma (เนื้อความ)"/>
        <charset val="222"/>
      </rPr>
      <t>&lt;</t>
    </r>
    <r>
      <rPr>
        <sz val="12"/>
        <color theme="1"/>
        <rFont val="Aptos Narrow"/>
        <family val="2"/>
        <charset val="222"/>
        <scheme val="minor"/>
      </rPr>
      <t xml:space="preserve"> 21</t>
    </r>
  </si>
  <si>
    <r>
      <t xml:space="preserve">2 = 21 - </t>
    </r>
    <r>
      <rPr>
        <u/>
        <sz val="12"/>
        <color theme="1"/>
        <rFont val="Tahoma (เนื้อความ)"/>
        <charset val="222"/>
      </rPr>
      <t>&lt;</t>
    </r>
    <r>
      <rPr>
        <sz val="12"/>
        <color theme="1"/>
        <rFont val="Aptos Narrow"/>
        <family val="2"/>
        <charset val="222"/>
        <scheme val="minor"/>
      </rPr>
      <t xml:space="preserve"> 23</t>
    </r>
  </si>
  <si>
    <r>
      <t xml:space="preserve">3 = </t>
    </r>
    <r>
      <rPr>
        <u/>
        <sz val="12"/>
        <color theme="1"/>
        <rFont val="Tahoma (เนื้อความ)"/>
        <charset val="222"/>
      </rPr>
      <t>&gt;</t>
    </r>
    <r>
      <rPr>
        <sz val="12"/>
        <color theme="1"/>
        <rFont val="Aptos Narrow"/>
        <family val="2"/>
        <charset val="222"/>
        <scheme val="minor"/>
      </rPr>
      <t xml:space="preserve"> 23</t>
    </r>
  </si>
  <si>
    <t>เส้นรอบวงน่อง (CC)</t>
  </si>
  <si>
    <t>0 = &lt; 31</t>
  </si>
  <si>
    <r>
      <t>2 =</t>
    </r>
    <r>
      <rPr>
        <u/>
        <sz val="12"/>
        <color theme="1"/>
        <rFont val="Tahoma (เนื้อความ)"/>
        <charset val="222"/>
      </rPr>
      <t xml:space="preserve"> &gt;</t>
    </r>
    <r>
      <rPr>
        <sz val="12"/>
        <color theme="1"/>
        <rFont val="Aptos Narrow"/>
        <family val="2"/>
        <charset val="222"/>
        <scheme val="minor"/>
      </rPr>
      <t xml:space="preserve"> 31</t>
    </r>
  </si>
  <si>
    <t>คะแนนรวมการคัดกรอง</t>
  </si>
  <si>
    <t>ผลรวมข้อ 1-6 (0-14 คะแนน)</t>
  </si>
  <si>
    <t>mna_scr_cat</t>
  </si>
  <si>
    <t>mna_screen_total</t>
  </si>
  <si>
    <t>mna_s1</t>
  </si>
  <si>
    <t>mna_s2</t>
  </si>
  <si>
    <t>mna_s3</t>
  </si>
  <si>
    <t>mna_s4</t>
  </si>
  <si>
    <t>mna_s5</t>
  </si>
  <si>
    <t>mna_s6</t>
  </si>
  <si>
    <t>mna_s7</t>
  </si>
  <si>
    <t>ช่วยเหลือตัวเองได้</t>
  </si>
  <si>
    <t>0 = ไม่ใช่</t>
  </si>
  <si>
    <t>1 = ใช่</t>
  </si>
  <si>
    <t>รับประทานยามากกว่า 3 ชนิด</t>
  </si>
  <si>
    <t>0 = ใช่</t>
  </si>
  <si>
    <t>1 = ไม่ใช่</t>
  </si>
  <si>
    <t>mna_a3</t>
  </si>
  <si>
    <t>มีแผลกดทับหรือแผลผิวหนัง</t>
  </si>
  <si>
    <t>mna_a4</t>
  </si>
  <si>
    <t>จำนวนมื้ออาหารต่อวัน</t>
  </si>
  <si>
    <t>0 = 1 มื้อ</t>
  </si>
  <si>
    <t>1 = 2 มื้อ</t>
  </si>
  <si>
    <t>2 = 3 มื้อ</t>
  </si>
  <si>
    <t>mna_a5</t>
  </si>
  <si>
    <t>รับประทานโปรตีน</t>
  </si>
  <si>
    <t>0.5 = 2 ข้อ</t>
  </si>
  <si>
    <r>
      <t xml:space="preserve">0 = </t>
    </r>
    <r>
      <rPr>
        <u/>
        <sz val="12"/>
        <color theme="1"/>
        <rFont val="Tahoma (เนื้อความ)"/>
        <charset val="222"/>
      </rPr>
      <t>&lt;</t>
    </r>
    <r>
      <rPr>
        <sz val="12"/>
        <color theme="1"/>
        <rFont val="Aptos Narrow"/>
        <family val="2"/>
        <charset val="222"/>
        <scheme val="minor"/>
      </rPr>
      <t xml:space="preserve"> 1 ข้อ</t>
    </r>
  </si>
  <si>
    <t>1 = 3 ข้อ</t>
  </si>
  <si>
    <t>mna_a6</t>
  </si>
  <si>
    <t>ผักผลไม้ &gt; 2 หน่วย/วัน</t>
  </si>
  <si>
    <t>mna_a7</t>
  </si>
  <si>
    <t>ปริมาณเครื่องดื่มต่อวัน</t>
  </si>
  <si>
    <t>0 = &lt; 3 ถ้วย</t>
  </si>
  <si>
    <t>0.5 = 3-5 ถ้วย</t>
  </si>
  <si>
    <t>1 = &gt; 5 ถ้วย</t>
  </si>
  <si>
    <t>mna_a8</t>
  </si>
  <si>
    <t>mna_a9</t>
  </si>
  <si>
    <t>การรับรู้ภาวะโภชนาการของตนเอง</t>
  </si>
  <si>
    <t>0 = ไม่ได้</t>
  </si>
  <si>
    <t>1 = ได้แต่ลำบาก</t>
  </si>
  <si>
    <t>2 = ได้เอง</t>
  </si>
  <si>
    <t>0 = ขาดสารอาหาร</t>
  </si>
  <si>
    <t>1 = ไม่แน่ใจ</t>
  </si>
  <si>
    <t>2 = ไม่ขาด</t>
  </si>
  <si>
    <t>mna_a10</t>
  </si>
  <si>
    <t>ความสามารถในการช่วยเหลือตัวเองขณะรับประทานอาหาร</t>
  </si>
  <si>
    <t>สุขภาพเมื่อเทียบกับคนวัยเดียวกัน</t>
  </si>
  <si>
    <t>0 = แย่กว่า</t>
  </si>
  <si>
    <t>0.5 = ไม่ทราบ</t>
  </si>
  <si>
    <t>1 = พอๆกัน</t>
  </si>
  <si>
    <t>2 = ดีกว่า</t>
  </si>
  <si>
    <t>mna_a11</t>
  </si>
  <si>
    <t>เส้นรอบวงแขน (MAC)</t>
  </si>
  <si>
    <t xml:space="preserve">0 = &lt; 21 </t>
  </si>
  <si>
    <t>0.5 = 21-22</t>
  </si>
  <si>
    <r>
      <t xml:space="preserve">1 = </t>
    </r>
    <r>
      <rPr>
        <u/>
        <sz val="12"/>
        <color theme="1"/>
        <rFont val="Tahoma (เนื้อความ)"/>
        <charset val="222"/>
      </rPr>
      <t>&gt;</t>
    </r>
    <r>
      <rPr>
        <sz val="12"/>
        <color theme="1"/>
        <rFont val="Aptos Narrow"/>
        <family val="2"/>
        <charset val="222"/>
        <scheme val="minor"/>
      </rPr>
      <t xml:space="preserve"> 22</t>
    </r>
  </si>
  <si>
    <t>mna_a12</t>
  </si>
  <si>
    <t>คะแนนรวมการประเมิน</t>
  </si>
  <si>
    <t>mna_ass_total</t>
  </si>
  <si>
    <t>ผลรวมข้อ 1-12 (0-14 คะแนน)</t>
  </si>
  <si>
    <t>mna_total</t>
  </si>
  <si>
    <t>คะแนนรวม MNA</t>
  </si>
  <si>
    <t>2 = Moderate malnutrition (8-11)</t>
  </si>
  <si>
    <t>3 = Malnutrition (0-7)</t>
  </si>
  <si>
    <t>1 = Normal (12-14)</t>
  </si>
  <si>
    <t>1 = Normal (24-30)</t>
  </si>
  <si>
    <t>2 = Moderate malnutrition (17-23.5)</t>
  </si>
  <si>
    <t>3 = Malnutrition (&lt;17)</t>
  </si>
  <si>
    <t>mna_a1</t>
  </si>
  <si>
    <t>mna_a2</t>
  </si>
  <si>
    <t>–</t>
  </si>
  <si>
    <t>โรคข้อเข่าเสื่อม</t>
  </si>
  <si>
    <t>เข้าใจง่าย ได้คำแนะนำชัดเจน</t>
  </si>
  <si>
    <t>ใช้งานสะดวก ตัวหนังสือชัด</t>
  </si>
  <si>
    <t>ชัดเจนมาก เหมาะกับผู้สูงอายุ</t>
  </si>
  <si>
    <t>อยากให้มีคนช่วยอธิบาย</t>
  </si>
  <si>
    <t>ใช้งานดี แต่อยากได้คำแนะนำเฉพาะบุคคล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</si>
</sst>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charset val="222"/>
      <scheme val="minor"/>
    </font>
    <font>
      <b/>
      <sz val="12"/>
      <color theme="1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22"/>
      <scheme val="minor"/>
    </font>
    <font>
      <b/>
      <sz val="12"/>
      <color theme="1"/>
      <name val="Aptos Narrow"/>
      <family val="2"/>
      <charset val="222"/>
      <scheme val="minor"/>
    </font>
    <font>
      <u/>
      <sz val="12"/>
      <color theme="1"/>
      <name val="Tahoma (เนื้อความ)"/>
      <charset val="222"/>
    </font>
    <font>
      <sz val="12"/>
      <color rgb="FF000000"/>
      <name val="Aptos Narrow"/>
      <family val="2"/>
      <charset val="222"/>
      <scheme val="minor"/>
    </font>
    <font>
      <sz val="12"/>
      <color rgb="FFFF0000"/>
      <name val="Aptos Narrow"/>
      <family val="2"/>
      <charset val="22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7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0" fillId="0" borderId="4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" fillId="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/>
    </xf>
    <xf numFmtId="0" fontId="9" fillId="0" borderId="0" xfId="0" applyFont="1"/>
    <xf numFmtId="0" fontId="0" fillId="2" borderId="1" xfId="0" applyFill="1" applyBorder="1"/>
    <xf numFmtId="0" fontId="0" fillId="7" borderId="1" xfId="0" applyFill="1" applyBorder="1"/>
    <xf numFmtId="0" fontId="12" fillId="0" borderId="1" xfId="0" applyFont="1" applyBorder="1"/>
    <xf numFmtId="0" fontId="1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7AED-A51A-4C1C-9D44-77A49E42AB43}">
  <sheetPr>
    <tabColor theme="8" tint="0.79998168889431442"/>
  </sheetPr>
  <dimension ref="A1:D47"/>
  <sheetViews>
    <sheetView workbookViewId="0">
      <selection activeCell="I25" sqref="I25"/>
    </sheetView>
  </sheetViews>
  <sheetFormatPr baseColWidth="10" defaultColWidth="8.6640625" defaultRowHeight="16" x14ac:dyDescent="0.2"/>
  <cols>
    <col min="1" max="1" width="14.5" customWidth="1"/>
    <col min="2" max="2" width="20.6640625" customWidth="1"/>
    <col min="3" max="3" width="32.6640625" customWidth="1"/>
    <col min="4" max="4" width="11.1640625" customWidth="1"/>
  </cols>
  <sheetData>
    <row r="1" spans="1:4" ht="24" customHeight="1" x14ac:dyDescent="0.2">
      <c r="A1" s="57" t="s">
        <v>74</v>
      </c>
      <c r="B1" s="57"/>
      <c r="C1" s="57"/>
      <c r="D1" s="57"/>
    </row>
    <row r="2" spans="1:4" x14ac:dyDescent="0.2">
      <c r="A2" s="3" t="s">
        <v>28</v>
      </c>
      <c r="B2" s="3" t="s">
        <v>29</v>
      </c>
      <c r="C2" s="3" t="s">
        <v>27</v>
      </c>
      <c r="D2" s="3" t="s">
        <v>92</v>
      </c>
    </row>
    <row r="3" spans="1:4" x14ac:dyDescent="0.2">
      <c r="A3" s="1" t="s">
        <v>25</v>
      </c>
      <c r="B3" s="1" t="s">
        <v>26</v>
      </c>
      <c r="C3" s="1" t="s">
        <v>30</v>
      </c>
      <c r="D3" s="1" t="s">
        <v>93</v>
      </c>
    </row>
    <row r="4" spans="1:4" x14ac:dyDescent="0.2">
      <c r="A4" s="59" t="s">
        <v>31</v>
      </c>
      <c r="B4" s="59" t="s">
        <v>32</v>
      </c>
      <c r="C4" s="1" t="s">
        <v>40</v>
      </c>
      <c r="D4" s="59" t="s">
        <v>93</v>
      </c>
    </row>
    <row r="5" spans="1:4" x14ac:dyDescent="0.2">
      <c r="A5" s="60"/>
      <c r="B5" s="60"/>
      <c r="C5" s="1" t="s">
        <v>39</v>
      </c>
      <c r="D5" s="60"/>
    </row>
    <row r="6" spans="1:4" x14ac:dyDescent="0.2">
      <c r="A6" s="1" t="s">
        <v>33</v>
      </c>
      <c r="B6" s="1" t="s">
        <v>34</v>
      </c>
      <c r="C6" s="1" t="s">
        <v>35</v>
      </c>
      <c r="D6" s="1" t="s">
        <v>94</v>
      </c>
    </row>
    <row r="7" spans="1:4" x14ac:dyDescent="0.2">
      <c r="A7" s="59" t="s">
        <v>36</v>
      </c>
      <c r="B7" s="59" t="s">
        <v>37</v>
      </c>
      <c r="C7" s="1" t="s">
        <v>38</v>
      </c>
      <c r="D7" s="59" t="s">
        <v>93</v>
      </c>
    </row>
    <row r="8" spans="1:4" x14ac:dyDescent="0.2">
      <c r="A8" s="60"/>
      <c r="B8" s="60"/>
      <c r="C8" s="1" t="s">
        <v>41</v>
      </c>
      <c r="D8" s="60"/>
    </row>
    <row r="9" spans="1:4" x14ac:dyDescent="0.2">
      <c r="A9" s="59" t="s">
        <v>42</v>
      </c>
      <c r="B9" s="18" t="s">
        <v>48</v>
      </c>
      <c r="C9" s="1" t="s">
        <v>43</v>
      </c>
      <c r="D9" s="59" t="s">
        <v>95</v>
      </c>
    </row>
    <row r="10" spans="1:4" x14ac:dyDescent="0.2">
      <c r="A10" s="61"/>
      <c r="B10" s="19"/>
      <c r="C10" s="1" t="s">
        <v>44</v>
      </c>
      <c r="D10" s="61"/>
    </row>
    <row r="11" spans="1:4" x14ac:dyDescent="0.2">
      <c r="A11" s="61"/>
      <c r="B11" s="19"/>
      <c r="C11" s="1" t="s">
        <v>45</v>
      </c>
      <c r="D11" s="61"/>
    </row>
    <row r="12" spans="1:4" x14ac:dyDescent="0.2">
      <c r="A12" s="60"/>
      <c r="B12" s="20"/>
      <c r="C12" s="1" t="s">
        <v>46</v>
      </c>
      <c r="D12" s="60"/>
    </row>
    <row r="13" spans="1:4" x14ac:dyDescent="0.2">
      <c r="A13" s="59" t="s">
        <v>47</v>
      </c>
      <c r="B13" s="59" t="s">
        <v>49</v>
      </c>
      <c r="C13" s="1" t="s">
        <v>50</v>
      </c>
      <c r="D13" s="59" t="s">
        <v>93</v>
      </c>
    </row>
    <row r="14" spans="1:4" x14ac:dyDescent="0.2">
      <c r="A14" s="61"/>
      <c r="B14" s="61"/>
      <c r="C14" s="1" t="s">
        <v>51</v>
      </c>
      <c r="D14" s="61"/>
    </row>
    <row r="15" spans="1:4" x14ac:dyDescent="0.2">
      <c r="A15" s="61"/>
      <c r="B15" s="61"/>
      <c r="C15" s="1" t="s">
        <v>52</v>
      </c>
      <c r="D15" s="61"/>
    </row>
    <row r="16" spans="1:4" x14ac:dyDescent="0.2">
      <c r="A16" s="60"/>
      <c r="B16" s="60"/>
      <c r="C16" s="1" t="s">
        <v>53</v>
      </c>
      <c r="D16" s="60"/>
    </row>
    <row r="17" spans="1:4" x14ac:dyDescent="0.2">
      <c r="A17" s="59" t="s">
        <v>54</v>
      </c>
      <c r="B17" s="59" t="s">
        <v>55</v>
      </c>
      <c r="C17" s="1" t="s">
        <v>56</v>
      </c>
      <c r="D17" s="59" t="s">
        <v>95</v>
      </c>
    </row>
    <row r="18" spans="1:4" x14ac:dyDescent="0.2">
      <c r="A18" s="61"/>
      <c r="B18" s="61"/>
      <c r="C18" s="1" t="s">
        <v>57</v>
      </c>
      <c r="D18" s="61"/>
    </row>
    <row r="19" spans="1:4" x14ac:dyDescent="0.2">
      <c r="A19" s="61"/>
      <c r="B19" s="61"/>
      <c r="C19" s="1" t="s">
        <v>58</v>
      </c>
      <c r="D19" s="61"/>
    </row>
    <row r="20" spans="1:4" x14ac:dyDescent="0.2">
      <c r="A20" s="60"/>
      <c r="B20" s="60"/>
      <c r="C20" s="1" t="s">
        <v>59</v>
      </c>
      <c r="D20" s="60"/>
    </row>
    <row r="21" spans="1:4" x14ac:dyDescent="0.2">
      <c r="A21" s="17" t="s">
        <v>60</v>
      </c>
      <c r="B21" s="17" t="s">
        <v>77</v>
      </c>
      <c r="C21" s="1" t="s">
        <v>88</v>
      </c>
      <c r="D21" s="59" t="s">
        <v>93</v>
      </c>
    </row>
    <row r="22" spans="1:4" x14ac:dyDescent="0.2">
      <c r="A22" s="17"/>
      <c r="B22" s="17" t="s">
        <v>82</v>
      </c>
      <c r="C22" s="1" t="s">
        <v>89</v>
      </c>
      <c r="D22" s="60"/>
    </row>
    <row r="23" spans="1:4" x14ac:dyDescent="0.2">
      <c r="A23" s="17"/>
      <c r="B23" s="17" t="s">
        <v>78</v>
      </c>
      <c r="C23" s="1" t="s">
        <v>88</v>
      </c>
      <c r="D23" s="58" t="s">
        <v>93</v>
      </c>
    </row>
    <row r="24" spans="1:4" x14ac:dyDescent="0.2">
      <c r="A24" s="17"/>
      <c r="B24" s="17" t="s">
        <v>86</v>
      </c>
      <c r="C24" s="1" t="s">
        <v>89</v>
      </c>
      <c r="D24" s="58"/>
    </row>
    <row r="25" spans="1:4" x14ac:dyDescent="0.2">
      <c r="A25" s="17"/>
      <c r="B25" s="17" t="s">
        <v>79</v>
      </c>
      <c r="C25" s="1" t="s">
        <v>88</v>
      </c>
      <c r="D25" s="58" t="s">
        <v>93</v>
      </c>
    </row>
    <row r="26" spans="1:4" x14ac:dyDescent="0.2">
      <c r="A26" s="17"/>
      <c r="B26" s="17" t="s">
        <v>83</v>
      </c>
      <c r="C26" s="1" t="s">
        <v>89</v>
      </c>
      <c r="D26" s="58"/>
    </row>
    <row r="27" spans="1:4" x14ac:dyDescent="0.2">
      <c r="A27" s="17"/>
      <c r="B27" s="17" t="s">
        <v>80</v>
      </c>
      <c r="C27" s="1" t="s">
        <v>88</v>
      </c>
      <c r="D27" s="58" t="s">
        <v>93</v>
      </c>
    </row>
    <row r="28" spans="1:4" x14ac:dyDescent="0.2">
      <c r="A28" s="17"/>
      <c r="B28" s="17" t="s">
        <v>84</v>
      </c>
      <c r="C28" s="1" t="s">
        <v>89</v>
      </c>
      <c r="D28" s="58"/>
    </row>
    <row r="29" spans="1:4" x14ac:dyDescent="0.2">
      <c r="A29" s="17"/>
      <c r="B29" s="17" t="s">
        <v>81</v>
      </c>
      <c r="C29" s="1" t="s">
        <v>88</v>
      </c>
      <c r="D29" s="58" t="s">
        <v>93</v>
      </c>
    </row>
    <row r="30" spans="1:4" x14ac:dyDescent="0.2">
      <c r="A30" s="17"/>
      <c r="B30" s="17" t="s">
        <v>85</v>
      </c>
      <c r="C30" s="1" t="s">
        <v>89</v>
      </c>
      <c r="D30" s="58"/>
    </row>
    <row r="31" spans="1:4" x14ac:dyDescent="0.2">
      <c r="A31" s="59" t="s">
        <v>10</v>
      </c>
      <c r="B31" s="59" t="s">
        <v>61</v>
      </c>
      <c r="C31" s="1" t="s">
        <v>62</v>
      </c>
      <c r="D31" s="59" t="s">
        <v>93</v>
      </c>
    </row>
    <row r="32" spans="1:4" x14ac:dyDescent="0.2">
      <c r="A32" s="61"/>
      <c r="B32" s="60"/>
      <c r="C32" s="1" t="s">
        <v>63</v>
      </c>
      <c r="D32" s="60"/>
    </row>
    <row r="33" spans="1:4" x14ac:dyDescent="0.2">
      <c r="A33" s="61"/>
      <c r="B33" s="59" t="s">
        <v>64</v>
      </c>
      <c r="C33" s="1" t="s">
        <v>62</v>
      </c>
      <c r="D33" s="59" t="s">
        <v>93</v>
      </c>
    </row>
    <row r="34" spans="1:4" x14ac:dyDescent="0.2">
      <c r="A34" s="61"/>
      <c r="B34" s="60"/>
      <c r="C34" s="1" t="s">
        <v>63</v>
      </c>
      <c r="D34" s="60"/>
    </row>
    <row r="35" spans="1:4" x14ac:dyDescent="0.2">
      <c r="A35" s="61"/>
      <c r="B35" s="59" t="s">
        <v>65</v>
      </c>
      <c r="C35" s="1" t="s">
        <v>62</v>
      </c>
      <c r="D35" s="59" t="s">
        <v>93</v>
      </c>
    </row>
    <row r="36" spans="1:4" x14ac:dyDescent="0.2">
      <c r="A36" s="61"/>
      <c r="B36" s="60"/>
      <c r="C36" s="1" t="s">
        <v>63</v>
      </c>
      <c r="D36" s="60"/>
    </row>
    <row r="37" spans="1:4" x14ac:dyDescent="0.2">
      <c r="A37" s="61"/>
      <c r="B37" s="59" t="s">
        <v>66</v>
      </c>
      <c r="C37" s="1" t="s">
        <v>62</v>
      </c>
      <c r="D37" s="59" t="s">
        <v>93</v>
      </c>
    </row>
    <row r="38" spans="1:4" x14ac:dyDescent="0.2">
      <c r="A38" s="61"/>
      <c r="B38" s="60"/>
      <c r="C38" s="1" t="s">
        <v>63</v>
      </c>
      <c r="D38" s="60"/>
    </row>
    <row r="39" spans="1:4" x14ac:dyDescent="0.2">
      <c r="A39" s="61"/>
      <c r="B39" s="59" t="s">
        <v>67</v>
      </c>
      <c r="C39" s="1" t="s">
        <v>62</v>
      </c>
      <c r="D39" s="59" t="s">
        <v>93</v>
      </c>
    </row>
    <row r="40" spans="1:4" x14ac:dyDescent="0.2">
      <c r="A40" s="61"/>
      <c r="B40" s="60"/>
      <c r="C40" s="1" t="s">
        <v>63</v>
      </c>
      <c r="D40" s="60"/>
    </row>
    <row r="41" spans="1:4" x14ac:dyDescent="0.2">
      <c r="A41" s="61"/>
      <c r="B41" s="59" t="s">
        <v>68</v>
      </c>
      <c r="C41" s="1" t="s">
        <v>62</v>
      </c>
      <c r="D41" s="59" t="s">
        <v>93</v>
      </c>
    </row>
    <row r="42" spans="1:4" x14ac:dyDescent="0.2">
      <c r="A42" s="61"/>
      <c r="B42" s="60"/>
      <c r="C42" s="1" t="s">
        <v>63</v>
      </c>
      <c r="D42" s="60"/>
    </row>
    <row r="43" spans="1:4" x14ac:dyDescent="0.2">
      <c r="A43" s="60"/>
      <c r="B43" s="1" t="s">
        <v>87</v>
      </c>
      <c r="C43" s="1" t="s">
        <v>97</v>
      </c>
      <c r="D43" s="1" t="s">
        <v>96</v>
      </c>
    </row>
    <row r="44" spans="1:4" x14ac:dyDescent="0.2">
      <c r="A44" s="58" t="s">
        <v>91</v>
      </c>
      <c r="B44" s="58" t="s">
        <v>69</v>
      </c>
      <c r="C44" s="1" t="s">
        <v>70</v>
      </c>
      <c r="D44" s="59" t="s">
        <v>93</v>
      </c>
    </row>
    <row r="45" spans="1:4" x14ac:dyDescent="0.2">
      <c r="A45" s="58"/>
      <c r="B45" s="58"/>
      <c r="C45" s="1" t="s">
        <v>71</v>
      </c>
      <c r="D45" s="61"/>
    </row>
    <row r="46" spans="1:4" x14ac:dyDescent="0.2">
      <c r="A46" s="58"/>
      <c r="B46" s="58"/>
      <c r="C46" s="1" t="s">
        <v>72</v>
      </c>
      <c r="D46" s="61"/>
    </row>
    <row r="47" spans="1:4" x14ac:dyDescent="0.2">
      <c r="A47" s="58"/>
      <c r="B47" s="58"/>
      <c r="C47" s="1" t="s">
        <v>73</v>
      </c>
      <c r="D47" s="60"/>
    </row>
  </sheetData>
  <mergeCells count="36">
    <mergeCell ref="B4:B5"/>
    <mergeCell ref="A7:A8"/>
    <mergeCell ref="B7:B8"/>
    <mergeCell ref="A9:A12"/>
    <mergeCell ref="D31:D32"/>
    <mergeCell ref="D33:D34"/>
    <mergeCell ref="A44:A47"/>
    <mergeCell ref="B44:B47"/>
    <mergeCell ref="B41:B42"/>
    <mergeCell ref="A31:A43"/>
    <mergeCell ref="B31:B32"/>
    <mergeCell ref="B33:B34"/>
    <mergeCell ref="B35:B36"/>
    <mergeCell ref="B37:B38"/>
    <mergeCell ref="B39:B40"/>
    <mergeCell ref="D35:D36"/>
    <mergeCell ref="D37:D38"/>
    <mergeCell ref="D39:D40"/>
    <mergeCell ref="D41:D42"/>
    <mergeCell ref="D44:D47"/>
    <mergeCell ref="A1:D1"/>
    <mergeCell ref="D23:D24"/>
    <mergeCell ref="D25:D26"/>
    <mergeCell ref="D27:D28"/>
    <mergeCell ref="D29:D30"/>
    <mergeCell ref="D4:D5"/>
    <mergeCell ref="D7:D8"/>
    <mergeCell ref="D9:D12"/>
    <mergeCell ref="D13:D16"/>
    <mergeCell ref="D17:D20"/>
    <mergeCell ref="D21:D22"/>
    <mergeCell ref="A13:A16"/>
    <mergeCell ref="B13:B16"/>
    <mergeCell ref="A17:A20"/>
    <mergeCell ref="B17:B20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765D-87EC-46D0-AA19-4D94D58558B5}">
  <sheetPr>
    <tabColor theme="8" tint="0.79998168889431442"/>
  </sheetPr>
  <dimension ref="A1:T9"/>
  <sheetViews>
    <sheetView zoomScale="82" workbookViewId="0">
      <selection activeCell="E9" sqref="E9"/>
    </sheetView>
  </sheetViews>
  <sheetFormatPr baseColWidth="10" defaultColWidth="8.6640625" defaultRowHeight="16" x14ac:dyDescent="0.2"/>
  <cols>
    <col min="5" max="5" width="12" customWidth="1"/>
    <col min="6" max="6" width="14.5" customWidth="1"/>
    <col min="7" max="7" width="10.1640625" customWidth="1"/>
    <col min="8" max="8" width="17.5" customWidth="1"/>
    <col min="9" max="9" width="17.6640625" customWidth="1"/>
    <col min="10" max="10" width="15.5" customWidth="1"/>
    <col min="11" max="11" width="15.6640625" customWidth="1"/>
    <col min="12" max="12" width="15.1640625" customWidth="1"/>
    <col min="13" max="13" width="4.6640625" customWidth="1"/>
    <col min="14" max="14" width="4.83203125" customWidth="1"/>
    <col min="15" max="16" width="5.33203125" customWidth="1"/>
    <col min="17" max="17" width="4.5" customWidth="1"/>
    <col min="18" max="18" width="7.6640625" customWidth="1"/>
    <col min="19" max="19" width="11.5" customWidth="1"/>
    <col min="20" max="20" width="12.1640625" customWidth="1"/>
  </cols>
  <sheetData>
    <row r="1" spans="1:20" x14ac:dyDescent="0.2">
      <c r="A1" s="29" t="s">
        <v>25</v>
      </c>
      <c r="B1" s="30" t="s">
        <v>31</v>
      </c>
      <c r="C1" s="28" t="s">
        <v>33</v>
      </c>
      <c r="D1" s="21" t="s">
        <v>36</v>
      </c>
      <c r="E1" s="25" t="s">
        <v>42</v>
      </c>
      <c r="F1" s="23" t="s">
        <v>90</v>
      </c>
      <c r="G1" s="24" t="s">
        <v>54</v>
      </c>
      <c r="H1" s="26" t="s">
        <v>82</v>
      </c>
      <c r="I1" s="26" t="s">
        <v>86</v>
      </c>
      <c r="J1" s="26" t="s">
        <v>83</v>
      </c>
      <c r="K1" s="26" t="s">
        <v>84</v>
      </c>
      <c r="L1" s="26" t="s">
        <v>85</v>
      </c>
      <c r="M1" s="22" t="s">
        <v>61</v>
      </c>
      <c r="N1" s="22" t="s">
        <v>64</v>
      </c>
      <c r="O1" s="22" t="s">
        <v>65</v>
      </c>
      <c r="P1" s="22" t="s">
        <v>66</v>
      </c>
      <c r="Q1" s="22" t="s">
        <v>67</v>
      </c>
      <c r="R1" s="22" t="s">
        <v>68</v>
      </c>
      <c r="S1" s="22" t="s">
        <v>87</v>
      </c>
      <c r="T1" s="27" t="s">
        <v>91</v>
      </c>
    </row>
    <row r="2" spans="1:20" x14ac:dyDescent="0.2">
      <c r="A2" s="1">
        <v>1</v>
      </c>
      <c r="B2" s="1">
        <v>1</v>
      </c>
      <c r="C2" s="1">
        <v>65</v>
      </c>
      <c r="D2" s="1">
        <v>1</v>
      </c>
      <c r="E2" s="1">
        <v>1</v>
      </c>
      <c r="F2" s="1">
        <v>2</v>
      </c>
      <c r="G2" s="1">
        <v>2</v>
      </c>
      <c r="H2" s="1">
        <v>1</v>
      </c>
      <c r="I2" s="1">
        <v>1</v>
      </c>
      <c r="J2" s="1">
        <v>0</v>
      </c>
      <c r="K2" s="1">
        <v>0</v>
      </c>
      <c r="L2" s="1">
        <v>0</v>
      </c>
      <c r="M2" s="1">
        <v>1</v>
      </c>
      <c r="N2" s="1">
        <v>1</v>
      </c>
      <c r="O2" s="1">
        <v>0</v>
      </c>
      <c r="P2" s="1">
        <v>0</v>
      </c>
      <c r="Q2" s="1">
        <v>1</v>
      </c>
      <c r="R2" s="1">
        <v>0</v>
      </c>
      <c r="S2" s="1" t="s">
        <v>386</v>
      </c>
      <c r="T2" s="1">
        <v>4</v>
      </c>
    </row>
    <row r="3" spans="1:20" x14ac:dyDescent="0.2">
      <c r="A3" s="1">
        <v>2</v>
      </c>
      <c r="B3" s="1">
        <v>1</v>
      </c>
      <c r="C3" s="1">
        <v>72</v>
      </c>
      <c r="D3" s="1">
        <v>2</v>
      </c>
      <c r="E3" s="1">
        <v>2</v>
      </c>
      <c r="F3" s="1">
        <v>1</v>
      </c>
      <c r="G3" s="1">
        <v>1</v>
      </c>
      <c r="H3" s="1">
        <v>1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1</v>
      </c>
      <c r="O3" s="1">
        <v>1</v>
      </c>
      <c r="P3" s="1">
        <v>0</v>
      </c>
      <c r="Q3" s="1">
        <v>0</v>
      </c>
      <c r="R3" s="1">
        <v>0</v>
      </c>
      <c r="S3" s="1" t="s">
        <v>386</v>
      </c>
      <c r="T3" s="1">
        <v>2</v>
      </c>
    </row>
    <row r="4" spans="1:20" x14ac:dyDescent="0.2">
      <c r="A4" s="1">
        <v>3</v>
      </c>
      <c r="B4" s="1">
        <v>1</v>
      </c>
      <c r="C4" s="1">
        <v>68</v>
      </c>
      <c r="D4" s="1">
        <v>2</v>
      </c>
      <c r="E4" s="1">
        <v>3</v>
      </c>
      <c r="F4" s="1">
        <v>2</v>
      </c>
      <c r="G4" s="1">
        <v>3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 t="s">
        <v>387</v>
      </c>
      <c r="T4" s="1">
        <v>3</v>
      </c>
    </row>
    <row r="5" spans="1:20" x14ac:dyDescent="0.2">
      <c r="A5" s="1">
        <v>4</v>
      </c>
      <c r="B5" s="1">
        <v>1</v>
      </c>
      <c r="C5" s="1">
        <v>80</v>
      </c>
      <c r="D5" s="1">
        <v>1</v>
      </c>
      <c r="E5" s="55">
        <v>1</v>
      </c>
      <c r="F5" s="1">
        <v>3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 t="s">
        <v>386</v>
      </c>
      <c r="T5" s="1">
        <v>1</v>
      </c>
    </row>
    <row r="6" spans="1:20" x14ac:dyDescent="0.2">
      <c r="A6" s="1">
        <v>5</v>
      </c>
      <c r="B6" s="1">
        <v>1</v>
      </c>
      <c r="C6" s="1">
        <v>60</v>
      </c>
      <c r="D6" s="1">
        <v>2</v>
      </c>
      <c r="E6" s="1">
        <v>4</v>
      </c>
      <c r="F6" s="1">
        <v>2</v>
      </c>
      <c r="G6" s="1">
        <v>4</v>
      </c>
      <c r="H6" s="1">
        <v>0</v>
      </c>
      <c r="I6" s="1">
        <v>0</v>
      </c>
      <c r="J6" s="1">
        <v>1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 t="s">
        <v>386</v>
      </c>
      <c r="T6" s="1">
        <v>4</v>
      </c>
    </row>
    <row r="8" spans="1:20" x14ac:dyDescent="0.2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</row>
    <row r="9" spans="1:20" x14ac:dyDescent="0.2">
      <c r="E9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5473-B138-447C-925B-21C2433A5DAD}">
  <sheetPr>
    <tabColor theme="9" tint="0.79998168889431442"/>
  </sheetPr>
  <dimension ref="A2:D79"/>
  <sheetViews>
    <sheetView workbookViewId="0">
      <selection activeCell="J19" sqref="J19"/>
    </sheetView>
  </sheetViews>
  <sheetFormatPr baseColWidth="10" defaultColWidth="8.6640625" defaultRowHeight="16" x14ac:dyDescent="0.2"/>
  <cols>
    <col min="1" max="1" width="14" customWidth="1"/>
    <col min="2" max="2" width="23.83203125" customWidth="1"/>
    <col min="3" max="3" width="46.83203125" customWidth="1"/>
    <col min="4" max="4" width="13.33203125" customWidth="1"/>
  </cols>
  <sheetData>
    <row r="2" spans="1:4" x14ac:dyDescent="0.2">
      <c r="A2" s="3" t="s">
        <v>28</v>
      </c>
      <c r="B2" s="3" t="s">
        <v>29</v>
      </c>
      <c r="C2" s="3" t="s">
        <v>27</v>
      </c>
      <c r="D2" s="3" t="s">
        <v>92</v>
      </c>
    </row>
    <row r="3" spans="1:4" x14ac:dyDescent="0.2">
      <c r="A3" s="1" t="s">
        <v>25</v>
      </c>
      <c r="B3" s="1" t="s">
        <v>26</v>
      </c>
      <c r="C3" s="1" t="s">
        <v>30</v>
      </c>
      <c r="D3" s="1" t="s">
        <v>93</v>
      </c>
    </row>
    <row r="4" spans="1:4" x14ac:dyDescent="0.2">
      <c r="A4" s="59" t="s">
        <v>98</v>
      </c>
      <c r="B4" s="59" t="s">
        <v>99</v>
      </c>
      <c r="C4" s="1" t="s">
        <v>100</v>
      </c>
      <c r="D4" s="59" t="s">
        <v>93</v>
      </c>
    </row>
    <row r="5" spans="1:4" x14ac:dyDescent="0.2">
      <c r="A5" s="61"/>
      <c r="B5" s="61"/>
      <c r="C5" s="1" t="s">
        <v>101</v>
      </c>
      <c r="D5" s="61"/>
    </row>
    <row r="6" spans="1:4" x14ac:dyDescent="0.2">
      <c r="A6" s="60"/>
      <c r="B6" s="60"/>
      <c r="C6" s="1" t="s">
        <v>102</v>
      </c>
      <c r="D6" s="60"/>
    </row>
    <row r="7" spans="1:4" x14ac:dyDescent="0.2">
      <c r="A7" s="59" t="s">
        <v>103</v>
      </c>
      <c r="B7" s="59" t="s">
        <v>104</v>
      </c>
      <c r="C7" s="1" t="s">
        <v>105</v>
      </c>
      <c r="D7" s="59" t="s">
        <v>93</v>
      </c>
    </row>
    <row r="8" spans="1:4" x14ac:dyDescent="0.2">
      <c r="A8" s="61"/>
      <c r="B8" s="61"/>
      <c r="C8" s="1" t="s">
        <v>106</v>
      </c>
      <c r="D8" s="61"/>
    </row>
    <row r="9" spans="1:4" x14ac:dyDescent="0.2">
      <c r="A9" s="60"/>
      <c r="B9" s="60"/>
      <c r="C9" s="1" t="s">
        <v>107</v>
      </c>
      <c r="D9" s="60"/>
    </row>
    <row r="10" spans="1:4" x14ac:dyDescent="0.2">
      <c r="A10" s="59" t="s">
        <v>108</v>
      </c>
      <c r="B10" s="59" t="s">
        <v>109</v>
      </c>
      <c r="C10" s="1" t="s">
        <v>110</v>
      </c>
      <c r="D10" s="59" t="s">
        <v>95</v>
      </c>
    </row>
    <row r="11" spans="1:4" x14ac:dyDescent="0.2">
      <c r="A11" s="61"/>
      <c r="B11" s="61"/>
      <c r="C11" s="1" t="s">
        <v>111</v>
      </c>
      <c r="D11" s="61"/>
    </row>
    <row r="12" spans="1:4" x14ac:dyDescent="0.2">
      <c r="A12" s="60"/>
      <c r="B12" s="60"/>
      <c r="C12" s="1" t="s">
        <v>112</v>
      </c>
      <c r="D12" s="60"/>
    </row>
    <row r="13" spans="1:4" x14ac:dyDescent="0.2">
      <c r="A13" s="59" t="s">
        <v>114</v>
      </c>
      <c r="B13" s="59" t="s">
        <v>113</v>
      </c>
      <c r="C13" s="31" t="s">
        <v>75</v>
      </c>
      <c r="D13" s="59" t="s">
        <v>93</v>
      </c>
    </row>
    <row r="14" spans="1:4" x14ac:dyDescent="0.2">
      <c r="A14" s="60"/>
      <c r="B14" s="60"/>
      <c r="C14" s="31" t="s">
        <v>76</v>
      </c>
      <c r="D14" s="60"/>
    </row>
    <row r="15" spans="1:4" x14ac:dyDescent="0.2">
      <c r="A15" s="1" t="s">
        <v>115</v>
      </c>
      <c r="B15" s="1" t="s">
        <v>116</v>
      </c>
      <c r="C15" s="1" t="s">
        <v>122</v>
      </c>
      <c r="D15" s="1" t="s">
        <v>94</v>
      </c>
    </row>
    <row r="16" spans="1:4" x14ac:dyDescent="0.2">
      <c r="A16" s="59" t="s">
        <v>117</v>
      </c>
      <c r="B16" s="59" t="s">
        <v>119</v>
      </c>
      <c r="C16" s="1" t="s">
        <v>120</v>
      </c>
      <c r="D16" s="59" t="s">
        <v>93</v>
      </c>
    </row>
    <row r="17" spans="1:4" x14ac:dyDescent="0.2">
      <c r="A17" s="60"/>
      <c r="B17" s="60"/>
      <c r="C17" s="1" t="s">
        <v>121</v>
      </c>
      <c r="D17" s="60"/>
    </row>
    <row r="18" spans="1:4" x14ac:dyDescent="0.2">
      <c r="A18" s="59" t="s">
        <v>118</v>
      </c>
      <c r="B18" s="59" t="s">
        <v>123</v>
      </c>
      <c r="C18" s="1" t="s">
        <v>124</v>
      </c>
      <c r="D18" s="59" t="s">
        <v>95</v>
      </c>
    </row>
    <row r="19" spans="1:4" x14ac:dyDescent="0.2">
      <c r="A19" s="61"/>
      <c r="B19" s="61"/>
      <c r="C19" s="1" t="s">
        <v>125</v>
      </c>
      <c r="D19" s="61"/>
    </row>
    <row r="20" spans="1:4" x14ac:dyDescent="0.2">
      <c r="A20" s="61"/>
      <c r="B20" s="61"/>
      <c r="C20" s="1" t="s">
        <v>126</v>
      </c>
      <c r="D20" s="61"/>
    </row>
    <row r="21" spans="1:4" x14ac:dyDescent="0.2">
      <c r="A21" s="61"/>
      <c r="B21" s="61"/>
      <c r="C21" s="1" t="s">
        <v>127</v>
      </c>
      <c r="D21" s="61"/>
    </row>
    <row r="22" spans="1:4" x14ac:dyDescent="0.2">
      <c r="A22" s="60"/>
      <c r="B22" s="60"/>
      <c r="C22" s="1" t="s">
        <v>128</v>
      </c>
      <c r="D22" s="60"/>
    </row>
    <row r="23" spans="1:4" x14ac:dyDescent="0.2">
      <c r="A23" s="59" t="s">
        <v>129</v>
      </c>
      <c r="B23" s="59" t="s">
        <v>130</v>
      </c>
      <c r="C23" s="1" t="s">
        <v>131</v>
      </c>
      <c r="D23" s="59" t="s">
        <v>95</v>
      </c>
    </row>
    <row r="24" spans="1:4" x14ac:dyDescent="0.2">
      <c r="A24" s="61"/>
      <c r="B24" s="61"/>
      <c r="C24" s="1" t="s">
        <v>132</v>
      </c>
      <c r="D24" s="61"/>
    </row>
    <row r="25" spans="1:4" x14ac:dyDescent="0.2">
      <c r="A25" s="61"/>
      <c r="B25" s="61"/>
      <c r="C25" s="1" t="s">
        <v>133</v>
      </c>
      <c r="D25" s="61"/>
    </row>
    <row r="26" spans="1:4" x14ac:dyDescent="0.2">
      <c r="A26" s="61"/>
      <c r="B26" s="61"/>
      <c r="C26" s="1" t="s">
        <v>134</v>
      </c>
      <c r="D26" s="61"/>
    </row>
    <row r="27" spans="1:4" x14ac:dyDescent="0.2">
      <c r="A27" s="60"/>
      <c r="B27" s="60"/>
      <c r="C27" s="1" t="s">
        <v>135</v>
      </c>
      <c r="D27" s="60"/>
    </row>
    <row r="28" spans="1:4" x14ac:dyDescent="0.2">
      <c r="A28" s="59" t="s">
        <v>136</v>
      </c>
      <c r="B28" s="59" t="s">
        <v>137</v>
      </c>
      <c r="C28" s="1" t="s">
        <v>138</v>
      </c>
      <c r="D28" s="59" t="s">
        <v>95</v>
      </c>
    </row>
    <row r="29" spans="1:4" x14ac:dyDescent="0.2">
      <c r="A29" s="61"/>
      <c r="B29" s="61"/>
      <c r="C29" s="1" t="s">
        <v>139</v>
      </c>
      <c r="D29" s="61"/>
    </row>
    <row r="30" spans="1:4" x14ac:dyDescent="0.2">
      <c r="A30" s="60"/>
      <c r="B30" s="60"/>
      <c r="C30" s="1" t="s">
        <v>140</v>
      </c>
      <c r="D30" s="60"/>
    </row>
    <row r="31" spans="1:4" x14ac:dyDescent="0.2">
      <c r="A31" s="59" t="s">
        <v>202</v>
      </c>
      <c r="B31" s="59" t="s">
        <v>141</v>
      </c>
      <c r="C31" s="1" t="s">
        <v>142</v>
      </c>
      <c r="D31" s="59" t="s">
        <v>95</v>
      </c>
    </row>
    <row r="32" spans="1:4" x14ac:dyDescent="0.2">
      <c r="A32" s="61"/>
      <c r="B32" s="61"/>
      <c r="C32" s="1" t="s">
        <v>143</v>
      </c>
      <c r="D32" s="61"/>
    </row>
    <row r="33" spans="1:4" x14ac:dyDescent="0.2">
      <c r="A33" s="61"/>
      <c r="B33" s="61"/>
      <c r="C33" s="1" t="s">
        <v>144</v>
      </c>
      <c r="D33" s="61"/>
    </row>
    <row r="34" spans="1:4" x14ac:dyDescent="0.2">
      <c r="A34" s="61"/>
      <c r="B34" s="61"/>
      <c r="C34" s="1" t="s">
        <v>145</v>
      </c>
      <c r="D34" s="61"/>
    </row>
    <row r="35" spans="1:4" x14ac:dyDescent="0.2">
      <c r="A35" s="60"/>
      <c r="B35" s="60"/>
      <c r="C35" s="1" t="s">
        <v>146</v>
      </c>
      <c r="D35" s="60"/>
    </row>
    <row r="36" spans="1:4" x14ac:dyDescent="0.2">
      <c r="A36" s="59" t="s">
        <v>201</v>
      </c>
      <c r="B36" s="59" t="s">
        <v>147</v>
      </c>
      <c r="C36" s="1" t="s">
        <v>148</v>
      </c>
      <c r="D36" s="59" t="s">
        <v>95</v>
      </c>
    </row>
    <row r="37" spans="1:4" x14ac:dyDescent="0.2">
      <c r="A37" s="61"/>
      <c r="B37" s="61"/>
      <c r="C37" s="1" t="s">
        <v>191</v>
      </c>
      <c r="D37" s="61"/>
    </row>
    <row r="38" spans="1:4" x14ac:dyDescent="0.2">
      <c r="A38" s="61"/>
      <c r="B38" s="61"/>
      <c r="C38" s="1" t="s">
        <v>192</v>
      </c>
      <c r="D38" s="61"/>
    </row>
    <row r="39" spans="1:4" x14ac:dyDescent="0.2">
      <c r="A39" s="61"/>
      <c r="B39" s="61"/>
      <c r="C39" s="1" t="s">
        <v>193</v>
      </c>
      <c r="D39" s="61"/>
    </row>
    <row r="40" spans="1:4" x14ac:dyDescent="0.2">
      <c r="A40" s="60"/>
      <c r="B40" s="60"/>
      <c r="C40" s="1" t="s">
        <v>194</v>
      </c>
      <c r="D40" s="60"/>
    </row>
    <row r="41" spans="1:4" x14ac:dyDescent="0.2">
      <c r="A41" s="59" t="s">
        <v>149</v>
      </c>
      <c r="B41" s="59" t="s">
        <v>150</v>
      </c>
      <c r="C41" s="1" t="s">
        <v>151</v>
      </c>
      <c r="D41" s="59" t="s">
        <v>95</v>
      </c>
    </row>
    <row r="42" spans="1:4" x14ac:dyDescent="0.2">
      <c r="A42" s="61"/>
      <c r="B42" s="61"/>
      <c r="C42" s="1" t="s">
        <v>152</v>
      </c>
      <c r="D42" s="61"/>
    </row>
    <row r="43" spans="1:4" x14ac:dyDescent="0.2">
      <c r="A43" s="61"/>
      <c r="B43" s="61"/>
      <c r="C43" s="1" t="s">
        <v>153</v>
      </c>
      <c r="D43" s="61"/>
    </row>
    <row r="44" spans="1:4" x14ac:dyDescent="0.2">
      <c r="A44" s="61"/>
      <c r="B44" s="61"/>
      <c r="C44" s="1" t="s">
        <v>154</v>
      </c>
      <c r="D44" s="61"/>
    </row>
    <row r="45" spans="1:4" x14ac:dyDescent="0.2">
      <c r="A45" s="60"/>
      <c r="B45" s="60"/>
      <c r="C45" s="1" t="s">
        <v>155</v>
      </c>
      <c r="D45" s="60"/>
    </row>
    <row r="46" spans="1:4" x14ac:dyDescent="0.2">
      <c r="A46" s="59" t="s">
        <v>156</v>
      </c>
      <c r="B46" s="59" t="s">
        <v>157</v>
      </c>
      <c r="C46" s="1" t="s">
        <v>148</v>
      </c>
      <c r="D46" s="59" t="s">
        <v>95</v>
      </c>
    </row>
    <row r="47" spans="1:4" x14ac:dyDescent="0.2">
      <c r="A47" s="61"/>
      <c r="B47" s="61"/>
      <c r="C47" s="1" t="s">
        <v>195</v>
      </c>
      <c r="D47" s="61"/>
    </row>
    <row r="48" spans="1:4" x14ac:dyDescent="0.2">
      <c r="A48" s="61"/>
      <c r="B48" s="61"/>
      <c r="C48" s="1" t="s">
        <v>196</v>
      </c>
      <c r="D48" s="61"/>
    </row>
    <row r="49" spans="1:4" x14ac:dyDescent="0.2">
      <c r="A49" s="61"/>
      <c r="B49" s="61"/>
      <c r="C49" s="1" t="s">
        <v>197</v>
      </c>
      <c r="D49" s="61"/>
    </row>
    <row r="50" spans="1:4" x14ac:dyDescent="0.2">
      <c r="A50" s="60"/>
      <c r="B50" s="60"/>
      <c r="C50" s="1" t="s">
        <v>198</v>
      </c>
      <c r="D50" s="60"/>
    </row>
    <row r="51" spans="1:4" x14ac:dyDescent="0.2">
      <c r="A51" s="59" t="s">
        <v>158</v>
      </c>
      <c r="B51" s="59" t="s">
        <v>159</v>
      </c>
      <c r="C51" s="1" t="s">
        <v>148</v>
      </c>
      <c r="D51" s="59" t="s">
        <v>95</v>
      </c>
    </row>
    <row r="52" spans="1:4" x14ac:dyDescent="0.2">
      <c r="A52" s="61"/>
      <c r="B52" s="61"/>
      <c r="C52" s="1" t="s">
        <v>199</v>
      </c>
      <c r="D52" s="61"/>
    </row>
    <row r="53" spans="1:4" x14ac:dyDescent="0.2">
      <c r="A53" s="61"/>
      <c r="B53" s="61"/>
      <c r="C53" s="1" t="s">
        <v>160</v>
      </c>
      <c r="D53" s="61"/>
    </row>
    <row r="54" spans="1:4" x14ac:dyDescent="0.2">
      <c r="A54" s="61"/>
      <c r="B54" s="61"/>
      <c r="C54" s="1" t="s">
        <v>161</v>
      </c>
      <c r="D54" s="61"/>
    </row>
    <row r="55" spans="1:4" x14ac:dyDescent="0.2">
      <c r="A55" s="60"/>
      <c r="B55" s="60"/>
      <c r="C55" s="1" t="s">
        <v>162</v>
      </c>
      <c r="D55" s="60"/>
    </row>
    <row r="56" spans="1:4" x14ac:dyDescent="0.2">
      <c r="A56" s="59" t="s">
        <v>163</v>
      </c>
      <c r="B56" s="59" t="s">
        <v>164</v>
      </c>
      <c r="C56" s="1" t="s">
        <v>165</v>
      </c>
      <c r="D56" s="59" t="s">
        <v>95</v>
      </c>
    </row>
    <row r="57" spans="1:4" x14ac:dyDescent="0.2">
      <c r="A57" s="61"/>
      <c r="B57" s="61"/>
      <c r="C57" s="1" t="s">
        <v>166</v>
      </c>
      <c r="D57" s="61"/>
    </row>
    <row r="58" spans="1:4" x14ac:dyDescent="0.2">
      <c r="A58" s="61"/>
      <c r="B58" s="61"/>
      <c r="C58" s="1" t="s">
        <v>167</v>
      </c>
      <c r="D58" s="61"/>
    </row>
    <row r="59" spans="1:4" x14ac:dyDescent="0.2">
      <c r="A59" s="61"/>
      <c r="B59" s="61"/>
      <c r="C59" s="1" t="s">
        <v>168</v>
      </c>
      <c r="D59" s="61"/>
    </row>
    <row r="60" spans="1:4" x14ac:dyDescent="0.2">
      <c r="A60" s="60"/>
      <c r="B60" s="60"/>
      <c r="C60" s="1" t="s">
        <v>169</v>
      </c>
      <c r="D60" s="60"/>
    </row>
    <row r="61" spans="1:4" x14ac:dyDescent="0.2">
      <c r="A61" s="59" t="s">
        <v>170</v>
      </c>
      <c r="B61" s="59" t="s">
        <v>171</v>
      </c>
      <c r="C61" s="1" t="s">
        <v>165</v>
      </c>
      <c r="D61" s="59" t="s">
        <v>95</v>
      </c>
    </row>
    <row r="62" spans="1:4" x14ac:dyDescent="0.2">
      <c r="A62" s="61"/>
      <c r="B62" s="61"/>
      <c r="C62" s="1" t="s">
        <v>152</v>
      </c>
      <c r="D62" s="61"/>
    </row>
    <row r="63" spans="1:4" x14ac:dyDescent="0.2">
      <c r="A63" s="61"/>
      <c r="B63" s="61"/>
      <c r="C63" s="1" t="s">
        <v>153</v>
      </c>
      <c r="D63" s="61"/>
    </row>
    <row r="64" spans="1:4" x14ac:dyDescent="0.2">
      <c r="A64" s="61"/>
      <c r="B64" s="61"/>
      <c r="C64" s="1" t="s">
        <v>154</v>
      </c>
      <c r="D64" s="61"/>
    </row>
    <row r="65" spans="1:4" x14ac:dyDescent="0.2">
      <c r="A65" s="60"/>
      <c r="B65" s="60"/>
      <c r="C65" s="1" t="s">
        <v>172</v>
      </c>
      <c r="D65" s="60"/>
    </row>
    <row r="66" spans="1:4" x14ac:dyDescent="0.2">
      <c r="A66" s="59" t="s">
        <v>173</v>
      </c>
      <c r="B66" s="59" t="s">
        <v>174</v>
      </c>
      <c r="C66" s="1" t="s">
        <v>187</v>
      </c>
      <c r="D66" s="59" t="s">
        <v>95</v>
      </c>
    </row>
    <row r="67" spans="1:4" x14ac:dyDescent="0.2">
      <c r="A67" s="61"/>
      <c r="B67" s="61"/>
      <c r="C67" s="1" t="s">
        <v>188</v>
      </c>
      <c r="D67" s="61"/>
    </row>
    <row r="68" spans="1:4" x14ac:dyDescent="0.2">
      <c r="A68" s="61"/>
      <c r="B68" s="61"/>
      <c r="C68" s="1" t="s">
        <v>189</v>
      </c>
      <c r="D68" s="61"/>
    </row>
    <row r="69" spans="1:4" x14ac:dyDescent="0.2">
      <c r="A69" s="61"/>
      <c r="B69" s="61"/>
      <c r="C69" s="1" t="s">
        <v>190</v>
      </c>
      <c r="D69" s="61"/>
    </row>
    <row r="70" spans="1:4" x14ac:dyDescent="0.2">
      <c r="A70" s="59" t="s">
        <v>184</v>
      </c>
      <c r="B70" s="59" t="s">
        <v>186</v>
      </c>
      <c r="C70" s="1" t="s">
        <v>148</v>
      </c>
      <c r="D70" s="59" t="s">
        <v>95</v>
      </c>
    </row>
    <row r="71" spans="1:4" x14ac:dyDescent="0.2">
      <c r="A71" s="61"/>
      <c r="B71" s="61"/>
      <c r="C71" s="1" t="s">
        <v>175</v>
      </c>
      <c r="D71" s="61"/>
    </row>
    <row r="72" spans="1:4" x14ac:dyDescent="0.2">
      <c r="A72" s="61"/>
      <c r="B72" s="61"/>
      <c r="C72" s="1" t="s">
        <v>176</v>
      </c>
      <c r="D72" s="61"/>
    </row>
    <row r="73" spans="1:4" x14ac:dyDescent="0.2">
      <c r="A73" s="61"/>
      <c r="B73" s="61"/>
      <c r="C73" s="1" t="s">
        <v>177</v>
      </c>
      <c r="D73" s="61"/>
    </row>
    <row r="74" spans="1:4" x14ac:dyDescent="0.2">
      <c r="A74" s="60"/>
      <c r="B74" s="60"/>
      <c r="C74" s="1" t="s">
        <v>178</v>
      </c>
      <c r="D74" s="60"/>
    </row>
    <row r="75" spans="1:4" x14ac:dyDescent="0.2">
      <c r="A75" s="1" t="s">
        <v>179</v>
      </c>
      <c r="B75" s="1" t="s">
        <v>181</v>
      </c>
      <c r="C75" s="1" t="s">
        <v>122</v>
      </c>
      <c r="D75" s="1" t="s">
        <v>94</v>
      </c>
    </row>
    <row r="76" spans="1:4" x14ac:dyDescent="0.2">
      <c r="A76" s="59" t="s">
        <v>180</v>
      </c>
      <c r="B76" s="59" t="s">
        <v>119</v>
      </c>
      <c r="C76" s="1" t="s">
        <v>120</v>
      </c>
      <c r="D76" s="62" t="s">
        <v>93</v>
      </c>
    </row>
    <row r="77" spans="1:4" x14ac:dyDescent="0.2">
      <c r="A77" s="61"/>
      <c r="B77" s="61"/>
      <c r="C77" s="1" t="s">
        <v>121</v>
      </c>
      <c r="D77" s="63"/>
    </row>
    <row r="78" spans="1:4" x14ac:dyDescent="0.2">
      <c r="A78" s="61"/>
      <c r="B78" s="61"/>
      <c r="C78" s="1" t="s">
        <v>182</v>
      </c>
      <c r="D78" s="63"/>
    </row>
    <row r="79" spans="1:4" x14ac:dyDescent="0.2">
      <c r="A79" s="60"/>
      <c r="B79" s="60"/>
      <c r="C79" s="1" t="s">
        <v>183</v>
      </c>
      <c r="D79" s="64"/>
    </row>
  </sheetData>
  <mergeCells count="54">
    <mergeCell ref="A4:A6"/>
    <mergeCell ref="B4:B6"/>
    <mergeCell ref="D4:D6"/>
    <mergeCell ref="A7:A9"/>
    <mergeCell ref="B7:B9"/>
    <mergeCell ref="D7:D9"/>
    <mergeCell ref="A76:A79"/>
    <mergeCell ref="B76:B79"/>
    <mergeCell ref="D76:D79"/>
    <mergeCell ref="A18:A22"/>
    <mergeCell ref="A10:A12"/>
    <mergeCell ref="B10:B12"/>
    <mergeCell ref="D10:D12"/>
    <mergeCell ref="A13:A14"/>
    <mergeCell ref="B13:B14"/>
    <mergeCell ref="D13:D14"/>
    <mergeCell ref="A28:A30"/>
    <mergeCell ref="B28:B30"/>
    <mergeCell ref="D28:D30"/>
    <mergeCell ref="A16:A17"/>
    <mergeCell ref="B16:B17"/>
    <mergeCell ref="D16:D17"/>
    <mergeCell ref="B18:B22"/>
    <mergeCell ref="D18:D22"/>
    <mergeCell ref="A23:A27"/>
    <mergeCell ref="B23:B27"/>
    <mergeCell ref="D23:D27"/>
    <mergeCell ref="A31:A35"/>
    <mergeCell ref="B31:B35"/>
    <mergeCell ref="D31:D35"/>
    <mergeCell ref="A36:A40"/>
    <mergeCell ref="B36:B40"/>
    <mergeCell ref="D36:D40"/>
    <mergeCell ref="A41:A45"/>
    <mergeCell ref="B41:B45"/>
    <mergeCell ref="D41:D45"/>
    <mergeCell ref="A46:A50"/>
    <mergeCell ref="B46:B50"/>
    <mergeCell ref="D46:D50"/>
    <mergeCell ref="A51:A55"/>
    <mergeCell ref="B51:B55"/>
    <mergeCell ref="D51:D55"/>
    <mergeCell ref="A56:A60"/>
    <mergeCell ref="B56:B60"/>
    <mergeCell ref="D56:D60"/>
    <mergeCell ref="A70:A74"/>
    <mergeCell ref="B70:B74"/>
    <mergeCell ref="D70:D74"/>
    <mergeCell ref="A61:A65"/>
    <mergeCell ref="B61:B65"/>
    <mergeCell ref="D61:D65"/>
    <mergeCell ref="A66:A69"/>
    <mergeCell ref="B66:B69"/>
    <mergeCell ref="D66:D69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38B6-D8C2-274C-B6C1-1226B3F33284}">
  <sheetPr>
    <tabColor theme="9" tint="0.79998168889431442"/>
    <pageSetUpPr fitToPage="1"/>
  </sheetPr>
  <dimension ref="A1:V8"/>
  <sheetViews>
    <sheetView zoomScale="88" zoomScaleNormal="88" workbookViewId="0">
      <selection activeCell="G22" sqref="G22"/>
    </sheetView>
  </sheetViews>
  <sheetFormatPr baseColWidth="10" defaultColWidth="11.5" defaultRowHeight="16" x14ac:dyDescent="0.2"/>
  <cols>
    <col min="1" max="1" width="8.1640625" customWidth="1"/>
    <col min="2" max="2" width="14" customWidth="1"/>
    <col min="7" max="7" width="11.33203125" customWidth="1"/>
    <col min="11" max="11" width="16.5" customWidth="1"/>
    <col min="12" max="12" width="14.1640625" customWidth="1"/>
    <col min="17" max="17" width="19" customWidth="1"/>
    <col min="18" max="18" width="14" customWidth="1"/>
    <col min="21" max="21" width="15.5" customWidth="1"/>
  </cols>
  <sheetData>
    <row r="1" spans="1:22" ht="17" x14ac:dyDescent="0.2">
      <c r="A1" s="29" t="s">
        <v>25</v>
      </c>
      <c r="B1" s="32" t="s">
        <v>98</v>
      </c>
      <c r="C1" s="32" t="s">
        <v>103</v>
      </c>
      <c r="D1" s="32" t="s">
        <v>108</v>
      </c>
      <c r="E1" s="32" t="s">
        <v>114</v>
      </c>
      <c r="F1" s="2" t="s">
        <v>115</v>
      </c>
      <c r="G1" s="14" t="s">
        <v>117</v>
      </c>
      <c r="H1" s="33" t="s">
        <v>118</v>
      </c>
      <c r="I1" s="33" t="s">
        <v>129</v>
      </c>
      <c r="J1" s="33" t="s">
        <v>136</v>
      </c>
      <c r="K1" s="33" t="s">
        <v>200</v>
      </c>
      <c r="L1" s="33" t="s">
        <v>201</v>
      </c>
      <c r="M1" s="33" t="s">
        <v>149</v>
      </c>
      <c r="N1" s="33" t="s">
        <v>156</v>
      </c>
      <c r="O1" s="33" t="s">
        <v>158</v>
      </c>
      <c r="P1" s="33" t="s">
        <v>163</v>
      </c>
      <c r="Q1" s="4" t="s">
        <v>170</v>
      </c>
      <c r="R1" s="4" t="s">
        <v>173</v>
      </c>
      <c r="S1" s="4" t="s">
        <v>184</v>
      </c>
      <c r="T1" s="10" t="s">
        <v>179</v>
      </c>
      <c r="U1" s="15" t="s">
        <v>185</v>
      </c>
    </row>
    <row r="2" spans="1:22" x14ac:dyDescent="0.2">
      <c r="A2" s="1">
        <v>1</v>
      </c>
      <c r="B2" s="1">
        <v>2</v>
      </c>
      <c r="C2" s="1">
        <v>2</v>
      </c>
      <c r="D2" s="1">
        <v>1</v>
      </c>
      <c r="E2" s="1">
        <v>1</v>
      </c>
      <c r="F2" s="53">
        <f>SUM(B2:E2)</f>
        <v>6</v>
      </c>
      <c r="G2" s="53">
        <v>1</v>
      </c>
      <c r="H2" s="1">
        <v>2</v>
      </c>
      <c r="I2" s="1">
        <v>2</v>
      </c>
      <c r="J2" s="1">
        <v>1</v>
      </c>
      <c r="K2" s="1">
        <v>2</v>
      </c>
      <c r="L2" s="1">
        <v>1</v>
      </c>
      <c r="M2" s="1">
        <v>1</v>
      </c>
      <c r="N2" s="1">
        <v>1</v>
      </c>
      <c r="O2" s="1">
        <v>1</v>
      </c>
      <c r="P2" s="1">
        <v>2</v>
      </c>
      <c r="Q2" s="1">
        <v>1</v>
      </c>
      <c r="R2" s="1">
        <v>1</v>
      </c>
      <c r="S2" s="1">
        <v>2</v>
      </c>
      <c r="T2" s="54">
        <f>SUM(H2:S2)</f>
        <v>17</v>
      </c>
      <c r="U2" s="1">
        <v>1</v>
      </c>
      <c r="V2" s="4">
        <f>SUM(Q2:S2)</f>
        <v>4</v>
      </c>
    </row>
    <row r="3" spans="1:22" x14ac:dyDescent="0.2">
      <c r="A3" s="1">
        <v>2</v>
      </c>
      <c r="B3" s="55">
        <v>2</v>
      </c>
      <c r="C3" s="1">
        <v>2</v>
      </c>
      <c r="D3" s="1">
        <v>0</v>
      </c>
      <c r="E3" s="1">
        <v>1</v>
      </c>
      <c r="F3" s="53">
        <f t="shared" ref="F3:F6" si="0">SUM(B3:E3)</f>
        <v>5</v>
      </c>
      <c r="G3" s="53">
        <v>1</v>
      </c>
      <c r="H3" s="1">
        <v>3</v>
      </c>
      <c r="I3" s="1">
        <v>3</v>
      </c>
      <c r="J3" s="1">
        <v>4</v>
      </c>
      <c r="K3" s="1">
        <v>2</v>
      </c>
      <c r="L3" s="1">
        <v>2</v>
      </c>
      <c r="M3" s="1">
        <v>1</v>
      </c>
      <c r="N3" s="1">
        <v>2</v>
      </c>
      <c r="O3" s="1">
        <v>2</v>
      </c>
      <c r="P3" s="1">
        <v>3</v>
      </c>
      <c r="Q3" s="1">
        <v>2</v>
      </c>
      <c r="R3" s="1">
        <v>2</v>
      </c>
      <c r="S3" s="1">
        <v>3</v>
      </c>
      <c r="T3" s="54">
        <f t="shared" ref="T3:T6" si="1">SUM(H3:S3)</f>
        <v>29</v>
      </c>
      <c r="U3" s="1">
        <v>0</v>
      </c>
      <c r="V3" s="4">
        <f t="shared" ref="V3:V6" si="2">SUM(Q3:S3)</f>
        <v>7</v>
      </c>
    </row>
    <row r="4" spans="1:22" x14ac:dyDescent="0.2">
      <c r="A4" s="1">
        <v>3</v>
      </c>
      <c r="B4" s="1">
        <v>0</v>
      </c>
      <c r="C4" s="1">
        <v>0</v>
      </c>
      <c r="D4" s="1">
        <v>0</v>
      </c>
      <c r="E4" s="1">
        <v>0</v>
      </c>
      <c r="F4" s="53">
        <f t="shared" si="0"/>
        <v>0</v>
      </c>
      <c r="G4" s="53">
        <v>0</v>
      </c>
      <c r="H4" s="1">
        <v>3</v>
      </c>
      <c r="I4" s="1">
        <v>3</v>
      </c>
      <c r="J4" s="1">
        <v>4</v>
      </c>
      <c r="K4" s="1">
        <v>3</v>
      </c>
      <c r="L4" s="1">
        <v>2</v>
      </c>
      <c r="M4" s="1">
        <v>2</v>
      </c>
      <c r="N4" s="1">
        <v>2</v>
      </c>
      <c r="O4" s="1">
        <v>2</v>
      </c>
      <c r="P4" s="1">
        <v>3</v>
      </c>
      <c r="Q4" s="1">
        <v>0</v>
      </c>
      <c r="R4" s="1">
        <v>1</v>
      </c>
      <c r="S4" s="1">
        <v>2</v>
      </c>
      <c r="T4" s="54">
        <f t="shared" si="1"/>
        <v>27</v>
      </c>
      <c r="U4" s="1">
        <v>0</v>
      </c>
      <c r="V4" s="4">
        <f t="shared" si="2"/>
        <v>3</v>
      </c>
    </row>
    <row r="5" spans="1:22" x14ac:dyDescent="0.2">
      <c r="A5" s="1">
        <v>4</v>
      </c>
      <c r="B5" s="1">
        <v>2</v>
      </c>
      <c r="C5" s="1">
        <v>2</v>
      </c>
      <c r="D5" s="1">
        <v>2</v>
      </c>
      <c r="E5" s="1">
        <v>1</v>
      </c>
      <c r="F5" s="53">
        <f t="shared" si="0"/>
        <v>7</v>
      </c>
      <c r="G5" s="53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1</v>
      </c>
      <c r="T5" s="54">
        <f t="shared" si="1"/>
        <v>8</v>
      </c>
      <c r="U5" s="1">
        <v>2</v>
      </c>
      <c r="V5" s="4">
        <f t="shared" si="2"/>
        <v>1</v>
      </c>
    </row>
    <row r="6" spans="1:22" x14ac:dyDescent="0.2">
      <c r="A6" s="1">
        <v>5</v>
      </c>
      <c r="B6" s="1">
        <v>0</v>
      </c>
      <c r="C6" s="1">
        <v>0</v>
      </c>
      <c r="D6" s="1">
        <v>0</v>
      </c>
      <c r="E6" s="1">
        <v>0</v>
      </c>
      <c r="F6" s="53">
        <f t="shared" si="0"/>
        <v>0</v>
      </c>
      <c r="G6" s="53">
        <v>0</v>
      </c>
      <c r="H6" s="1">
        <v>3</v>
      </c>
      <c r="I6" s="1">
        <v>4</v>
      </c>
      <c r="J6" s="1">
        <v>4</v>
      </c>
      <c r="K6" s="1">
        <v>3</v>
      </c>
      <c r="L6" s="1">
        <v>3</v>
      </c>
      <c r="M6" s="1">
        <v>2</v>
      </c>
      <c r="N6" s="1">
        <v>3</v>
      </c>
      <c r="O6" s="1">
        <v>3</v>
      </c>
      <c r="P6" s="1">
        <v>3</v>
      </c>
      <c r="Q6" s="1">
        <v>3</v>
      </c>
      <c r="R6" s="1">
        <v>2</v>
      </c>
      <c r="S6" s="1">
        <v>3</v>
      </c>
      <c r="T6" s="54">
        <f t="shared" si="1"/>
        <v>36</v>
      </c>
      <c r="U6" s="1">
        <v>3</v>
      </c>
      <c r="V6" s="4">
        <f t="shared" si="2"/>
        <v>8</v>
      </c>
    </row>
    <row r="8" spans="1:22" x14ac:dyDescent="0.2">
      <c r="B8" s="56"/>
      <c r="C8" s="56"/>
      <c r="D8" s="56"/>
      <c r="U8" s="8"/>
    </row>
  </sheetData>
  <phoneticPr fontId="8" type="noConversion"/>
  <pageMargins left="0.7" right="0.7" top="0.75" bottom="0.75" header="0.3" footer="0.3"/>
  <pageSetup paperSize="9" scale="25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06C6-F4F8-4F6A-B2FF-053E96D97893}">
  <sheetPr>
    <tabColor theme="9" tint="0.79998168889431442"/>
    <pageSetUpPr fitToPage="1"/>
  </sheetPr>
  <dimension ref="A1:V36"/>
  <sheetViews>
    <sheetView zoomScale="88" zoomScaleNormal="88" workbookViewId="0">
      <selection activeCell="G38" sqref="G38"/>
    </sheetView>
  </sheetViews>
  <sheetFormatPr baseColWidth="10" defaultColWidth="11.5" defaultRowHeight="16" x14ac:dyDescent="0.2"/>
  <cols>
    <col min="1" max="1" width="8.1640625" customWidth="1"/>
    <col min="2" max="2" width="14" customWidth="1"/>
    <col min="7" max="7" width="11.33203125" customWidth="1"/>
    <col min="11" max="11" width="16.5" customWidth="1"/>
    <col min="12" max="12" width="14.1640625" customWidth="1"/>
    <col min="17" max="17" width="14.5" customWidth="1"/>
    <col min="18" max="18" width="14" customWidth="1"/>
    <col min="21" max="21" width="27.83203125" customWidth="1"/>
  </cols>
  <sheetData>
    <row r="1" spans="1:22" ht="17" x14ac:dyDescent="0.2">
      <c r="A1" s="29" t="s">
        <v>25</v>
      </c>
      <c r="B1" s="32" t="s">
        <v>98</v>
      </c>
      <c r="C1" s="32" t="s">
        <v>103</v>
      </c>
      <c r="D1" s="32" t="s">
        <v>108</v>
      </c>
      <c r="E1" s="32" t="s">
        <v>114</v>
      </c>
      <c r="F1" s="2" t="s">
        <v>115</v>
      </c>
      <c r="G1" s="14" t="s">
        <v>117</v>
      </c>
      <c r="H1" s="33" t="s">
        <v>118</v>
      </c>
      <c r="I1" s="33" t="s">
        <v>129</v>
      </c>
      <c r="J1" s="33" t="s">
        <v>136</v>
      </c>
      <c r="K1" s="33" t="s">
        <v>200</v>
      </c>
      <c r="L1" s="33" t="s">
        <v>201</v>
      </c>
      <c r="M1" s="33" t="s">
        <v>149</v>
      </c>
      <c r="N1" s="33" t="s">
        <v>156</v>
      </c>
      <c r="O1" s="33" t="s">
        <v>158</v>
      </c>
      <c r="P1" s="33" t="s">
        <v>163</v>
      </c>
      <c r="Q1" s="4" t="s">
        <v>170</v>
      </c>
      <c r="R1" s="4" t="s">
        <v>173</v>
      </c>
      <c r="S1" s="4" t="s">
        <v>184</v>
      </c>
      <c r="T1" s="10" t="s">
        <v>179</v>
      </c>
      <c r="U1" s="15" t="s">
        <v>185</v>
      </c>
    </row>
    <row r="2" spans="1:22" x14ac:dyDescent="0.2">
      <c r="A2" s="16">
        <v>1</v>
      </c>
      <c r="B2" s="1">
        <v>0</v>
      </c>
      <c r="C2" s="1">
        <v>2</v>
      </c>
      <c r="D2" s="1">
        <v>1</v>
      </c>
      <c r="E2" s="1">
        <v>2</v>
      </c>
      <c r="F2" s="2">
        <f>SUM(B2:E2)</f>
        <v>5</v>
      </c>
      <c r="G2" s="7" t="s">
        <v>4</v>
      </c>
      <c r="H2" s="1">
        <v>3</v>
      </c>
      <c r="I2" s="1">
        <v>1</v>
      </c>
      <c r="J2" s="1">
        <v>4</v>
      </c>
      <c r="K2" s="1">
        <v>1</v>
      </c>
      <c r="L2" s="1">
        <v>1</v>
      </c>
      <c r="M2" s="1">
        <v>2</v>
      </c>
      <c r="N2" s="1">
        <v>1</v>
      </c>
      <c r="O2" s="1">
        <v>1</v>
      </c>
      <c r="P2" s="1">
        <v>1</v>
      </c>
      <c r="Q2" s="5">
        <v>1</v>
      </c>
      <c r="R2" s="5">
        <v>0</v>
      </c>
      <c r="S2" s="5">
        <v>2</v>
      </c>
      <c r="T2" s="10">
        <f>SUM(H2:S2)</f>
        <v>18</v>
      </c>
      <c r="U2" s="11" t="s">
        <v>4</v>
      </c>
      <c r="V2" s="4">
        <f>SUM(Q2:S2)</f>
        <v>3</v>
      </c>
    </row>
    <row r="3" spans="1:22" x14ac:dyDescent="0.2">
      <c r="A3" s="16">
        <v>2</v>
      </c>
      <c r="B3" s="1">
        <v>0</v>
      </c>
      <c r="C3" s="1">
        <v>0</v>
      </c>
      <c r="D3" s="1">
        <v>0</v>
      </c>
      <c r="E3" s="1">
        <v>0</v>
      </c>
      <c r="F3" s="2">
        <f>SUM(B3:E3)</f>
        <v>0</v>
      </c>
      <c r="G3" s="6" t="s">
        <v>6</v>
      </c>
      <c r="H3" s="1">
        <v>3</v>
      </c>
      <c r="I3" s="1">
        <v>3</v>
      </c>
      <c r="J3" s="1">
        <v>4</v>
      </c>
      <c r="K3" s="1">
        <v>2</v>
      </c>
      <c r="L3" s="1">
        <v>1</v>
      </c>
      <c r="M3" s="1">
        <v>1</v>
      </c>
      <c r="N3" s="1">
        <v>1</v>
      </c>
      <c r="O3" s="1">
        <v>2</v>
      </c>
      <c r="P3" s="1">
        <v>3</v>
      </c>
      <c r="Q3" s="5">
        <v>0</v>
      </c>
      <c r="R3" s="5">
        <v>1</v>
      </c>
      <c r="S3" s="5">
        <v>1</v>
      </c>
      <c r="T3" s="10">
        <f t="shared" ref="T3:T31" si="0">SUM(H3:S3)</f>
        <v>22</v>
      </c>
      <c r="U3" s="11" t="s">
        <v>4</v>
      </c>
      <c r="V3" s="4">
        <f t="shared" ref="V3:V31" si="1">SUM(Q3:S3)</f>
        <v>2</v>
      </c>
    </row>
    <row r="4" spans="1:22" x14ac:dyDescent="0.2">
      <c r="A4" s="16">
        <v>3</v>
      </c>
      <c r="B4" s="1">
        <v>0</v>
      </c>
      <c r="C4" s="1">
        <v>0</v>
      </c>
      <c r="D4" s="1">
        <v>0</v>
      </c>
      <c r="E4" s="1">
        <v>2</v>
      </c>
      <c r="F4" s="2">
        <f>SUM(B4:E4)</f>
        <v>2</v>
      </c>
      <c r="G4" s="7" t="s">
        <v>4</v>
      </c>
      <c r="H4" s="1">
        <v>2</v>
      </c>
      <c r="I4" s="1">
        <v>3</v>
      </c>
      <c r="J4" s="1">
        <v>4</v>
      </c>
      <c r="K4" s="1">
        <v>1</v>
      </c>
      <c r="L4" s="1">
        <v>2</v>
      </c>
      <c r="M4" s="1">
        <v>1</v>
      </c>
      <c r="N4" s="1">
        <v>2</v>
      </c>
      <c r="O4" s="1">
        <v>2</v>
      </c>
      <c r="P4" s="1">
        <v>2</v>
      </c>
      <c r="Q4" s="5">
        <v>0</v>
      </c>
      <c r="R4" s="5">
        <v>0</v>
      </c>
      <c r="S4" s="5">
        <v>2</v>
      </c>
      <c r="T4" s="10">
        <f t="shared" si="0"/>
        <v>21</v>
      </c>
      <c r="U4" s="11" t="s">
        <v>4</v>
      </c>
      <c r="V4" s="4">
        <f t="shared" si="1"/>
        <v>2</v>
      </c>
    </row>
    <row r="5" spans="1:22" x14ac:dyDescent="0.2">
      <c r="A5" s="16">
        <v>4</v>
      </c>
      <c r="B5" s="1">
        <v>0</v>
      </c>
      <c r="C5" s="1">
        <v>0</v>
      </c>
      <c r="D5" s="1">
        <v>0</v>
      </c>
      <c r="E5" s="1">
        <v>2</v>
      </c>
      <c r="F5" s="2">
        <f t="shared" ref="F5:F31" si="2">SUM(B5:E5)</f>
        <v>2</v>
      </c>
      <c r="G5" s="7" t="s">
        <v>4</v>
      </c>
      <c r="H5" s="1">
        <v>2</v>
      </c>
      <c r="I5" s="1">
        <v>3</v>
      </c>
      <c r="J5" s="1">
        <v>4</v>
      </c>
      <c r="K5" s="1">
        <v>2</v>
      </c>
      <c r="L5" s="1">
        <v>2</v>
      </c>
      <c r="M5" s="1">
        <v>1</v>
      </c>
      <c r="N5" s="1">
        <v>2</v>
      </c>
      <c r="O5" s="1">
        <v>2</v>
      </c>
      <c r="P5" s="1">
        <v>2</v>
      </c>
      <c r="Q5" s="5">
        <v>1</v>
      </c>
      <c r="R5" s="5">
        <v>0</v>
      </c>
      <c r="S5" s="5">
        <v>1</v>
      </c>
      <c r="T5" s="10">
        <f t="shared" si="0"/>
        <v>22</v>
      </c>
      <c r="U5" s="11" t="s">
        <v>4</v>
      </c>
      <c r="V5" s="4">
        <f t="shared" si="1"/>
        <v>2</v>
      </c>
    </row>
    <row r="6" spans="1:22" x14ac:dyDescent="0.2">
      <c r="A6" s="16">
        <v>5</v>
      </c>
      <c r="B6" s="1">
        <v>0</v>
      </c>
      <c r="C6" s="1">
        <v>0</v>
      </c>
      <c r="D6" s="1">
        <v>0</v>
      </c>
      <c r="E6" s="1">
        <v>2</v>
      </c>
      <c r="F6" s="2">
        <f t="shared" si="2"/>
        <v>2</v>
      </c>
      <c r="G6" s="7" t="s">
        <v>4</v>
      </c>
      <c r="H6" s="1">
        <v>3</v>
      </c>
      <c r="I6" s="1">
        <v>3</v>
      </c>
      <c r="J6" s="1">
        <v>4</v>
      </c>
      <c r="K6" s="1">
        <v>1</v>
      </c>
      <c r="L6" s="1">
        <v>2</v>
      </c>
      <c r="M6" s="1">
        <v>1</v>
      </c>
      <c r="N6" s="1">
        <v>1</v>
      </c>
      <c r="O6" s="1">
        <v>1</v>
      </c>
      <c r="P6" s="1">
        <v>2</v>
      </c>
      <c r="Q6" s="5">
        <v>1</v>
      </c>
      <c r="R6" s="5">
        <v>1</v>
      </c>
      <c r="S6" s="5">
        <v>2</v>
      </c>
      <c r="T6" s="10">
        <f t="shared" si="0"/>
        <v>22</v>
      </c>
      <c r="U6" s="11" t="s">
        <v>4</v>
      </c>
      <c r="V6" s="4">
        <f t="shared" si="1"/>
        <v>4</v>
      </c>
    </row>
    <row r="7" spans="1:22" x14ac:dyDescent="0.2">
      <c r="A7" s="16">
        <v>6</v>
      </c>
      <c r="B7" s="1">
        <v>0</v>
      </c>
      <c r="C7" s="1">
        <v>0</v>
      </c>
      <c r="D7" s="1">
        <v>0</v>
      </c>
      <c r="E7" s="1">
        <v>2</v>
      </c>
      <c r="F7" s="2">
        <f t="shared" si="2"/>
        <v>2</v>
      </c>
      <c r="G7" s="7" t="s">
        <v>4</v>
      </c>
      <c r="H7" s="1">
        <v>2</v>
      </c>
      <c r="I7" s="1">
        <v>2</v>
      </c>
      <c r="J7" s="1">
        <v>4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2</v>
      </c>
      <c r="Q7" s="5">
        <v>0</v>
      </c>
      <c r="R7" s="5">
        <v>1</v>
      </c>
      <c r="S7" s="5">
        <v>0</v>
      </c>
      <c r="T7" s="10">
        <f t="shared" si="0"/>
        <v>16</v>
      </c>
      <c r="U7" s="12" t="s">
        <v>5</v>
      </c>
      <c r="V7" s="4">
        <f t="shared" si="1"/>
        <v>1</v>
      </c>
    </row>
    <row r="8" spans="1:22" x14ac:dyDescent="0.2">
      <c r="A8" s="16">
        <v>7</v>
      </c>
      <c r="B8" s="1">
        <v>0</v>
      </c>
      <c r="C8" s="1">
        <v>0</v>
      </c>
      <c r="D8" s="1">
        <v>0</v>
      </c>
      <c r="E8" s="1">
        <v>2</v>
      </c>
      <c r="F8" s="2">
        <f t="shared" si="2"/>
        <v>2</v>
      </c>
      <c r="G8" s="7" t="s">
        <v>4</v>
      </c>
      <c r="H8" s="1">
        <v>3</v>
      </c>
      <c r="I8" s="1">
        <v>3</v>
      </c>
      <c r="J8" s="1">
        <v>4</v>
      </c>
      <c r="K8" s="1">
        <v>2</v>
      </c>
      <c r="L8" s="1">
        <v>2</v>
      </c>
      <c r="M8" s="1">
        <v>0</v>
      </c>
      <c r="N8" s="1">
        <v>1</v>
      </c>
      <c r="O8" s="1">
        <v>2</v>
      </c>
      <c r="P8" s="1">
        <v>3</v>
      </c>
      <c r="Q8" s="5">
        <v>2</v>
      </c>
      <c r="R8" s="5">
        <v>1</v>
      </c>
      <c r="S8" s="5">
        <v>1</v>
      </c>
      <c r="T8" s="10">
        <f t="shared" si="0"/>
        <v>24</v>
      </c>
      <c r="U8" s="13" t="s">
        <v>6</v>
      </c>
      <c r="V8" s="4">
        <f t="shared" si="1"/>
        <v>4</v>
      </c>
    </row>
    <row r="9" spans="1:22" x14ac:dyDescent="0.2">
      <c r="A9" s="16">
        <v>8</v>
      </c>
      <c r="B9" s="1">
        <v>0</v>
      </c>
      <c r="C9" s="1">
        <v>0</v>
      </c>
      <c r="D9" s="1">
        <v>1</v>
      </c>
      <c r="E9" s="1">
        <v>2</v>
      </c>
      <c r="F9" s="2">
        <f t="shared" si="2"/>
        <v>3</v>
      </c>
      <c r="G9" s="7" t="s">
        <v>4</v>
      </c>
      <c r="H9" s="1">
        <v>2</v>
      </c>
      <c r="I9" s="1">
        <v>1</v>
      </c>
      <c r="J9" s="1">
        <v>2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2</v>
      </c>
      <c r="Q9" s="5">
        <v>0</v>
      </c>
      <c r="R9" s="5">
        <v>0</v>
      </c>
      <c r="S9" s="5">
        <v>0</v>
      </c>
      <c r="T9" s="10">
        <f t="shared" si="0"/>
        <v>12</v>
      </c>
      <c r="U9" s="12" t="s">
        <v>5</v>
      </c>
      <c r="V9" s="4">
        <f t="shared" si="1"/>
        <v>0</v>
      </c>
    </row>
    <row r="10" spans="1:22" x14ac:dyDescent="0.2">
      <c r="A10" s="16">
        <v>9</v>
      </c>
      <c r="B10" s="1">
        <v>0</v>
      </c>
      <c r="C10" s="1">
        <v>0</v>
      </c>
      <c r="D10" s="1">
        <v>0</v>
      </c>
      <c r="E10" s="1">
        <v>2</v>
      </c>
      <c r="F10" s="2">
        <f t="shared" si="2"/>
        <v>2</v>
      </c>
      <c r="G10" s="7" t="s">
        <v>4</v>
      </c>
      <c r="H10" s="1">
        <v>3</v>
      </c>
      <c r="I10" s="1">
        <v>1</v>
      </c>
      <c r="J10" s="1">
        <v>4</v>
      </c>
      <c r="K10" s="1">
        <v>1</v>
      </c>
      <c r="L10" s="1">
        <v>1</v>
      </c>
      <c r="M10" s="1">
        <v>1</v>
      </c>
      <c r="N10" s="1">
        <v>1</v>
      </c>
      <c r="O10" s="1">
        <v>2</v>
      </c>
      <c r="P10" s="1">
        <v>2</v>
      </c>
      <c r="Q10" s="5">
        <v>2</v>
      </c>
      <c r="R10" s="5">
        <v>1</v>
      </c>
      <c r="S10" s="5">
        <v>3</v>
      </c>
      <c r="T10" s="10">
        <f t="shared" si="0"/>
        <v>22</v>
      </c>
      <c r="U10" s="11" t="s">
        <v>4</v>
      </c>
      <c r="V10" s="4">
        <f t="shared" si="1"/>
        <v>6</v>
      </c>
    </row>
    <row r="11" spans="1:22" x14ac:dyDescent="0.2">
      <c r="A11" s="16">
        <v>10</v>
      </c>
      <c r="B11" s="1">
        <v>0</v>
      </c>
      <c r="C11" s="1">
        <v>0</v>
      </c>
      <c r="D11" s="1">
        <v>0</v>
      </c>
      <c r="E11" s="1">
        <v>0</v>
      </c>
      <c r="F11" s="2">
        <f t="shared" si="2"/>
        <v>0</v>
      </c>
      <c r="G11" s="6" t="s">
        <v>6</v>
      </c>
      <c r="H11" s="1">
        <v>3</v>
      </c>
      <c r="I11" s="1">
        <v>1</v>
      </c>
      <c r="J11" s="1">
        <v>4</v>
      </c>
      <c r="K11" s="1">
        <v>1</v>
      </c>
      <c r="L11" s="1">
        <v>1</v>
      </c>
      <c r="M11" s="1">
        <v>0</v>
      </c>
      <c r="N11" s="1">
        <v>2</v>
      </c>
      <c r="O11" s="1">
        <v>0</v>
      </c>
      <c r="P11" s="1">
        <v>3</v>
      </c>
      <c r="Q11" s="5">
        <v>0</v>
      </c>
      <c r="R11" s="5">
        <v>0</v>
      </c>
      <c r="S11" s="5">
        <v>2</v>
      </c>
      <c r="T11" s="10">
        <f t="shared" si="0"/>
        <v>17</v>
      </c>
      <c r="U11" s="11" t="s">
        <v>4</v>
      </c>
      <c r="V11" s="4">
        <f t="shared" si="1"/>
        <v>2</v>
      </c>
    </row>
    <row r="12" spans="1:22" x14ac:dyDescent="0.2">
      <c r="A12" s="16">
        <v>11</v>
      </c>
      <c r="B12" s="1">
        <v>0</v>
      </c>
      <c r="C12" s="1">
        <v>0</v>
      </c>
      <c r="D12" s="1">
        <v>0</v>
      </c>
      <c r="E12" s="1">
        <v>2</v>
      </c>
      <c r="F12" s="2">
        <f t="shared" si="2"/>
        <v>2</v>
      </c>
      <c r="G12" s="7" t="s">
        <v>4</v>
      </c>
      <c r="H12" s="1">
        <v>3</v>
      </c>
      <c r="I12" s="1">
        <v>3</v>
      </c>
      <c r="J12" s="1">
        <v>4</v>
      </c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2</v>
      </c>
      <c r="Q12" s="5">
        <v>1</v>
      </c>
      <c r="R12" s="5">
        <v>1</v>
      </c>
      <c r="S12" s="5">
        <v>1</v>
      </c>
      <c r="T12" s="10">
        <f t="shared" si="0"/>
        <v>21</v>
      </c>
      <c r="U12" s="11" t="s">
        <v>4</v>
      </c>
      <c r="V12" s="4">
        <f t="shared" si="1"/>
        <v>3</v>
      </c>
    </row>
    <row r="13" spans="1:22" x14ac:dyDescent="0.2">
      <c r="A13" s="16">
        <v>12</v>
      </c>
      <c r="B13" s="1">
        <v>0</v>
      </c>
      <c r="C13" s="1">
        <v>0</v>
      </c>
      <c r="D13" s="1">
        <v>0</v>
      </c>
      <c r="E13" s="1">
        <v>2</v>
      </c>
      <c r="F13" s="2">
        <f t="shared" si="2"/>
        <v>2</v>
      </c>
      <c r="G13" s="7" t="s">
        <v>4</v>
      </c>
      <c r="H13" s="1">
        <v>3</v>
      </c>
      <c r="I13" s="1">
        <v>3</v>
      </c>
      <c r="J13" s="1">
        <v>4</v>
      </c>
      <c r="K13" s="1">
        <v>1</v>
      </c>
      <c r="L13" s="1">
        <v>1</v>
      </c>
      <c r="M13" s="1">
        <v>0</v>
      </c>
      <c r="N13" s="1">
        <v>1</v>
      </c>
      <c r="O13" s="1">
        <v>1</v>
      </c>
      <c r="P13" s="1">
        <v>2</v>
      </c>
      <c r="Q13" s="5">
        <v>0</v>
      </c>
      <c r="R13" s="5">
        <v>1</v>
      </c>
      <c r="S13" s="5">
        <v>1</v>
      </c>
      <c r="T13" s="10">
        <f t="shared" si="0"/>
        <v>18</v>
      </c>
      <c r="U13" s="11" t="s">
        <v>4</v>
      </c>
      <c r="V13" s="4">
        <f t="shared" si="1"/>
        <v>2</v>
      </c>
    </row>
    <row r="14" spans="1:22" x14ac:dyDescent="0.2">
      <c r="A14" s="16">
        <v>13</v>
      </c>
      <c r="B14" s="1">
        <v>2</v>
      </c>
      <c r="C14" s="1">
        <v>2</v>
      </c>
      <c r="D14" s="1">
        <v>0</v>
      </c>
      <c r="E14" s="1">
        <v>0</v>
      </c>
      <c r="F14" s="2">
        <f t="shared" si="2"/>
        <v>4</v>
      </c>
      <c r="G14" s="7" t="s">
        <v>4</v>
      </c>
      <c r="H14" s="1">
        <v>3</v>
      </c>
      <c r="I14" s="1">
        <v>3</v>
      </c>
      <c r="J14" s="1">
        <v>2</v>
      </c>
      <c r="K14" s="1">
        <v>0</v>
      </c>
      <c r="L14" s="1">
        <v>1</v>
      </c>
      <c r="M14" s="1">
        <v>0</v>
      </c>
      <c r="N14" s="1">
        <v>2</v>
      </c>
      <c r="O14" s="1">
        <v>4</v>
      </c>
      <c r="P14" s="1">
        <v>3</v>
      </c>
      <c r="Q14" s="5">
        <v>0</v>
      </c>
      <c r="R14" s="5">
        <v>0</v>
      </c>
      <c r="S14" s="5">
        <v>1</v>
      </c>
      <c r="T14" s="10">
        <f t="shared" si="0"/>
        <v>19</v>
      </c>
      <c r="U14" s="11" t="s">
        <v>4</v>
      </c>
      <c r="V14" s="4">
        <f t="shared" si="1"/>
        <v>1</v>
      </c>
    </row>
    <row r="15" spans="1:22" x14ac:dyDescent="0.2">
      <c r="A15" s="16">
        <v>14</v>
      </c>
      <c r="B15" s="1">
        <v>0</v>
      </c>
      <c r="C15" s="1">
        <v>0</v>
      </c>
      <c r="D15" s="1">
        <v>0</v>
      </c>
      <c r="E15" s="1">
        <v>0</v>
      </c>
      <c r="F15" s="2">
        <f t="shared" si="2"/>
        <v>0</v>
      </c>
      <c r="G15" s="6" t="s">
        <v>6</v>
      </c>
      <c r="H15" s="1">
        <v>2</v>
      </c>
      <c r="I15" s="1">
        <v>3</v>
      </c>
      <c r="J15" s="1">
        <v>4</v>
      </c>
      <c r="K15" s="1">
        <v>1</v>
      </c>
      <c r="L15" s="1">
        <v>2</v>
      </c>
      <c r="M15" s="1">
        <v>3</v>
      </c>
      <c r="N15" s="1">
        <v>1</v>
      </c>
      <c r="O15" s="1">
        <v>2</v>
      </c>
      <c r="P15" s="1">
        <v>2</v>
      </c>
      <c r="Q15" s="5">
        <v>0</v>
      </c>
      <c r="R15" s="5">
        <v>1</v>
      </c>
      <c r="S15" s="5">
        <v>0</v>
      </c>
      <c r="T15" s="10">
        <f t="shared" si="0"/>
        <v>21</v>
      </c>
      <c r="U15" s="11" t="s">
        <v>4</v>
      </c>
      <c r="V15" s="4">
        <f t="shared" si="1"/>
        <v>1</v>
      </c>
    </row>
    <row r="16" spans="1:22" x14ac:dyDescent="0.2">
      <c r="A16" s="16">
        <v>15</v>
      </c>
      <c r="B16" s="1">
        <v>0</v>
      </c>
      <c r="C16" s="1">
        <v>0</v>
      </c>
      <c r="D16" s="1">
        <v>0</v>
      </c>
      <c r="E16" s="1">
        <v>0</v>
      </c>
      <c r="F16" s="2">
        <f t="shared" si="2"/>
        <v>0</v>
      </c>
      <c r="G16" s="6" t="s">
        <v>6</v>
      </c>
      <c r="H16" s="1">
        <v>1</v>
      </c>
      <c r="I16" s="1">
        <v>3</v>
      </c>
      <c r="J16" s="1">
        <v>4</v>
      </c>
      <c r="K16" s="1">
        <v>1</v>
      </c>
      <c r="L16" s="1">
        <v>1</v>
      </c>
      <c r="M16" s="1">
        <v>1</v>
      </c>
      <c r="N16" s="1">
        <v>2</v>
      </c>
      <c r="O16" s="1">
        <v>2</v>
      </c>
      <c r="P16" s="1">
        <v>4</v>
      </c>
      <c r="Q16" s="5">
        <v>0</v>
      </c>
      <c r="R16" s="5">
        <v>0</v>
      </c>
      <c r="S16" s="5">
        <v>1</v>
      </c>
      <c r="T16" s="10">
        <f t="shared" si="0"/>
        <v>20</v>
      </c>
      <c r="U16" s="11" t="s">
        <v>4</v>
      </c>
      <c r="V16" s="4">
        <f t="shared" si="1"/>
        <v>1</v>
      </c>
    </row>
    <row r="17" spans="1:22" x14ac:dyDescent="0.2">
      <c r="A17" s="16">
        <v>16</v>
      </c>
      <c r="B17" s="1">
        <v>2</v>
      </c>
      <c r="C17" s="1">
        <v>0</v>
      </c>
      <c r="D17" s="1">
        <v>0</v>
      </c>
      <c r="E17" s="1">
        <v>2</v>
      </c>
      <c r="F17" s="2">
        <f t="shared" si="2"/>
        <v>4</v>
      </c>
      <c r="G17" s="7" t="s">
        <v>4</v>
      </c>
      <c r="H17" s="1">
        <v>3</v>
      </c>
      <c r="I17" s="1">
        <v>3</v>
      </c>
      <c r="J17" s="1">
        <v>4</v>
      </c>
      <c r="K17" s="1">
        <v>1</v>
      </c>
      <c r="L17" s="1">
        <v>1</v>
      </c>
      <c r="M17" s="1">
        <v>0</v>
      </c>
      <c r="N17" s="1">
        <v>1</v>
      </c>
      <c r="O17" s="1">
        <v>1</v>
      </c>
      <c r="P17" s="1">
        <v>3</v>
      </c>
      <c r="Q17" s="5">
        <v>0</v>
      </c>
      <c r="R17" s="5">
        <v>1</v>
      </c>
      <c r="S17" s="5">
        <v>0</v>
      </c>
      <c r="T17" s="10">
        <f t="shared" si="0"/>
        <v>18</v>
      </c>
      <c r="U17" s="11" t="s">
        <v>4</v>
      </c>
      <c r="V17" s="4">
        <f t="shared" si="1"/>
        <v>1</v>
      </c>
    </row>
    <row r="18" spans="1:22" x14ac:dyDescent="0.2">
      <c r="A18" s="16">
        <v>17</v>
      </c>
      <c r="B18" s="1">
        <v>2</v>
      </c>
      <c r="C18" s="1">
        <v>0</v>
      </c>
      <c r="D18" s="1">
        <v>0</v>
      </c>
      <c r="E18" s="1">
        <v>0</v>
      </c>
      <c r="F18" s="2">
        <f t="shared" si="2"/>
        <v>2</v>
      </c>
      <c r="G18" s="7" t="s">
        <v>4</v>
      </c>
      <c r="H18" s="1">
        <v>2</v>
      </c>
      <c r="I18" s="1">
        <v>3</v>
      </c>
      <c r="J18" s="1">
        <v>4</v>
      </c>
      <c r="K18" s="1">
        <v>2</v>
      </c>
      <c r="L18" s="1">
        <v>2</v>
      </c>
      <c r="M18" s="1">
        <v>0</v>
      </c>
      <c r="N18" s="1">
        <v>0</v>
      </c>
      <c r="O18" s="1">
        <v>1</v>
      </c>
      <c r="P18" s="1">
        <v>2</v>
      </c>
      <c r="Q18" s="5">
        <v>0</v>
      </c>
      <c r="R18" s="5">
        <v>1</v>
      </c>
      <c r="S18" s="5">
        <v>1</v>
      </c>
      <c r="T18" s="10">
        <f t="shared" si="0"/>
        <v>18</v>
      </c>
      <c r="U18" s="11" t="s">
        <v>4</v>
      </c>
      <c r="V18" s="4">
        <f t="shared" si="1"/>
        <v>2</v>
      </c>
    </row>
    <row r="19" spans="1:22" x14ac:dyDescent="0.2">
      <c r="A19" s="16">
        <v>18</v>
      </c>
      <c r="B19" s="1">
        <v>2</v>
      </c>
      <c r="C19" s="1">
        <v>0</v>
      </c>
      <c r="D19" s="1">
        <v>1</v>
      </c>
      <c r="E19" s="1">
        <v>2</v>
      </c>
      <c r="F19" s="2">
        <f t="shared" si="2"/>
        <v>5</v>
      </c>
      <c r="G19" s="7" t="s">
        <v>4</v>
      </c>
      <c r="H19" s="1">
        <v>3</v>
      </c>
      <c r="I19" s="1">
        <v>3</v>
      </c>
      <c r="J19" s="1">
        <v>4</v>
      </c>
      <c r="K19" s="1">
        <v>2</v>
      </c>
      <c r="L19" s="1">
        <v>3</v>
      </c>
      <c r="M19" s="1">
        <v>0</v>
      </c>
      <c r="N19" s="1">
        <v>2</v>
      </c>
      <c r="O19" s="1">
        <v>3</v>
      </c>
      <c r="P19" s="1">
        <v>2</v>
      </c>
      <c r="Q19" s="5">
        <v>0</v>
      </c>
      <c r="R19" s="5">
        <v>0</v>
      </c>
      <c r="S19" s="5">
        <v>2</v>
      </c>
      <c r="T19" s="10">
        <f t="shared" si="0"/>
        <v>24</v>
      </c>
      <c r="U19" s="13" t="s">
        <v>6</v>
      </c>
      <c r="V19" s="4">
        <f t="shared" si="1"/>
        <v>2</v>
      </c>
    </row>
    <row r="20" spans="1:22" x14ac:dyDescent="0.2">
      <c r="A20" s="16">
        <v>19</v>
      </c>
      <c r="B20" s="1">
        <v>2</v>
      </c>
      <c r="C20" s="1">
        <v>0</v>
      </c>
      <c r="D20" s="1">
        <v>0</v>
      </c>
      <c r="E20" s="1">
        <v>2</v>
      </c>
      <c r="F20" s="2">
        <f t="shared" si="2"/>
        <v>4</v>
      </c>
      <c r="G20" s="7" t="s">
        <v>4</v>
      </c>
      <c r="H20" s="1">
        <v>3</v>
      </c>
      <c r="I20" s="1">
        <v>2</v>
      </c>
      <c r="J20" s="1">
        <v>4</v>
      </c>
      <c r="K20" s="1">
        <v>1</v>
      </c>
      <c r="L20" s="1">
        <v>3</v>
      </c>
      <c r="M20" s="1">
        <v>1</v>
      </c>
      <c r="N20" s="1">
        <v>1</v>
      </c>
      <c r="O20" s="1">
        <v>2</v>
      </c>
      <c r="P20" s="1">
        <v>2</v>
      </c>
      <c r="Q20" s="5">
        <v>0</v>
      </c>
      <c r="R20" s="5">
        <v>1</v>
      </c>
      <c r="S20" s="5">
        <v>2</v>
      </c>
      <c r="T20" s="10">
        <f t="shared" si="0"/>
        <v>22</v>
      </c>
      <c r="U20" s="11" t="s">
        <v>4</v>
      </c>
      <c r="V20" s="4">
        <f t="shared" si="1"/>
        <v>3</v>
      </c>
    </row>
    <row r="21" spans="1:22" x14ac:dyDescent="0.2">
      <c r="A21" s="16">
        <v>20</v>
      </c>
      <c r="B21" s="1">
        <v>0</v>
      </c>
      <c r="C21" s="1">
        <v>0</v>
      </c>
      <c r="D21" s="1">
        <v>1</v>
      </c>
      <c r="E21" s="1">
        <v>2</v>
      </c>
      <c r="F21" s="2">
        <f t="shared" si="2"/>
        <v>3</v>
      </c>
      <c r="G21" s="7" t="s">
        <v>4</v>
      </c>
      <c r="H21" s="1">
        <v>2</v>
      </c>
      <c r="I21" s="1">
        <v>1</v>
      </c>
      <c r="J21" s="1">
        <v>4</v>
      </c>
      <c r="K21" s="1">
        <v>1</v>
      </c>
      <c r="L21" s="1">
        <v>2</v>
      </c>
      <c r="M21" s="1">
        <v>1</v>
      </c>
      <c r="N21" s="1">
        <v>1</v>
      </c>
      <c r="O21" s="1">
        <v>2</v>
      </c>
      <c r="P21" s="1">
        <v>4</v>
      </c>
      <c r="Q21" s="5">
        <v>1</v>
      </c>
      <c r="R21" s="5">
        <v>0</v>
      </c>
      <c r="S21" s="5">
        <v>1</v>
      </c>
      <c r="T21" s="10">
        <f t="shared" si="0"/>
        <v>20</v>
      </c>
      <c r="U21" s="11" t="s">
        <v>4</v>
      </c>
      <c r="V21" s="4">
        <f t="shared" si="1"/>
        <v>2</v>
      </c>
    </row>
    <row r="22" spans="1:22" x14ac:dyDescent="0.2">
      <c r="A22" s="16">
        <v>21</v>
      </c>
      <c r="B22" s="1">
        <v>0</v>
      </c>
      <c r="C22" s="1">
        <v>0</v>
      </c>
      <c r="D22" s="1">
        <v>0</v>
      </c>
      <c r="E22" s="1">
        <v>0</v>
      </c>
      <c r="F22" s="2">
        <f t="shared" si="2"/>
        <v>0</v>
      </c>
      <c r="G22" s="6" t="s">
        <v>6</v>
      </c>
      <c r="H22" s="1">
        <v>3</v>
      </c>
      <c r="I22" s="1">
        <v>3</v>
      </c>
      <c r="J22" s="1">
        <v>4</v>
      </c>
      <c r="K22" s="1">
        <v>1</v>
      </c>
      <c r="L22" s="1">
        <v>1</v>
      </c>
      <c r="M22" s="1">
        <v>0</v>
      </c>
      <c r="N22" s="1">
        <v>2</v>
      </c>
      <c r="O22" s="1">
        <v>2</v>
      </c>
      <c r="P22" s="1">
        <v>2</v>
      </c>
      <c r="Q22" s="5">
        <v>0</v>
      </c>
      <c r="R22" s="5">
        <v>1</v>
      </c>
      <c r="S22" s="5">
        <v>1</v>
      </c>
      <c r="T22" s="10">
        <f t="shared" si="0"/>
        <v>20</v>
      </c>
      <c r="U22" s="11" t="s">
        <v>4</v>
      </c>
      <c r="V22" s="4">
        <f t="shared" si="1"/>
        <v>2</v>
      </c>
    </row>
    <row r="23" spans="1:22" x14ac:dyDescent="0.2">
      <c r="A23" s="16">
        <v>22</v>
      </c>
      <c r="B23" s="1">
        <v>2</v>
      </c>
      <c r="C23" s="1">
        <v>2</v>
      </c>
      <c r="D23" s="1">
        <v>1</v>
      </c>
      <c r="E23" s="1">
        <v>2</v>
      </c>
      <c r="F23" s="2">
        <f t="shared" si="2"/>
        <v>7</v>
      </c>
      <c r="G23" s="7" t="s">
        <v>4</v>
      </c>
      <c r="H23" s="1">
        <v>3</v>
      </c>
      <c r="I23" s="1">
        <v>3</v>
      </c>
      <c r="J23" s="1">
        <v>4</v>
      </c>
      <c r="K23" s="1">
        <v>2</v>
      </c>
      <c r="L23" s="1">
        <v>3</v>
      </c>
      <c r="M23" s="1">
        <v>3</v>
      </c>
      <c r="N23" s="1">
        <v>3</v>
      </c>
      <c r="O23" s="1">
        <v>3</v>
      </c>
      <c r="P23" s="1">
        <v>2</v>
      </c>
      <c r="Q23" s="5">
        <v>0</v>
      </c>
      <c r="R23" s="5">
        <v>1</v>
      </c>
      <c r="S23" s="5">
        <v>0</v>
      </c>
      <c r="T23" s="10">
        <f t="shared" si="0"/>
        <v>27</v>
      </c>
      <c r="U23" s="13" t="s">
        <v>6</v>
      </c>
      <c r="V23" s="4">
        <f t="shared" si="1"/>
        <v>1</v>
      </c>
    </row>
    <row r="24" spans="1:22" x14ac:dyDescent="0.2">
      <c r="A24" s="16">
        <v>23</v>
      </c>
      <c r="B24" s="1">
        <v>0</v>
      </c>
      <c r="C24" s="1">
        <v>0</v>
      </c>
      <c r="D24" s="1">
        <v>0</v>
      </c>
      <c r="E24" s="1">
        <v>0</v>
      </c>
      <c r="F24" s="2">
        <f t="shared" si="2"/>
        <v>0</v>
      </c>
      <c r="G24" s="6" t="s">
        <v>6</v>
      </c>
      <c r="H24" s="1">
        <v>3</v>
      </c>
      <c r="I24" s="1">
        <v>3</v>
      </c>
      <c r="J24" s="1">
        <v>4</v>
      </c>
      <c r="K24" s="1">
        <v>1</v>
      </c>
      <c r="L24" s="1">
        <v>1</v>
      </c>
      <c r="M24" s="1">
        <v>0</v>
      </c>
      <c r="N24" s="1">
        <v>1</v>
      </c>
      <c r="O24" s="1">
        <v>1</v>
      </c>
      <c r="P24" s="1">
        <v>4</v>
      </c>
      <c r="Q24" s="5">
        <v>0</v>
      </c>
      <c r="R24" s="5">
        <v>1</v>
      </c>
      <c r="S24" s="5">
        <v>1</v>
      </c>
      <c r="T24" s="10">
        <f t="shared" si="0"/>
        <v>20</v>
      </c>
      <c r="U24" s="11" t="s">
        <v>4</v>
      </c>
      <c r="V24" s="4">
        <f t="shared" si="1"/>
        <v>2</v>
      </c>
    </row>
    <row r="25" spans="1:22" x14ac:dyDescent="0.2">
      <c r="A25" s="16">
        <v>24</v>
      </c>
      <c r="B25" s="1">
        <v>0</v>
      </c>
      <c r="C25" s="1">
        <v>0</v>
      </c>
      <c r="D25" s="1">
        <v>0</v>
      </c>
      <c r="E25" s="1">
        <v>2</v>
      </c>
      <c r="F25" s="2">
        <f t="shared" si="2"/>
        <v>2</v>
      </c>
      <c r="G25" s="7" t="s">
        <v>4</v>
      </c>
      <c r="H25" s="1">
        <v>3</v>
      </c>
      <c r="I25" s="1">
        <v>3</v>
      </c>
      <c r="J25" s="1">
        <v>4</v>
      </c>
      <c r="K25" s="1">
        <v>1</v>
      </c>
      <c r="L25" s="1">
        <v>1</v>
      </c>
      <c r="M25" s="1">
        <v>2</v>
      </c>
      <c r="N25" s="1">
        <v>1</v>
      </c>
      <c r="O25" s="1">
        <v>1</v>
      </c>
      <c r="P25" s="1">
        <v>3</v>
      </c>
      <c r="Q25" s="5">
        <v>0</v>
      </c>
      <c r="R25" s="5">
        <v>1</v>
      </c>
      <c r="S25" s="5">
        <v>2</v>
      </c>
      <c r="T25" s="10">
        <f t="shared" si="0"/>
        <v>22</v>
      </c>
      <c r="U25" s="11" t="s">
        <v>4</v>
      </c>
      <c r="V25" s="4">
        <f t="shared" si="1"/>
        <v>3</v>
      </c>
    </row>
    <row r="26" spans="1:22" x14ac:dyDescent="0.2">
      <c r="A26" s="16">
        <v>25</v>
      </c>
      <c r="B26" s="1">
        <v>2</v>
      </c>
      <c r="C26" s="1">
        <v>2</v>
      </c>
      <c r="D26" s="1">
        <v>0</v>
      </c>
      <c r="E26" s="1">
        <v>2</v>
      </c>
      <c r="F26" s="2">
        <f t="shared" si="2"/>
        <v>6</v>
      </c>
      <c r="G26" s="7" t="s">
        <v>4</v>
      </c>
      <c r="H26" s="1">
        <v>2</v>
      </c>
      <c r="I26" s="1">
        <v>3</v>
      </c>
      <c r="J26" s="1">
        <v>4</v>
      </c>
      <c r="K26" s="1">
        <v>1</v>
      </c>
      <c r="L26" s="1">
        <v>2</v>
      </c>
      <c r="M26" s="1">
        <v>1</v>
      </c>
      <c r="N26" s="1">
        <v>1</v>
      </c>
      <c r="O26" s="1">
        <v>1</v>
      </c>
      <c r="P26" s="1">
        <v>2</v>
      </c>
      <c r="Q26" s="5">
        <v>2</v>
      </c>
      <c r="R26" s="5">
        <v>1</v>
      </c>
      <c r="S26" s="5">
        <v>0</v>
      </c>
      <c r="T26" s="10">
        <f t="shared" si="0"/>
        <v>20</v>
      </c>
      <c r="U26" s="11" t="s">
        <v>4</v>
      </c>
      <c r="V26" s="4">
        <f t="shared" si="1"/>
        <v>3</v>
      </c>
    </row>
    <row r="27" spans="1:22" x14ac:dyDescent="0.2">
      <c r="A27" s="16">
        <v>26</v>
      </c>
      <c r="B27" s="1">
        <v>2</v>
      </c>
      <c r="C27" s="1">
        <v>0</v>
      </c>
      <c r="D27" s="1">
        <v>0</v>
      </c>
      <c r="E27" s="1">
        <v>0</v>
      </c>
      <c r="F27" s="2">
        <f t="shared" si="2"/>
        <v>2</v>
      </c>
      <c r="G27" s="7" t="s">
        <v>4</v>
      </c>
      <c r="H27" s="1">
        <v>3</v>
      </c>
      <c r="I27" s="1">
        <v>1</v>
      </c>
      <c r="J27" s="1">
        <v>4</v>
      </c>
      <c r="K27" s="1">
        <v>1</v>
      </c>
      <c r="L27" s="1">
        <v>2</v>
      </c>
      <c r="M27" s="1">
        <v>0</v>
      </c>
      <c r="N27" s="1">
        <v>1</v>
      </c>
      <c r="O27" s="1">
        <v>2</v>
      </c>
      <c r="P27" s="1">
        <v>3</v>
      </c>
      <c r="Q27" s="5">
        <v>0</v>
      </c>
      <c r="R27" s="5">
        <v>1</v>
      </c>
      <c r="S27" s="5">
        <v>1</v>
      </c>
      <c r="T27" s="10">
        <f t="shared" si="0"/>
        <v>19</v>
      </c>
      <c r="U27" s="11" t="s">
        <v>4</v>
      </c>
      <c r="V27" s="4">
        <f t="shared" si="1"/>
        <v>2</v>
      </c>
    </row>
    <row r="28" spans="1:22" x14ac:dyDescent="0.2">
      <c r="A28" s="16">
        <v>27</v>
      </c>
      <c r="B28" s="1">
        <v>2</v>
      </c>
      <c r="C28" s="1">
        <v>2</v>
      </c>
      <c r="D28" s="1">
        <v>0</v>
      </c>
      <c r="E28" s="1">
        <v>2</v>
      </c>
      <c r="F28" s="2">
        <f t="shared" si="2"/>
        <v>6</v>
      </c>
      <c r="G28" s="7" t="s">
        <v>4</v>
      </c>
      <c r="H28" s="1">
        <v>2</v>
      </c>
      <c r="I28" s="1">
        <v>3</v>
      </c>
      <c r="J28" s="1">
        <v>4</v>
      </c>
      <c r="K28" s="1">
        <v>2</v>
      </c>
      <c r="L28" s="1">
        <v>1</v>
      </c>
      <c r="M28" s="1">
        <v>0</v>
      </c>
      <c r="N28" s="1">
        <v>1</v>
      </c>
      <c r="O28" s="1">
        <v>2</v>
      </c>
      <c r="P28" s="1">
        <v>2</v>
      </c>
      <c r="Q28" s="5">
        <v>1</v>
      </c>
      <c r="R28" s="5">
        <v>1</v>
      </c>
      <c r="S28" s="5">
        <v>1</v>
      </c>
      <c r="T28" s="10">
        <f t="shared" si="0"/>
        <v>20</v>
      </c>
      <c r="U28" s="11" t="s">
        <v>4</v>
      </c>
      <c r="V28" s="4">
        <f t="shared" si="1"/>
        <v>3</v>
      </c>
    </row>
    <row r="29" spans="1:22" x14ac:dyDescent="0.2">
      <c r="A29" s="16">
        <v>28</v>
      </c>
      <c r="B29" s="1">
        <v>2</v>
      </c>
      <c r="C29" s="1">
        <v>0</v>
      </c>
      <c r="D29" s="1">
        <v>0</v>
      </c>
      <c r="E29" s="1">
        <v>2</v>
      </c>
      <c r="F29" s="2">
        <f t="shared" si="2"/>
        <v>4</v>
      </c>
      <c r="G29" s="7" t="s">
        <v>4</v>
      </c>
      <c r="H29" s="1">
        <v>2</v>
      </c>
      <c r="I29" s="1">
        <v>3</v>
      </c>
      <c r="J29" s="1">
        <v>4</v>
      </c>
      <c r="K29" s="1">
        <v>1</v>
      </c>
      <c r="L29" s="1">
        <v>1</v>
      </c>
      <c r="M29" s="1">
        <v>1</v>
      </c>
      <c r="N29" s="1">
        <v>1</v>
      </c>
      <c r="O29" s="1">
        <v>2</v>
      </c>
      <c r="P29" s="1">
        <v>4</v>
      </c>
      <c r="Q29" s="5">
        <v>0</v>
      </c>
      <c r="R29" s="5">
        <v>1</v>
      </c>
      <c r="S29" s="5">
        <v>2</v>
      </c>
      <c r="T29" s="10">
        <f t="shared" si="0"/>
        <v>22</v>
      </c>
      <c r="U29" s="11" t="s">
        <v>4</v>
      </c>
      <c r="V29" s="4">
        <f t="shared" si="1"/>
        <v>3</v>
      </c>
    </row>
    <row r="30" spans="1:22" x14ac:dyDescent="0.2">
      <c r="A30" s="16">
        <v>29</v>
      </c>
      <c r="B30" s="1">
        <v>2</v>
      </c>
      <c r="C30" s="1">
        <v>2</v>
      </c>
      <c r="D30" s="1">
        <v>0</v>
      </c>
      <c r="E30" s="1">
        <v>2</v>
      </c>
      <c r="F30" s="2">
        <f t="shared" si="2"/>
        <v>6</v>
      </c>
      <c r="G30" s="7" t="s">
        <v>4</v>
      </c>
      <c r="H30" s="1">
        <v>3</v>
      </c>
      <c r="I30" s="1">
        <v>1</v>
      </c>
      <c r="J30" s="1">
        <v>4</v>
      </c>
      <c r="K30" s="1">
        <v>1</v>
      </c>
      <c r="L30" s="1">
        <v>1</v>
      </c>
      <c r="M30" s="1">
        <v>0</v>
      </c>
      <c r="N30" s="1">
        <v>1</v>
      </c>
      <c r="O30" s="1">
        <v>2</v>
      </c>
      <c r="P30" s="1">
        <v>3</v>
      </c>
      <c r="Q30" s="5">
        <v>2</v>
      </c>
      <c r="R30" s="5">
        <v>2</v>
      </c>
      <c r="S30" s="5">
        <v>1</v>
      </c>
      <c r="T30" s="10">
        <f t="shared" si="0"/>
        <v>21</v>
      </c>
      <c r="U30" s="11" t="s">
        <v>4</v>
      </c>
      <c r="V30" s="4">
        <f t="shared" si="1"/>
        <v>5</v>
      </c>
    </row>
    <row r="31" spans="1:22" x14ac:dyDescent="0.2">
      <c r="A31" s="16">
        <v>30</v>
      </c>
      <c r="B31" s="1">
        <v>0</v>
      </c>
      <c r="C31" s="1">
        <v>0</v>
      </c>
      <c r="D31" s="1">
        <v>0</v>
      </c>
      <c r="E31" s="1">
        <v>0</v>
      </c>
      <c r="F31" s="2">
        <f t="shared" si="2"/>
        <v>0</v>
      </c>
      <c r="G31" s="6" t="s">
        <v>6</v>
      </c>
      <c r="H31" s="1">
        <v>3</v>
      </c>
      <c r="I31" s="1">
        <v>3</v>
      </c>
      <c r="J31" s="1">
        <v>4</v>
      </c>
      <c r="K31" s="1">
        <v>2</v>
      </c>
      <c r="L31" s="1">
        <v>1</v>
      </c>
      <c r="M31" s="1">
        <v>1</v>
      </c>
      <c r="N31" s="1">
        <v>1</v>
      </c>
      <c r="O31" s="1">
        <v>1</v>
      </c>
      <c r="P31" s="1">
        <v>4</v>
      </c>
      <c r="Q31" s="5">
        <v>0</v>
      </c>
      <c r="R31" s="5">
        <v>1</v>
      </c>
      <c r="S31" s="5">
        <v>1</v>
      </c>
      <c r="T31" s="10">
        <f t="shared" si="0"/>
        <v>22</v>
      </c>
      <c r="U31" s="11" t="s">
        <v>4</v>
      </c>
      <c r="V31" s="4">
        <f t="shared" si="1"/>
        <v>2</v>
      </c>
    </row>
    <row r="33" spans="21:21" x14ac:dyDescent="0.2">
      <c r="U33" s="8"/>
    </row>
    <row r="34" spans="21:21" x14ac:dyDescent="0.2">
      <c r="U34" s="8"/>
    </row>
    <row r="35" spans="21:21" x14ac:dyDescent="0.2">
      <c r="U35" s="9"/>
    </row>
    <row r="36" spans="21:21" x14ac:dyDescent="0.2">
      <c r="U36" s="9"/>
    </row>
  </sheetData>
  <pageMargins left="0.7" right="0.7" top="0.75" bottom="0.75" header="0.3" footer="0.3"/>
  <pageSetup paperSize="9" scale="25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C814-DA1D-47B9-91CD-21A7B43316E5}">
  <sheetPr>
    <tabColor theme="7" tint="0.79998168889431442"/>
  </sheetPr>
  <dimension ref="A2:D44"/>
  <sheetViews>
    <sheetView workbookViewId="0">
      <selection activeCell="G30" sqref="G30"/>
    </sheetView>
  </sheetViews>
  <sheetFormatPr baseColWidth="10" defaultColWidth="8.6640625" defaultRowHeight="16" x14ac:dyDescent="0.2"/>
  <cols>
    <col min="1" max="1" width="13.6640625" customWidth="1"/>
    <col min="2" max="2" width="27.5" customWidth="1"/>
    <col min="3" max="3" width="27.33203125" customWidth="1"/>
    <col min="4" max="4" width="16" customWidth="1"/>
  </cols>
  <sheetData>
    <row r="2" spans="1:4" x14ac:dyDescent="0.2">
      <c r="A2" s="3" t="s">
        <v>28</v>
      </c>
      <c r="B2" s="3" t="s">
        <v>29</v>
      </c>
      <c r="C2" s="3" t="s">
        <v>27</v>
      </c>
      <c r="D2" s="3" t="s">
        <v>92</v>
      </c>
    </row>
    <row r="3" spans="1:4" x14ac:dyDescent="0.2">
      <c r="A3" s="1" t="s">
        <v>25</v>
      </c>
      <c r="B3" s="1" t="s">
        <v>26</v>
      </c>
      <c r="C3" s="1" t="s">
        <v>30</v>
      </c>
      <c r="D3" s="1" t="s">
        <v>93</v>
      </c>
    </row>
    <row r="4" spans="1:4" x14ac:dyDescent="0.2">
      <c r="A4" s="59" t="s">
        <v>203</v>
      </c>
      <c r="B4" s="59" t="s">
        <v>204</v>
      </c>
      <c r="C4" s="1" t="s">
        <v>205</v>
      </c>
      <c r="D4" s="59" t="s">
        <v>95</v>
      </c>
    </row>
    <row r="5" spans="1:4" x14ac:dyDescent="0.2">
      <c r="A5" s="61"/>
      <c r="B5" s="61"/>
      <c r="C5" s="1" t="s">
        <v>206</v>
      </c>
      <c r="D5" s="61"/>
    </row>
    <row r="6" spans="1:4" x14ac:dyDescent="0.2">
      <c r="A6" s="61"/>
      <c r="B6" s="61"/>
      <c r="C6" s="1" t="s">
        <v>207</v>
      </c>
      <c r="D6" s="61"/>
    </row>
    <row r="7" spans="1:4" x14ac:dyDescent="0.2">
      <c r="A7" s="61"/>
      <c r="B7" s="61"/>
      <c r="C7" s="1" t="s">
        <v>208</v>
      </c>
      <c r="D7" s="61"/>
    </row>
    <row r="8" spans="1:4" x14ac:dyDescent="0.2">
      <c r="A8" s="60"/>
      <c r="B8" s="60"/>
      <c r="C8" s="1" t="s">
        <v>209</v>
      </c>
      <c r="D8" s="60"/>
    </row>
    <row r="9" spans="1:4" x14ac:dyDescent="0.2">
      <c r="A9" s="58" t="s">
        <v>210</v>
      </c>
      <c r="B9" s="59" t="s">
        <v>211</v>
      </c>
      <c r="C9" s="1" t="s">
        <v>205</v>
      </c>
      <c r="D9" s="59" t="s">
        <v>95</v>
      </c>
    </row>
    <row r="10" spans="1:4" x14ac:dyDescent="0.2">
      <c r="A10" s="58"/>
      <c r="B10" s="61"/>
      <c r="C10" s="1" t="s">
        <v>206</v>
      </c>
      <c r="D10" s="61"/>
    </row>
    <row r="11" spans="1:4" x14ac:dyDescent="0.2">
      <c r="A11" s="58"/>
      <c r="B11" s="61"/>
      <c r="C11" s="1" t="s">
        <v>207</v>
      </c>
      <c r="D11" s="61"/>
    </row>
    <row r="12" spans="1:4" x14ac:dyDescent="0.2">
      <c r="A12" s="58"/>
      <c r="B12" s="61"/>
      <c r="C12" s="1" t="s">
        <v>208</v>
      </c>
      <c r="D12" s="61"/>
    </row>
    <row r="13" spans="1:4" x14ac:dyDescent="0.2">
      <c r="A13" s="58"/>
      <c r="B13" s="60"/>
      <c r="C13" s="1" t="s">
        <v>209</v>
      </c>
      <c r="D13" s="60"/>
    </row>
    <row r="14" spans="1:4" x14ac:dyDescent="0.2">
      <c r="A14" s="59" t="s">
        <v>212</v>
      </c>
      <c r="B14" s="59" t="s">
        <v>213</v>
      </c>
      <c r="C14" s="1" t="s">
        <v>205</v>
      </c>
      <c r="D14" s="59" t="s">
        <v>95</v>
      </c>
    </row>
    <row r="15" spans="1:4" x14ac:dyDescent="0.2">
      <c r="A15" s="61"/>
      <c r="B15" s="61"/>
      <c r="C15" s="1" t="s">
        <v>206</v>
      </c>
      <c r="D15" s="61"/>
    </row>
    <row r="16" spans="1:4" x14ac:dyDescent="0.2">
      <c r="A16" s="61"/>
      <c r="B16" s="61"/>
      <c r="C16" s="1" t="s">
        <v>207</v>
      </c>
      <c r="D16" s="61"/>
    </row>
    <row r="17" spans="1:4" x14ac:dyDescent="0.2">
      <c r="A17" s="61"/>
      <c r="B17" s="61"/>
      <c r="C17" s="1" t="s">
        <v>208</v>
      </c>
      <c r="D17" s="61"/>
    </row>
    <row r="18" spans="1:4" x14ac:dyDescent="0.2">
      <c r="A18" s="60"/>
      <c r="B18" s="60"/>
      <c r="C18" s="1" t="s">
        <v>209</v>
      </c>
      <c r="D18" s="60"/>
    </row>
    <row r="19" spans="1:4" x14ac:dyDescent="0.2">
      <c r="A19" s="59" t="s">
        <v>214</v>
      </c>
      <c r="B19" s="59" t="s">
        <v>215</v>
      </c>
      <c r="C19" s="1" t="s">
        <v>205</v>
      </c>
      <c r="D19" s="59" t="s">
        <v>95</v>
      </c>
    </row>
    <row r="20" spans="1:4" x14ac:dyDescent="0.2">
      <c r="A20" s="61"/>
      <c r="B20" s="61"/>
      <c r="C20" s="1" t="s">
        <v>206</v>
      </c>
      <c r="D20" s="61"/>
    </row>
    <row r="21" spans="1:4" x14ac:dyDescent="0.2">
      <c r="A21" s="61"/>
      <c r="B21" s="61"/>
      <c r="C21" s="1" t="s">
        <v>207</v>
      </c>
      <c r="D21" s="61"/>
    </row>
    <row r="22" spans="1:4" x14ac:dyDescent="0.2">
      <c r="A22" s="61"/>
      <c r="B22" s="61"/>
      <c r="C22" s="1" t="s">
        <v>208</v>
      </c>
      <c r="D22" s="61"/>
    </row>
    <row r="23" spans="1:4" x14ac:dyDescent="0.2">
      <c r="A23" s="60"/>
      <c r="B23" s="60"/>
      <c r="C23" s="1" t="s">
        <v>209</v>
      </c>
      <c r="D23" s="60"/>
    </row>
    <row r="24" spans="1:4" x14ac:dyDescent="0.2">
      <c r="A24" s="59" t="s">
        <v>216</v>
      </c>
      <c r="B24" s="59" t="s">
        <v>217</v>
      </c>
      <c r="C24" s="1" t="s">
        <v>205</v>
      </c>
      <c r="D24" s="59" t="s">
        <v>95</v>
      </c>
    </row>
    <row r="25" spans="1:4" x14ac:dyDescent="0.2">
      <c r="A25" s="61"/>
      <c r="B25" s="61"/>
      <c r="C25" s="1" t="s">
        <v>206</v>
      </c>
      <c r="D25" s="61"/>
    </row>
    <row r="26" spans="1:4" x14ac:dyDescent="0.2">
      <c r="A26" s="61"/>
      <c r="B26" s="61"/>
      <c r="C26" s="1" t="s">
        <v>207</v>
      </c>
      <c r="D26" s="61"/>
    </row>
    <row r="27" spans="1:4" x14ac:dyDescent="0.2">
      <c r="A27" s="61"/>
      <c r="B27" s="61"/>
      <c r="C27" s="1" t="s">
        <v>208</v>
      </c>
      <c r="D27" s="61"/>
    </row>
    <row r="28" spans="1:4" x14ac:dyDescent="0.2">
      <c r="A28" s="60"/>
      <c r="B28" s="60"/>
      <c r="C28" s="1" t="s">
        <v>209</v>
      </c>
      <c r="D28" s="60"/>
    </row>
    <row r="29" spans="1:4" x14ac:dyDescent="0.2">
      <c r="A29" s="59" t="s">
        <v>218</v>
      </c>
      <c r="B29" s="59" t="s">
        <v>219</v>
      </c>
      <c r="C29" s="1" t="s">
        <v>205</v>
      </c>
      <c r="D29" s="59" t="s">
        <v>95</v>
      </c>
    </row>
    <row r="30" spans="1:4" x14ac:dyDescent="0.2">
      <c r="A30" s="61"/>
      <c r="B30" s="61"/>
      <c r="C30" s="1" t="s">
        <v>206</v>
      </c>
      <c r="D30" s="61"/>
    </row>
    <row r="31" spans="1:4" x14ac:dyDescent="0.2">
      <c r="A31" s="61"/>
      <c r="B31" s="61"/>
      <c r="C31" s="1" t="s">
        <v>207</v>
      </c>
      <c r="D31" s="61"/>
    </row>
    <row r="32" spans="1:4" x14ac:dyDescent="0.2">
      <c r="A32" s="61"/>
      <c r="B32" s="61"/>
      <c r="C32" s="1" t="s">
        <v>208</v>
      </c>
      <c r="D32" s="61"/>
    </row>
    <row r="33" spans="1:4" x14ac:dyDescent="0.2">
      <c r="A33" s="60"/>
      <c r="B33" s="60"/>
      <c r="C33" s="1" t="s">
        <v>209</v>
      </c>
      <c r="D33" s="60"/>
    </row>
    <row r="34" spans="1:4" x14ac:dyDescent="0.2">
      <c r="A34" s="59" t="s">
        <v>220</v>
      </c>
      <c r="B34" s="59" t="s">
        <v>221</v>
      </c>
      <c r="C34" s="1" t="s">
        <v>205</v>
      </c>
      <c r="D34" s="59" t="s">
        <v>95</v>
      </c>
    </row>
    <row r="35" spans="1:4" x14ac:dyDescent="0.2">
      <c r="A35" s="61"/>
      <c r="B35" s="61"/>
      <c r="C35" s="1" t="s">
        <v>206</v>
      </c>
      <c r="D35" s="61"/>
    </row>
    <row r="36" spans="1:4" x14ac:dyDescent="0.2">
      <c r="A36" s="61"/>
      <c r="B36" s="61"/>
      <c r="C36" s="1" t="s">
        <v>207</v>
      </c>
      <c r="D36" s="61"/>
    </row>
    <row r="37" spans="1:4" x14ac:dyDescent="0.2">
      <c r="A37" s="61"/>
      <c r="B37" s="61"/>
      <c r="C37" s="1" t="s">
        <v>208</v>
      </c>
      <c r="D37" s="61"/>
    </row>
    <row r="38" spans="1:4" x14ac:dyDescent="0.2">
      <c r="A38" s="60"/>
      <c r="B38" s="60"/>
      <c r="C38" s="1" t="s">
        <v>209</v>
      </c>
      <c r="D38" s="60"/>
    </row>
    <row r="39" spans="1:4" x14ac:dyDescent="0.2">
      <c r="A39" s="1" t="s">
        <v>222</v>
      </c>
      <c r="B39" s="1" t="s">
        <v>223</v>
      </c>
      <c r="C39" s="1" t="s">
        <v>224</v>
      </c>
      <c r="D39" s="1" t="s">
        <v>93</v>
      </c>
    </row>
    <row r="40" spans="1:4" x14ac:dyDescent="0.2">
      <c r="A40" s="1" t="s">
        <v>225</v>
      </c>
      <c r="B40" s="1" t="s">
        <v>226</v>
      </c>
      <c r="C40" s="1" t="s">
        <v>227</v>
      </c>
      <c r="D40" s="1" t="s">
        <v>94</v>
      </c>
    </row>
    <row r="41" spans="1:4" x14ac:dyDescent="0.2">
      <c r="A41" s="1" t="s">
        <v>228</v>
      </c>
      <c r="B41" s="1" t="s">
        <v>229</v>
      </c>
      <c r="C41" s="1" t="s">
        <v>230</v>
      </c>
      <c r="D41" s="1" t="s">
        <v>94</v>
      </c>
    </row>
    <row r="42" spans="1:4" x14ac:dyDescent="0.2">
      <c r="A42" s="59" t="s">
        <v>231</v>
      </c>
      <c r="B42" s="59" t="s">
        <v>232</v>
      </c>
      <c r="C42" s="1" t="s">
        <v>233</v>
      </c>
      <c r="D42" s="59" t="s">
        <v>95</v>
      </c>
    </row>
    <row r="43" spans="1:4" x14ac:dyDescent="0.2">
      <c r="A43" s="61"/>
      <c r="B43" s="61"/>
      <c r="C43" s="1" t="s">
        <v>234</v>
      </c>
      <c r="D43" s="61"/>
    </row>
    <row r="44" spans="1:4" x14ac:dyDescent="0.2">
      <c r="A44" s="60"/>
      <c r="B44" s="60"/>
      <c r="C44" s="1" t="s">
        <v>235</v>
      </c>
      <c r="D44" s="60"/>
    </row>
  </sheetData>
  <mergeCells count="24">
    <mergeCell ref="A42:A44"/>
    <mergeCell ref="B42:B44"/>
    <mergeCell ref="D42:D44"/>
    <mergeCell ref="A4:A8"/>
    <mergeCell ref="B4:B8"/>
    <mergeCell ref="D4:D8"/>
    <mergeCell ref="A9:A13"/>
    <mergeCell ref="B9:B13"/>
    <mergeCell ref="D9:D13"/>
    <mergeCell ref="A14:A18"/>
    <mergeCell ref="B14:B18"/>
    <mergeCell ref="D14:D18"/>
    <mergeCell ref="A19:A23"/>
    <mergeCell ref="B19:B23"/>
    <mergeCell ref="D19:D23"/>
    <mergeCell ref="A34:A38"/>
    <mergeCell ref="B34:B38"/>
    <mergeCell ref="D34:D38"/>
    <mergeCell ref="A24:A28"/>
    <mergeCell ref="B24:B28"/>
    <mergeCell ref="D24:D28"/>
    <mergeCell ref="A29:A33"/>
    <mergeCell ref="B29:B33"/>
    <mergeCell ref="D29:D33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7E85-50B1-4CCF-83D0-3CF29ED41091}">
  <sheetPr>
    <tabColor theme="7" tint="0.79998168889431442"/>
  </sheetPr>
  <dimension ref="A1:L6"/>
  <sheetViews>
    <sheetView workbookViewId="0">
      <selection activeCell="K14" sqref="K14"/>
    </sheetView>
  </sheetViews>
  <sheetFormatPr baseColWidth="10" defaultColWidth="8.6640625" defaultRowHeight="16" x14ac:dyDescent="0.2"/>
  <cols>
    <col min="2" max="2" width="18.33203125" customWidth="1"/>
    <col min="3" max="3" width="16.33203125" customWidth="1"/>
    <col min="4" max="4" width="16.5" customWidth="1"/>
    <col min="5" max="5" width="17.83203125" customWidth="1"/>
    <col min="6" max="6" width="15.33203125" customWidth="1"/>
    <col min="7" max="7" width="14.6640625" customWidth="1"/>
    <col min="8" max="8" width="12.33203125" customWidth="1"/>
    <col min="9" max="9" width="31.5" customWidth="1"/>
    <col min="10" max="10" width="11.83203125" customWidth="1"/>
    <col min="11" max="11" width="11.33203125" customWidth="1"/>
    <col min="12" max="12" width="12.33203125" customWidth="1"/>
  </cols>
  <sheetData>
    <row r="1" spans="1:12" x14ac:dyDescent="0.2">
      <c r="A1" s="34" t="s">
        <v>25</v>
      </c>
      <c r="B1" s="32" t="s">
        <v>203</v>
      </c>
      <c r="C1" s="32" t="s">
        <v>210</v>
      </c>
      <c r="D1" s="32" t="s">
        <v>212</v>
      </c>
      <c r="E1" s="32" t="s">
        <v>214</v>
      </c>
      <c r="F1" s="32" t="s">
        <v>216</v>
      </c>
      <c r="G1" s="35" t="s">
        <v>218</v>
      </c>
      <c r="H1" s="32" t="s">
        <v>220</v>
      </c>
      <c r="I1" s="32" t="s">
        <v>222</v>
      </c>
      <c r="J1" s="32" t="s">
        <v>225</v>
      </c>
      <c r="K1" s="32" t="s">
        <v>228</v>
      </c>
      <c r="L1" s="32" t="s">
        <v>231</v>
      </c>
    </row>
    <row r="2" spans="1:12" x14ac:dyDescent="0.2">
      <c r="A2" s="47">
        <v>1</v>
      </c>
      <c r="B2" s="47">
        <v>4</v>
      </c>
      <c r="C2" s="47">
        <v>4</v>
      </c>
      <c r="D2" s="47">
        <v>4</v>
      </c>
      <c r="E2" s="47">
        <v>5</v>
      </c>
      <c r="F2" s="47">
        <v>5</v>
      </c>
      <c r="G2" s="47">
        <v>5</v>
      </c>
      <c r="H2" s="47">
        <v>5</v>
      </c>
      <c r="I2" s="47" t="s">
        <v>388</v>
      </c>
      <c r="J2" s="47">
        <f>SUM(B2:H2)</f>
        <v>32</v>
      </c>
      <c r="K2" s="47">
        <f>AVERAGE(J2/7)</f>
        <v>4.5714285714285712</v>
      </c>
      <c r="L2" s="47">
        <v>3</v>
      </c>
    </row>
    <row r="3" spans="1:12" x14ac:dyDescent="0.2">
      <c r="A3" s="47">
        <v>2</v>
      </c>
      <c r="B3" s="47">
        <v>4</v>
      </c>
      <c r="C3" s="47">
        <v>5</v>
      </c>
      <c r="D3" s="47">
        <v>4</v>
      </c>
      <c r="E3" s="47">
        <v>4</v>
      </c>
      <c r="F3" s="47">
        <v>4</v>
      </c>
      <c r="G3" s="47">
        <v>4</v>
      </c>
      <c r="H3" s="47">
        <v>4</v>
      </c>
      <c r="I3" s="47" t="s">
        <v>389</v>
      </c>
      <c r="J3" s="47">
        <f t="shared" ref="J3:J6" si="0">SUM(B3:H3)</f>
        <v>29</v>
      </c>
      <c r="K3" s="47">
        <f t="shared" ref="K3:K6" si="1">AVERAGE(J3/7)</f>
        <v>4.1428571428571432</v>
      </c>
      <c r="L3" s="47">
        <v>3</v>
      </c>
    </row>
    <row r="4" spans="1:12" x14ac:dyDescent="0.2">
      <c r="A4" s="47">
        <v>3</v>
      </c>
      <c r="B4" s="47">
        <v>5</v>
      </c>
      <c r="C4" s="47">
        <v>5</v>
      </c>
      <c r="D4" s="47">
        <v>5</v>
      </c>
      <c r="E4" s="47">
        <v>5</v>
      </c>
      <c r="F4" s="47">
        <v>5</v>
      </c>
      <c r="G4" s="47">
        <v>5</v>
      </c>
      <c r="H4" s="47">
        <v>5</v>
      </c>
      <c r="I4" s="47" t="s">
        <v>390</v>
      </c>
      <c r="J4" s="47">
        <f t="shared" si="0"/>
        <v>35</v>
      </c>
      <c r="K4" s="47">
        <f t="shared" si="1"/>
        <v>5</v>
      </c>
      <c r="L4" s="47">
        <v>3</v>
      </c>
    </row>
    <row r="5" spans="1:12" x14ac:dyDescent="0.2">
      <c r="A5" s="47">
        <v>4</v>
      </c>
      <c r="B5" s="47">
        <v>3</v>
      </c>
      <c r="C5" s="47">
        <v>3</v>
      </c>
      <c r="D5" s="47">
        <v>3</v>
      </c>
      <c r="E5" s="47">
        <v>3</v>
      </c>
      <c r="F5" s="47">
        <v>4</v>
      </c>
      <c r="G5" s="47">
        <v>4</v>
      </c>
      <c r="H5" s="47">
        <v>3</v>
      </c>
      <c r="I5" s="47" t="s">
        <v>391</v>
      </c>
      <c r="J5" s="47">
        <f t="shared" si="0"/>
        <v>23</v>
      </c>
      <c r="K5" s="47">
        <f t="shared" si="1"/>
        <v>3.2857142857142856</v>
      </c>
      <c r="L5" s="47">
        <v>2</v>
      </c>
    </row>
    <row r="6" spans="1:12" x14ac:dyDescent="0.2">
      <c r="A6" s="47">
        <v>5</v>
      </c>
      <c r="B6" s="47">
        <v>4</v>
      </c>
      <c r="C6" s="47">
        <v>4</v>
      </c>
      <c r="D6" s="47">
        <v>5</v>
      </c>
      <c r="E6" s="47">
        <v>4</v>
      </c>
      <c r="F6" s="47">
        <v>4</v>
      </c>
      <c r="G6" s="47">
        <v>4</v>
      </c>
      <c r="H6" s="47">
        <v>4</v>
      </c>
      <c r="I6" s="47" t="s">
        <v>392</v>
      </c>
      <c r="J6" s="47">
        <f t="shared" si="0"/>
        <v>29</v>
      </c>
      <c r="K6" s="47">
        <f t="shared" si="1"/>
        <v>4.1428571428571432</v>
      </c>
      <c r="L6" s="47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8AF3-D37F-43EA-9DCF-35050C81AF43}">
  <sheetPr>
    <tabColor theme="5" tint="0.79998168889431442"/>
  </sheetPr>
  <dimension ref="A2:D35"/>
  <sheetViews>
    <sheetView topLeftCell="A9" workbookViewId="0">
      <selection activeCell="A2" sqref="A2:D3"/>
    </sheetView>
  </sheetViews>
  <sheetFormatPr baseColWidth="10" defaultColWidth="8.6640625" defaultRowHeight="16" x14ac:dyDescent="0.2"/>
  <cols>
    <col min="1" max="1" width="16.1640625" customWidth="1"/>
    <col min="2" max="2" width="30.6640625" customWidth="1"/>
    <col min="3" max="3" width="17.83203125" customWidth="1"/>
    <col min="4" max="4" width="12.1640625" customWidth="1"/>
  </cols>
  <sheetData>
    <row r="2" spans="1:4" x14ac:dyDescent="0.2">
      <c r="A2" s="32" t="s">
        <v>28</v>
      </c>
      <c r="B2" s="32" t="s">
        <v>29</v>
      </c>
      <c r="C2" s="32" t="s">
        <v>27</v>
      </c>
      <c r="D2" s="32" t="s">
        <v>92</v>
      </c>
    </row>
    <row r="3" spans="1:4" x14ac:dyDescent="0.2">
      <c r="A3" s="1" t="s">
        <v>25</v>
      </c>
      <c r="B3" s="1" t="s">
        <v>26</v>
      </c>
      <c r="C3" s="1" t="s">
        <v>30</v>
      </c>
      <c r="D3" s="1" t="s">
        <v>93</v>
      </c>
    </row>
    <row r="4" spans="1:4" x14ac:dyDescent="0.2">
      <c r="A4" s="1" t="s">
        <v>236</v>
      </c>
      <c r="B4" s="1" t="s">
        <v>34</v>
      </c>
      <c r="C4" s="1" t="s">
        <v>35</v>
      </c>
      <c r="D4" s="1" t="s">
        <v>94</v>
      </c>
    </row>
    <row r="5" spans="1:4" x14ac:dyDescent="0.2">
      <c r="A5" s="59" t="s">
        <v>36</v>
      </c>
      <c r="B5" s="59" t="s">
        <v>37</v>
      </c>
      <c r="C5" s="1" t="s">
        <v>38</v>
      </c>
      <c r="D5" s="59" t="s">
        <v>93</v>
      </c>
    </row>
    <row r="6" spans="1:4" x14ac:dyDescent="0.2">
      <c r="A6" s="60"/>
      <c r="B6" s="60"/>
      <c r="C6" s="1" t="s">
        <v>41</v>
      </c>
      <c r="D6" s="60"/>
    </row>
    <row r="7" spans="1:4" x14ac:dyDescent="0.2">
      <c r="A7" s="1" t="s">
        <v>238</v>
      </c>
      <c r="B7" s="1" t="s">
        <v>239</v>
      </c>
      <c r="C7" s="1" t="s">
        <v>240</v>
      </c>
      <c r="D7" s="1" t="s">
        <v>94</v>
      </c>
    </row>
    <row r="8" spans="1:4" x14ac:dyDescent="0.2">
      <c r="A8" s="58" t="s">
        <v>241</v>
      </c>
      <c r="B8" s="59" t="s">
        <v>242</v>
      </c>
      <c r="C8" s="1" t="s">
        <v>243</v>
      </c>
      <c r="D8" s="59" t="s">
        <v>93</v>
      </c>
    </row>
    <row r="9" spans="1:4" x14ac:dyDescent="0.2">
      <c r="A9" s="58"/>
      <c r="B9" s="60"/>
      <c r="C9" s="1" t="s">
        <v>244</v>
      </c>
      <c r="D9" s="60"/>
    </row>
    <row r="10" spans="1:4" x14ac:dyDescent="0.2">
      <c r="A10" s="1" t="s">
        <v>245</v>
      </c>
      <c r="B10" s="1" t="s">
        <v>246</v>
      </c>
      <c r="C10" s="1" t="s">
        <v>247</v>
      </c>
      <c r="D10" s="1" t="s">
        <v>94</v>
      </c>
    </row>
    <row r="11" spans="1:4" x14ac:dyDescent="0.2">
      <c r="A11" s="1" t="s">
        <v>248</v>
      </c>
      <c r="B11" s="1" t="s">
        <v>249</v>
      </c>
      <c r="C11" s="1" t="s">
        <v>247</v>
      </c>
      <c r="D11" s="1" t="s">
        <v>94</v>
      </c>
    </row>
    <row r="12" spans="1:4" x14ac:dyDescent="0.2">
      <c r="A12" s="1" t="s">
        <v>250</v>
      </c>
      <c r="B12" s="1" t="s">
        <v>251</v>
      </c>
      <c r="C12" s="1" t="s">
        <v>247</v>
      </c>
      <c r="D12" s="1" t="s">
        <v>94</v>
      </c>
    </row>
    <row r="13" spans="1:4" x14ac:dyDescent="0.2">
      <c r="A13" s="58" t="s">
        <v>252</v>
      </c>
      <c r="B13" s="58" t="s">
        <v>253</v>
      </c>
      <c r="C13" s="1" t="s">
        <v>254</v>
      </c>
      <c r="D13" s="58" t="s">
        <v>95</v>
      </c>
    </row>
    <row r="14" spans="1:4" x14ac:dyDescent="0.2">
      <c r="A14" s="58"/>
      <c r="B14" s="58"/>
      <c r="C14" s="1" t="s">
        <v>255</v>
      </c>
      <c r="D14" s="58"/>
    </row>
    <row r="15" spans="1:4" x14ac:dyDescent="0.2">
      <c r="A15" s="58"/>
      <c r="B15" s="58"/>
      <c r="C15" s="1" t="s">
        <v>256</v>
      </c>
      <c r="D15" s="58"/>
    </row>
    <row r="16" spans="1:4" x14ac:dyDescent="0.2">
      <c r="A16" s="58"/>
      <c r="B16" s="58"/>
      <c r="C16" s="1" t="s">
        <v>257</v>
      </c>
      <c r="D16" s="58"/>
    </row>
    <row r="17" spans="1:4" x14ac:dyDescent="0.2">
      <c r="A17" s="58"/>
      <c r="B17" s="58"/>
      <c r="C17" s="1" t="s">
        <v>258</v>
      </c>
      <c r="D17" s="58"/>
    </row>
    <row r="18" spans="1:4" x14ac:dyDescent="0.2">
      <c r="A18" s="1" t="s">
        <v>259</v>
      </c>
      <c r="B18" s="1" t="s">
        <v>260</v>
      </c>
      <c r="C18" s="1" t="s">
        <v>266</v>
      </c>
      <c r="D18" s="1" t="s">
        <v>94</v>
      </c>
    </row>
    <row r="19" spans="1:4" x14ac:dyDescent="0.2">
      <c r="A19" s="1" t="s">
        <v>262</v>
      </c>
      <c r="B19" s="1" t="s">
        <v>263</v>
      </c>
      <c r="C19" s="1" t="s">
        <v>261</v>
      </c>
      <c r="D19" s="1" t="s">
        <v>94</v>
      </c>
    </row>
    <row r="20" spans="1:4" x14ac:dyDescent="0.2">
      <c r="A20" s="1" t="s">
        <v>264</v>
      </c>
      <c r="B20" s="1" t="s">
        <v>265</v>
      </c>
      <c r="C20" s="1" t="s">
        <v>267</v>
      </c>
      <c r="D20" s="1" t="s">
        <v>94</v>
      </c>
    </row>
    <row r="21" spans="1:4" x14ac:dyDescent="0.2">
      <c r="A21" s="1" t="s">
        <v>268</v>
      </c>
      <c r="B21" s="1" t="s">
        <v>269</v>
      </c>
      <c r="C21" s="1" t="s">
        <v>247</v>
      </c>
      <c r="D21" s="1" t="s">
        <v>94</v>
      </c>
    </row>
    <row r="22" spans="1:4" x14ac:dyDescent="0.2">
      <c r="A22" s="1" t="s">
        <v>270</v>
      </c>
      <c r="B22" s="1" t="s">
        <v>271</v>
      </c>
      <c r="C22" s="1" t="s">
        <v>247</v>
      </c>
      <c r="D22" s="1" t="s">
        <v>94</v>
      </c>
    </row>
    <row r="23" spans="1:4" x14ac:dyDescent="0.2">
      <c r="A23" s="1" t="s">
        <v>272</v>
      </c>
      <c r="B23" s="1" t="s">
        <v>273</v>
      </c>
      <c r="C23" s="1" t="s">
        <v>261</v>
      </c>
      <c r="D23" s="1" t="s">
        <v>94</v>
      </c>
    </row>
    <row r="24" spans="1:4" x14ac:dyDescent="0.2">
      <c r="A24" s="1" t="s">
        <v>274</v>
      </c>
      <c r="B24" s="1" t="s">
        <v>275</v>
      </c>
      <c r="C24" s="1" t="s">
        <v>266</v>
      </c>
      <c r="D24" s="1" t="s">
        <v>94</v>
      </c>
    </row>
    <row r="25" spans="1:4" x14ac:dyDescent="0.2">
      <c r="A25" s="59" t="s">
        <v>276</v>
      </c>
      <c r="B25" s="59" t="s">
        <v>265</v>
      </c>
      <c r="C25" s="1" t="s">
        <v>277</v>
      </c>
      <c r="D25" s="59" t="s">
        <v>95</v>
      </c>
    </row>
    <row r="26" spans="1:4" x14ac:dyDescent="0.2">
      <c r="A26" s="61"/>
      <c r="B26" s="61"/>
      <c r="C26" s="1" t="s">
        <v>278</v>
      </c>
      <c r="D26" s="61"/>
    </row>
    <row r="27" spans="1:4" x14ac:dyDescent="0.2">
      <c r="A27" s="60"/>
      <c r="B27" s="60"/>
      <c r="C27" s="1" t="s">
        <v>279</v>
      </c>
      <c r="D27" s="60"/>
    </row>
    <row r="28" spans="1:4" x14ac:dyDescent="0.2">
      <c r="A28" s="59" t="s">
        <v>280</v>
      </c>
      <c r="B28" s="59" t="s">
        <v>281</v>
      </c>
      <c r="C28" s="1" t="s">
        <v>277</v>
      </c>
      <c r="D28" s="59" t="s">
        <v>95</v>
      </c>
    </row>
    <row r="29" spans="1:4" x14ac:dyDescent="0.2">
      <c r="A29" s="61"/>
      <c r="B29" s="61"/>
      <c r="C29" s="1" t="s">
        <v>278</v>
      </c>
      <c r="D29" s="61"/>
    </row>
    <row r="30" spans="1:4" x14ac:dyDescent="0.2">
      <c r="A30" s="60"/>
      <c r="B30" s="60"/>
      <c r="C30" s="1" t="s">
        <v>279</v>
      </c>
      <c r="D30" s="60"/>
    </row>
    <row r="31" spans="1:4" x14ac:dyDescent="0.2">
      <c r="A31" s="59" t="s">
        <v>282</v>
      </c>
      <c r="B31" s="59" t="s">
        <v>283</v>
      </c>
      <c r="C31" s="1" t="s">
        <v>277</v>
      </c>
      <c r="D31" s="59" t="s">
        <v>95</v>
      </c>
    </row>
    <row r="32" spans="1:4" x14ac:dyDescent="0.2">
      <c r="A32" s="61"/>
      <c r="B32" s="61"/>
      <c r="C32" s="1" t="s">
        <v>278</v>
      </c>
      <c r="D32" s="61"/>
    </row>
    <row r="33" spans="1:4" x14ac:dyDescent="0.2">
      <c r="A33" s="60"/>
      <c r="B33" s="60"/>
      <c r="C33" s="1" t="s">
        <v>279</v>
      </c>
      <c r="D33" s="60"/>
    </row>
    <row r="34" spans="1:4" x14ac:dyDescent="0.2">
      <c r="A34" s="59" t="s">
        <v>284</v>
      </c>
      <c r="B34" s="59" t="s">
        <v>285</v>
      </c>
      <c r="C34" s="1" t="s">
        <v>286</v>
      </c>
      <c r="D34" s="59" t="s">
        <v>93</v>
      </c>
    </row>
    <row r="35" spans="1:4" x14ac:dyDescent="0.2">
      <c r="A35" s="60"/>
      <c r="B35" s="60"/>
      <c r="C35" s="1" t="s">
        <v>287</v>
      </c>
      <c r="D35" s="60"/>
    </row>
  </sheetData>
  <mergeCells count="21">
    <mergeCell ref="D25:D27"/>
    <mergeCell ref="D28:D30"/>
    <mergeCell ref="D31:D33"/>
    <mergeCell ref="D34:D35"/>
    <mergeCell ref="A13:A17"/>
    <mergeCell ref="B13:B17"/>
    <mergeCell ref="D13:D17"/>
    <mergeCell ref="A25:A27"/>
    <mergeCell ref="A28:A30"/>
    <mergeCell ref="A31:A33"/>
    <mergeCell ref="A34:A35"/>
    <mergeCell ref="B25:B27"/>
    <mergeCell ref="B28:B30"/>
    <mergeCell ref="B31:B33"/>
    <mergeCell ref="B34:B35"/>
    <mergeCell ref="A5:A6"/>
    <mergeCell ref="B5:B6"/>
    <mergeCell ref="D5:D6"/>
    <mergeCell ref="A8:A9"/>
    <mergeCell ref="B8:B9"/>
    <mergeCell ref="D8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4582-3F24-4443-984C-2FE6125B4D3C}">
  <sheetPr>
    <tabColor theme="5" tint="0.79998168889431442"/>
  </sheetPr>
  <dimension ref="A1:T6"/>
  <sheetViews>
    <sheetView topLeftCell="J1" zoomScaleNormal="100" workbookViewId="0">
      <selection activeCell="T18" sqref="T18"/>
    </sheetView>
  </sheetViews>
  <sheetFormatPr baseColWidth="10" defaultRowHeight="16" x14ac:dyDescent="0.2"/>
  <cols>
    <col min="4" max="4" width="13.33203125" customWidth="1"/>
    <col min="5" max="5" width="14.83203125" customWidth="1"/>
    <col min="6" max="6" width="14.33203125" customWidth="1"/>
    <col min="7" max="7" width="13" customWidth="1"/>
    <col min="10" max="10" width="14.6640625" customWidth="1"/>
    <col min="13" max="13" width="17.1640625" customWidth="1"/>
    <col min="14" max="14" width="15.1640625" customWidth="1"/>
    <col min="18" max="18" width="11.83203125" customWidth="1"/>
    <col min="20" max="20" width="13.5" customWidth="1"/>
  </cols>
  <sheetData>
    <row r="1" spans="1:20" x14ac:dyDescent="0.2">
      <c r="A1" s="34" t="s">
        <v>25</v>
      </c>
      <c r="B1" s="32" t="s">
        <v>236</v>
      </c>
      <c r="C1" s="32" t="s">
        <v>237</v>
      </c>
      <c r="D1" s="32" t="s">
        <v>238</v>
      </c>
      <c r="E1" s="32" t="s">
        <v>241</v>
      </c>
      <c r="F1" s="32" t="s">
        <v>245</v>
      </c>
      <c r="G1" s="32" t="s">
        <v>248</v>
      </c>
      <c r="H1" s="32" t="s">
        <v>250</v>
      </c>
      <c r="I1" s="32" t="s">
        <v>252</v>
      </c>
      <c r="J1" s="32" t="s">
        <v>259</v>
      </c>
      <c r="K1" s="32" t="s">
        <v>262</v>
      </c>
      <c r="L1" s="32" t="s">
        <v>264</v>
      </c>
      <c r="M1" s="32" t="s">
        <v>268</v>
      </c>
      <c r="N1" s="32" t="s">
        <v>270</v>
      </c>
      <c r="O1" s="32" t="s">
        <v>272</v>
      </c>
      <c r="P1" s="32" t="s">
        <v>274</v>
      </c>
      <c r="Q1" s="32" t="s">
        <v>276</v>
      </c>
      <c r="R1" s="32" t="s">
        <v>280</v>
      </c>
      <c r="S1" s="32" t="s">
        <v>282</v>
      </c>
      <c r="T1" s="32" t="s">
        <v>284</v>
      </c>
    </row>
    <row r="2" spans="1:20" x14ac:dyDescent="0.2">
      <c r="A2" s="1">
        <v>1</v>
      </c>
      <c r="B2" s="1">
        <v>65</v>
      </c>
      <c r="C2" s="1">
        <v>1</v>
      </c>
      <c r="D2" s="1">
        <v>98</v>
      </c>
      <c r="E2" s="1">
        <v>1</v>
      </c>
      <c r="F2" s="1">
        <v>72</v>
      </c>
      <c r="G2" s="1">
        <v>165</v>
      </c>
      <c r="H2" s="1">
        <v>26.4</v>
      </c>
      <c r="I2" s="1">
        <v>4</v>
      </c>
      <c r="J2" s="1">
        <v>22</v>
      </c>
      <c r="K2" s="1">
        <v>30.5</v>
      </c>
      <c r="L2" s="1">
        <v>13</v>
      </c>
      <c r="M2" s="1">
        <v>25</v>
      </c>
      <c r="N2" s="1">
        <v>2.8</v>
      </c>
      <c r="O2" s="1">
        <v>47</v>
      </c>
      <c r="P2" s="1">
        <v>1450</v>
      </c>
      <c r="Q2" s="1">
        <v>2</v>
      </c>
      <c r="R2" s="1">
        <v>1</v>
      </c>
      <c r="S2" s="1">
        <v>1</v>
      </c>
      <c r="T2" s="1">
        <v>0</v>
      </c>
    </row>
    <row r="3" spans="1:20" x14ac:dyDescent="0.2">
      <c r="A3" s="1">
        <v>2</v>
      </c>
      <c r="B3" s="1">
        <v>72</v>
      </c>
      <c r="C3" s="1">
        <v>2</v>
      </c>
      <c r="D3" s="1">
        <v>86</v>
      </c>
      <c r="E3" s="1">
        <v>1</v>
      </c>
      <c r="F3" s="1">
        <v>58</v>
      </c>
      <c r="G3" s="1">
        <v>158</v>
      </c>
      <c r="H3" s="1">
        <v>23.2</v>
      </c>
      <c r="I3" s="1">
        <v>3</v>
      </c>
      <c r="J3" s="1">
        <v>18.5</v>
      </c>
      <c r="K3" s="1">
        <v>31.9</v>
      </c>
      <c r="L3" s="1">
        <v>11</v>
      </c>
      <c r="M3" s="1">
        <v>20.5</v>
      </c>
      <c r="N3" s="1">
        <v>2.4</v>
      </c>
      <c r="O3" s="1">
        <v>45</v>
      </c>
      <c r="P3" s="1">
        <v>1200</v>
      </c>
      <c r="Q3" s="1">
        <v>1</v>
      </c>
      <c r="R3" s="1">
        <v>1</v>
      </c>
      <c r="S3" s="1">
        <v>1</v>
      </c>
      <c r="T3" s="1">
        <v>1</v>
      </c>
    </row>
    <row r="4" spans="1:20" x14ac:dyDescent="0.2">
      <c r="A4" s="1">
        <v>3</v>
      </c>
      <c r="B4" s="1">
        <v>68</v>
      </c>
      <c r="C4" s="1">
        <v>2</v>
      </c>
      <c r="D4" s="1">
        <v>78</v>
      </c>
      <c r="E4" s="1">
        <v>0</v>
      </c>
      <c r="F4" s="1">
        <v>55</v>
      </c>
      <c r="G4" s="1">
        <v>160</v>
      </c>
      <c r="H4" s="1">
        <v>21.5</v>
      </c>
      <c r="I4" s="1">
        <v>2</v>
      </c>
      <c r="J4" s="1">
        <v>16</v>
      </c>
      <c r="K4" s="1">
        <v>29</v>
      </c>
      <c r="L4" s="1">
        <v>8</v>
      </c>
      <c r="M4" s="1">
        <v>22</v>
      </c>
      <c r="N4" s="1">
        <v>2.6</v>
      </c>
      <c r="O4" s="1">
        <v>50</v>
      </c>
      <c r="P4" s="1">
        <v>1250</v>
      </c>
      <c r="Q4" s="1">
        <v>1</v>
      </c>
      <c r="R4" s="1">
        <v>2</v>
      </c>
      <c r="S4" s="1">
        <v>1</v>
      </c>
      <c r="T4" s="1">
        <v>1</v>
      </c>
    </row>
    <row r="5" spans="1:20" x14ac:dyDescent="0.2">
      <c r="A5" s="1">
        <v>4</v>
      </c>
      <c r="B5" s="1">
        <v>80</v>
      </c>
      <c r="C5" s="1">
        <v>1</v>
      </c>
      <c r="D5" s="1">
        <v>92</v>
      </c>
      <c r="E5" s="1">
        <v>1</v>
      </c>
      <c r="F5" s="1">
        <v>48</v>
      </c>
      <c r="G5" s="1">
        <v>165</v>
      </c>
      <c r="H5" s="1">
        <v>17.600000000000001</v>
      </c>
      <c r="I5" s="1">
        <v>1</v>
      </c>
      <c r="J5" s="1">
        <v>9.5</v>
      </c>
      <c r="K5" s="1">
        <v>19.8</v>
      </c>
      <c r="L5" s="1">
        <v>6</v>
      </c>
      <c r="M5" s="1">
        <v>18</v>
      </c>
      <c r="N5" s="1">
        <v>2.1</v>
      </c>
      <c r="O5" s="1">
        <v>38</v>
      </c>
      <c r="P5" s="1">
        <v>1100</v>
      </c>
      <c r="Q5" s="1">
        <v>1</v>
      </c>
      <c r="R5" s="1">
        <v>1</v>
      </c>
      <c r="S5" s="1">
        <v>1</v>
      </c>
      <c r="T5" s="1">
        <v>0</v>
      </c>
    </row>
    <row r="6" spans="1:20" x14ac:dyDescent="0.2">
      <c r="A6" s="1">
        <v>5</v>
      </c>
      <c r="B6" s="1">
        <v>60</v>
      </c>
      <c r="C6" s="1">
        <v>2</v>
      </c>
      <c r="D6" s="1">
        <v>95</v>
      </c>
      <c r="E6" s="1">
        <v>1</v>
      </c>
      <c r="F6" s="1">
        <v>70</v>
      </c>
      <c r="G6" s="1">
        <v>155</v>
      </c>
      <c r="H6" s="1">
        <v>29.1</v>
      </c>
      <c r="I6" s="1">
        <v>5</v>
      </c>
      <c r="J6" s="1">
        <v>26</v>
      </c>
      <c r="K6" s="1">
        <v>37</v>
      </c>
      <c r="L6" s="1">
        <v>15</v>
      </c>
      <c r="M6" s="1">
        <v>21</v>
      </c>
      <c r="N6" s="1">
        <v>2.7</v>
      </c>
      <c r="O6" s="1">
        <v>46</v>
      </c>
      <c r="P6" s="1">
        <v>1350</v>
      </c>
      <c r="Q6" s="1">
        <v>3</v>
      </c>
      <c r="R6" s="1">
        <v>1</v>
      </c>
      <c r="S6" s="1">
        <v>1</v>
      </c>
      <c r="T6" s="1">
        <v>1</v>
      </c>
    </row>
  </sheetData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FEBB-531F-D642-9219-E2ADFAC7AC3E}">
  <sheetPr>
    <tabColor rgb="FFFFFF00"/>
  </sheetPr>
  <dimension ref="A2:D64"/>
  <sheetViews>
    <sheetView topLeftCell="A37" workbookViewId="0">
      <selection activeCell="B38" sqref="B38"/>
    </sheetView>
  </sheetViews>
  <sheetFormatPr baseColWidth="10" defaultRowHeight="16" x14ac:dyDescent="0.2"/>
  <cols>
    <col min="1" max="1" width="20.33203125" customWidth="1"/>
    <col min="2" max="2" width="44.6640625" customWidth="1"/>
    <col min="3" max="3" width="30.1640625" customWidth="1"/>
    <col min="4" max="4" width="16.33203125" customWidth="1"/>
  </cols>
  <sheetData>
    <row r="2" spans="1:4" x14ac:dyDescent="0.2">
      <c r="A2" s="32" t="s">
        <v>28</v>
      </c>
      <c r="B2" s="32" t="s">
        <v>29</v>
      </c>
      <c r="C2" s="32" t="s">
        <v>27</v>
      </c>
      <c r="D2" s="32" t="s">
        <v>92</v>
      </c>
    </row>
    <row r="3" spans="1:4" x14ac:dyDescent="0.2">
      <c r="A3" s="1" t="s">
        <v>25</v>
      </c>
      <c r="B3" s="1" t="s">
        <v>26</v>
      </c>
      <c r="C3" s="1" t="s">
        <v>30</v>
      </c>
      <c r="D3" s="1" t="s">
        <v>93</v>
      </c>
    </row>
    <row r="4" spans="1:4" x14ac:dyDescent="0.2">
      <c r="A4" s="59" t="s">
        <v>319</v>
      </c>
      <c r="B4" s="59" t="s">
        <v>288</v>
      </c>
      <c r="C4" s="1" t="s">
        <v>289</v>
      </c>
      <c r="D4" s="59" t="s">
        <v>95</v>
      </c>
    </row>
    <row r="5" spans="1:4" x14ac:dyDescent="0.2">
      <c r="A5" s="61"/>
      <c r="B5" s="61"/>
      <c r="C5" s="1" t="s">
        <v>290</v>
      </c>
      <c r="D5" s="61"/>
    </row>
    <row r="6" spans="1:4" x14ac:dyDescent="0.2">
      <c r="A6" s="60"/>
      <c r="B6" s="60"/>
      <c r="C6" s="1" t="s">
        <v>291</v>
      </c>
      <c r="D6" s="60"/>
    </row>
    <row r="7" spans="1:4" x14ac:dyDescent="0.2">
      <c r="A7" s="45" t="s">
        <v>320</v>
      </c>
      <c r="B7" s="46" t="s">
        <v>292</v>
      </c>
      <c r="C7" s="37" t="s">
        <v>293</v>
      </c>
      <c r="D7" s="59" t="s">
        <v>95</v>
      </c>
    </row>
    <row r="8" spans="1:4" x14ac:dyDescent="0.2">
      <c r="A8" s="43"/>
      <c r="C8" s="36" t="s">
        <v>294</v>
      </c>
      <c r="D8" s="61"/>
    </row>
    <row r="9" spans="1:4" x14ac:dyDescent="0.2">
      <c r="A9" s="43"/>
      <c r="C9" s="36" t="s">
        <v>295</v>
      </c>
      <c r="D9" s="61"/>
    </row>
    <row r="10" spans="1:4" x14ac:dyDescent="0.2">
      <c r="A10" s="39"/>
      <c r="B10" s="40"/>
      <c r="C10" s="41" t="s">
        <v>296</v>
      </c>
      <c r="D10" s="60"/>
    </row>
    <row r="11" spans="1:4" x14ac:dyDescent="0.2">
      <c r="A11" s="45" t="s">
        <v>321</v>
      </c>
      <c r="B11" s="46" t="s">
        <v>297</v>
      </c>
      <c r="C11" s="37" t="s">
        <v>298</v>
      </c>
      <c r="D11" s="38" t="s">
        <v>95</v>
      </c>
    </row>
    <row r="12" spans="1:4" x14ac:dyDescent="0.2">
      <c r="A12" s="43"/>
      <c r="C12" s="36" t="s">
        <v>299</v>
      </c>
      <c r="D12" s="44"/>
    </row>
    <row r="13" spans="1:4" x14ac:dyDescent="0.2">
      <c r="A13" s="39"/>
      <c r="B13" s="40"/>
      <c r="C13" s="41" t="s">
        <v>300</v>
      </c>
      <c r="D13" s="42"/>
    </row>
    <row r="14" spans="1:4" x14ac:dyDescent="0.2">
      <c r="A14" s="45" t="s">
        <v>322</v>
      </c>
      <c r="B14" s="46" t="s">
        <v>301</v>
      </c>
      <c r="C14" s="37" t="s">
        <v>302</v>
      </c>
      <c r="D14" s="38" t="s">
        <v>93</v>
      </c>
    </row>
    <row r="15" spans="1:4" x14ac:dyDescent="0.2">
      <c r="A15" s="39"/>
      <c r="B15" s="40"/>
      <c r="C15" s="41" t="s">
        <v>303</v>
      </c>
      <c r="D15" s="42"/>
    </row>
    <row r="16" spans="1:4" x14ac:dyDescent="0.2">
      <c r="A16" s="45" t="s">
        <v>323</v>
      </c>
      <c r="B16" s="46" t="s">
        <v>304</v>
      </c>
      <c r="C16" s="37" t="s">
        <v>305</v>
      </c>
      <c r="D16" s="38" t="s">
        <v>95</v>
      </c>
    </row>
    <row r="17" spans="1:4" x14ac:dyDescent="0.2">
      <c r="A17" s="43"/>
      <c r="C17" s="36" t="s">
        <v>306</v>
      </c>
      <c r="D17" s="44"/>
    </row>
    <row r="18" spans="1:4" x14ac:dyDescent="0.2">
      <c r="A18" s="39"/>
      <c r="B18" s="40"/>
      <c r="C18" s="41" t="s">
        <v>303</v>
      </c>
      <c r="D18" s="42"/>
    </row>
    <row r="19" spans="1:4" x14ac:dyDescent="0.2">
      <c r="A19" s="45" t="s">
        <v>324</v>
      </c>
      <c r="B19" s="46" t="s">
        <v>307</v>
      </c>
      <c r="C19" s="37" t="s">
        <v>308</v>
      </c>
      <c r="D19" s="38" t="s">
        <v>95</v>
      </c>
    </row>
    <row r="20" spans="1:4" x14ac:dyDescent="0.2">
      <c r="A20" s="43"/>
      <c r="C20" s="36" t="s">
        <v>309</v>
      </c>
      <c r="D20" s="44"/>
    </row>
    <row r="21" spans="1:4" x14ac:dyDescent="0.2">
      <c r="A21" s="43"/>
      <c r="C21" s="36" t="s">
        <v>310</v>
      </c>
      <c r="D21" s="44"/>
    </row>
    <row r="22" spans="1:4" x14ac:dyDescent="0.2">
      <c r="A22" s="39"/>
      <c r="B22" s="40"/>
      <c r="C22" s="41" t="s">
        <v>311</v>
      </c>
      <c r="D22" s="42"/>
    </row>
    <row r="23" spans="1:4" x14ac:dyDescent="0.2">
      <c r="A23" s="45" t="s">
        <v>325</v>
      </c>
      <c r="B23" s="46" t="s">
        <v>312</v>
      </c>
      <c r="C23" s="37" t="s">
        <v>313</v>
      </c>
      <c r="D23" s="38" t="s">
        <v>93</v>
      </c>
    </row>
    <row r="24" spans="1:4" x14ac:dyDescent="0.2">
      <c r="A24" s="39"/>
      <c r="B24" s="40"/>
      <c r="C24" s="41" t="s">
        <v>314</v>
      </c>
      <c r="D24" s="42"/>
    </row>
    <row r="25" spans="1:4" x14ac:dyDescent="0.2">
      <c r="A25" s="1" t="s">
        <v>318</v>
      </c>
      <c r="B25" s="1" t="s">
        <v>315</v>
      </c>
      <c r="C25" s="1" t="s">
        <v>316</v>
      </c>
      <c r="D25" s="1" t="s">
        <v>94</v>
      </c>
    </row>
    <row r="26" spans="1:4" x14ac:dyDescent="0.2">
      <c r="A26" s="45" t="s">
        <v>317</v>
      </c>
      <c r="B26" s="46" t="s">
        <v>119</v>
      </c>
      <c r="C26" s="37" t="s">
        <v>380</v>
      </c>
      <c r="D26" s="38"/>
    </row>
    <row r="27" spans="1:4" x14ac:dyDescent="0.2">
      <c r="A27" s="43"/>
      <c r="C27" s="36" t="s">
        <v>378</v>
      </c>
      <c r="D27" s="44"/>
    </row>
    <row r="28" spans="1:4" x14ac:dyDescent="0.2">
      <c r="A28" s="39"/>
      <c r="B28" s="40"/>
      <c r="C28" s="41" t="s">
        <v>379</v>
      </c>
      <c r="D28" s="42"/>
    </row>
    <row r="29" spans="1:4" x14ac:dyDescent="0.2">
      <c r="A29" s="45" t="s">
        <v>384</v>
      </c>
      <c r="B29" s="46" t="s">
        <v>326</v>
      </c>
      <c r="C29" s="37" t="s">
        <v>327</v>
      </c>
      <c r="D29" s="38" t="s">
        <v>93</v>
      </c>
    </row>
    <row r="30" spans="1:4" x14ac:dyDescent="0.2">
      <c r="A30" s="39"/>
      <c r="B30" s="40"/>
      <c r="C30" s="41" t="s">
        <v>328</v>
      </c>
      <c r="D30" s="42"/>
    </row>
    <row r="31" spans="1:4" x14ac:dyDescent="0.2">
      <c r="A31" s="45" t="s">
        <v>385</v>
      </c>
      <c r="B31" s="46" t="s">
        <v>329</v>
      </c>
      <c r="C31" s="37" t="s">
        <v>330</v>
      </c>
      <c r="D31" s="38" t="s">
        <v>93</v>
      </c>
    </row>
    <row r="32" spans="1:4" x14ac:dyDescent="0.2">
      <c r="A32" s="39"/>
      <c r="B32" s="40"/>
      <c r="C32" s="41" t="s">
        <v>331</v>
      </c>
      <c r="D32" s="42"/>
    </row>
    <row r="33" spans="1:4" x14ac:dyDescent="0.2">
      <c r="A33" s="45" t="s">
        <v>332</v>
      </c>
      <c r="B33" s="46" t="s">
        <v>333</v>
      </c>
      <c r="C33" s="37" t="s">
        <v>330</v>
      </c>
      <c r="D33" s="38" t="s">
        <v>93</v>
      </c>
    </row>
    <row r="34" spans="1:4" x14ac:dyDescent="0.2">
      <c r="A34" s="39"/>
      <c r="B34" s="40"/>
      <c r="C34" s="41" t="s">
        <v>331</v>
      </c>
      <c r="D34" s="42"/>
    </row>
    <row r="35" spans="1:4" x14ac:dyDescent="0.2">
      <c r="A35" s="45" t="s">
        <v>334</v>
      </c>
      <c r="B35" s="46" t="s">
        <v>335</v>
      </c>
      <c r="C35" s="37" t="s">
        <v>336</v>
      </c>
      <c r="D35" s="38" t="s">
        <v>95</v>
      </c>
    </row>
    <row r="36" spans="1:4" x14ac:dyDescent="0.2">
      <c r="A36" s="43"/>
      <c r="C36" s="36" t="s">
        <v>337</v>
      </c>
      <c r="D36" s="44"/>
    </row>
    <row r="37" spans="1:4" x14ac:dyDescent="0.2">
      <c r="A37" s="39"/>
      <c r="B37" s="40"/>
      <c r="C37" s="41" t="s">
        <v>338</v>
      </c>
      <c r="D37" s="42"/>
    </row>
    <row r="38" spans="1:4" x14ac:dyDescent="0.2">
      <c r="A38" s="45" t="s">
        <v>339</v>
      </c>
      <c r="B38" s="46" t="s">
        <v>340</v>
      </c>
      <c r="C38" s="37" t="s">
        <v>342</v>
      </c>
      <c r="D38" s="38" t="s">
        <v>95</v>
      </c>
    </row>
    <row r="39" spans="1:4" x14ac:dyDescent="0.2">
      <c r="A39" s="43"/>
      <c r="C39" s="36" t="s">
        <v>341</v>
      </c>
      <c r="D39" s="44"/>
    </row>
    <row r="40" spans="1:4" x14ac:dyDescent="0.2">
      <c r="A40" s="39"/>
      <c r="B40" s="40"/>
      <c r="C40" s="41" t="s">
        <v>343</v>
      </c>
      <c r="D40" s="42"/>
    </row>
    <row r="41" spans="1:4" x14ac:dyDescent="0.2">
      <c r="A41" s="45" t="s">
        <v>344</v>
      </c>
      <c r="B41" s="46" t="s">
        <v>345</v>
      </c>
      <c r="C41" s="48" t="s">
        <v>327</v>
      </c>
      <c r="D41" s="38" t="s">
        <v>93</v>
      </c>
    </row>
    <row r="42" spans="1:4" x14ac:dyDescent="0.2">
      <c r="A42" s="39"/>
      <c r="B42" s="40"/>
      <c r="C42" s="49" t="s">
        <v>328</v>
      </c>
      <c r="D42" s="42"/>
    </row>
    <row r="43" spans="1:4" x14ac:dyDescent="0.2">
      <c r="A43" s="45" t="s">
        <v>346</v>
      </c>
      <c r="B43" s="46" t="s">
        <v>347</v>
      </c>
      <c r="C43" s="37" t="s">
        <v>348</v>
      </c>
      <c r="D43" s="38" t="s">
        <v>95</v>
      </c>
    </row>
    <row r="44" spans="1:4" x14ac:dyDescent="0.2">
      <c r="A44" s="43"/>
      <c r="C44" s="36" t="s">
        <v>349</v>
      </c>
      <c r="D44" s="44"/>
    </row>
    <row r="45" spans="1:4" x14ac:dyDescent="0.2">
      <c r="A45" s="39"/>
      <c r="B45" s="40"/>
      <c r="C45" s="41" t="s">
        <v>350</v>
      </c>
      <c r="D45" s="42"/>
    </row>
    <row r="46" spans="1:4" x14ac:dyDescent="0.2">
      <c r="A46" s="45" t="s">
        <v>351</v>
      </c>
      <c r="B46" s="46" t="s">
        <v>361</v>
      </c>
      <c r="C46" s="37" t="s">
        <v>354</v>
      </c>
      <c r="D46" s="38" t="s">
        <v>95</v>
      </c>
    </row>
    <row r="47" spans="1:4" x14ac:dyDescent="0.2">
      <c r="A47" s="43"/>
      <c r="C47" s="36" t="s">
        <v>355</v>
      </c>
      <c r="D47" s="44"/>
    </row>
    <row r="48" spans="1:4" x14ac:dyDescent="0.2">
      <c r="A48" s="39"/>
      <c r="B48" s="40"/>
      <c r="C48" s="41" t="s">
        <v>356</v>
      </c>
      <c r="D48" s="42"/>
    </row>
    <row r="49" spans="1:4" x14ac:dyDescent="0.2">
      <c r="A49" s="45" t="s">
        <v>352</v>
      </c>
      <c r="B49" s="46" t="s">
        <v>353</v>
      </c>
      <c r="C49" s="37" t="s">
        <v>357</v>
      </c>
      <c r="D49" s="38" t="s">
        <v>95</v>
      </c>
    </row>
    <row r="50" spans="1:4" x14ac:dyDescent="0.2">
      <c r="A50" s="43"/>
      <c r="C50" s="36" t="s">
        <v>358</v>
      </c>
      <c r="D50" s="44"/>
    </row>
    <row r="51" spans="1:4" x14ac:dyDescent="0.2">
      <c r="A51" s="39"/>
      <c r="B51" s="40"/>
      <c r="C51" s="41" t="s">
        <v>359</v>
      </c>
      <c r="D51" s="42"/>
    </row>
    <row r="52" spans="1:4" x14ac:dyDescent="0.2">
      <c r="A52" s="45" t="s">
        <v>360</v>
      </c>
      <c r="B52" s="46" t="s">
        <v>362</v>
      </c>
      <c r="C52" s="37" t="s">
        <v>363</v>
      </c>
      <c r="D52" s="38" t="s">
        <v>95</v>
      </c>
    </row>
    <row r="53" spans="1:4" x14ac:dyDescent="0.2">
      <c r="A53" s="43"/>
      <c r="C53" s="36" t="s">
        <v>364</v>
      </c>
      <c r="D53" s="44"/>
    </row>
    <row r="54" spans="1:4" x14ac:dyDescent="0.2">
      <c r="A54" s="43"/>
      <c r="C54" s="41" t="s">
        <v>365</v>
      </c>
      <c r="D54" s="44"/>
    </row>
    <row r="55" spans="1:4" x14ac:dyDescent="0.2">
      <c r="A55" s="39"/>
      <c r="B55" s="40"/>
      <c r="C55" s="41" t="s">
        <v>366</v>
      </c>
      <c r="D55" s="42"/>
    </row>
    <row r="56" spans="1:4" x14ac:dyDescent="0.2">
      <c r="A56" s="45" t="s">
        <v>367</v>
      </c>
      <c r="B56" s="46" t="s">
        <v>368</v>
      </c>
      <c r="C56" s="37" t="s">
        <v>369</v>
      </c>
      <c r="D56" s="38" t="s">
        <v>95</v>
      </c>
    </row>
    <row r="57" spans="1:4" x14ac:dyDescent="0.2">
      <c r="A57" s="43"/>
      <c r="C57" s="36" t="s">
        <v>370</v>
      </c>
      <c r="D57" s="44"/>
    </row>
    <row r="58" spans="1:4" x14ac:dyDescent="0.2">
      <c r="A58" s="39"/>
      <c r="B58" s="40"/>
      <c r="C58" s="41" t="s">
        <v>371</v>
      </c>
      <c r="D58" s="42"/>
    </row>
    <row r="59" spans="1:4" x14ac:dyDescent="0.2">
      <c r="A59" s="45" t="s">
        <v>372</v>
      </c>
      <c r="B59" s="46" t="s">
        <v>312</v>
      </c>
      <c r="C59" s="37" t="s">
        <v>313</v>
      </c>
      <c r="D59" s="38" t="s">
        <v>93</v>
      </c>
    </row>
    <row r="60" spans="1:4" x14ac:dyDescent="0.2">
      <c r="A60" s="39"/>
      <c r="B60" s="40"/>
      <c r="C60" s="41" t="s">
        <v>314</v>
      </c>
      <c r="D60" s="42"/>
    </row>
    <row r="61" spans="1:4" x14ac:dyDescent="0.2">
      <c r="A61" s="1" t="s">
        <v>374</v>
      </c>
      <c r="B61" s="1" t="s">
        <v>373</v>
      </c>
      <c r="C61" s="1" t="s">
        <v>375</v>
      </c>
      <c r="D61" s="1" t="s">
        <v>94</v>
      </c>
    </row>
    <row r="62" spans="1:4" x14ac:dyDescent="0.2">
      <c r="A62" s="45" t="s">
        <v>376</v>
      </c>
      <c r="B62" s="46" t="s">
        <v>377</v>
      </c>
      <c r="C62" s="37" t="s">
        <v>381</v>
      </c>
      <c r="D62" s="38" t="s">
        <v>95</v>
      </c>
    </row>
    <row r="63" spans="1:4" x14ac:dyDescent="0.2">
      <c r="A63" s="43"/>
      <c r="C63" s="36" t="s">
        <v>382</v>
      </c>
      <c r="D63" s="44"/>
    </row>
    <row r="64" spans="1:4" x14ac:dyDescent="0.2">
      <c r="A64" s="39"/>
      <c r="B64" s="40"/>
      <c r="C64" s="41" t="s">
        <v>383</v>
      </c>
      <c r="D64" s="42"/>
    </row>
  </sheetData>
  <mergeCells count="4">
    <mergeCell ref="A4:A6"/>
    <mergeCell ref="B4:B6"/>
    <mergeCell ref="D4:D6"/>
    <mergeCell ref="D7:D10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6FCA-4C0E-064D-95DB-29291F4F6540}">
  <sheetPr>
    <tabColor rgb="FFFFFF00"/>
  </sheetPr>
  <dimension ref="A1:X11"/>
  <sheetViews>
    <sheetView tabSelected="1" workbookViewId="0">
      <selection activeCell="X9" sqref="X9"/>
    </sheetView>
  </sheetViews>
  <sheetFormatPr baseColWidth="10" defaultRowHeight="16" x14ac:dyDescent="0.2"/>
  <cols>
    <col min="9" max="9" width="17.33203125" customWidth="1"/>
    <col min="10" max="10" width="15.6640625" customWidth="1"/>
    <col min="23" max="23" width="13.1640625" customWidth="1"/>
  </cols>
  <sheetData>
    <row r="1" spans="1:24" x14ac:dyDescent="0.2">
      <c r="A1" s="34" t="s">
        <v>25</v>
      </c>
      <c r="B1" s="4" t="s">
        <v>319</v>
      </c>
      <c r="C1" s="4" t="s">
        <v>320</v>
      </c>
      <c r="D1" s="4" t="s">
        <v>321</v>
      </c>
      <c r="E1" s="4" t="s">
        <v>322</v>
      </c>
      <c r="F1" s="4" t="s">
        <v>323</v>
      </c>
      <c r="G1" s="4" t="s">
        <v>324</v>
      </c>
      <c r="H1" s="4" t="s">
        <v>325</v>
      </c>
      <c r="I1" s="50" t="s">
        <v>318</v>
      </c>
      <c r="J1" s="4" t="s">
        <v>317</v>
      </c>
      <c r="K1" s="32" t="s">
        <v>384</v>
      </c>
      <c r="L1" s="32" t="s">
        <v>385</v>
      </c>
      <c r="M1" s="32" t="s">
        <v>332</v>
      </c>
      <c r="N1" s="32" t="s">
        <v>334</v>
      </c>
      <c r="O1" s="32" t="s">
        <v>339</v>
      </c>
      <c r="P1" s="32" t="s">
        <v>344</v>
      </c>
      <c r="Q1" s="32" t="s">
        <v>346</v>
      </c>
      <c r="R1" s="32" t="s">
        <v>351</v>
      </c>
      <c r="S1" s="32" t="s">
        <v>352</v>
      </c>
      <c r="T1" s="32" t="s">
        <v>360</v>
      </c>
      <c r="U1" s="32" t="s">
        <v>367</v>
      </c>
      <c r="V1" s="32" t="s">
        <v>372</v>
      </c>
      <c r="W1" s="32" t="s">
        <v>374</v>
      </c>
      <c r="X1" s="51" t="s">
        <v>376</v>
      </c>
    </row>
    <row r="2" spans="1:24" x14ac:dyDescent="0.2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f>SUM(B2:H2)</f>
        <v>7</v>
      </c>
      <c r="J2" s="55">
        <v>3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55">
        <v>2</v>
      </c>
      <c r="W2" s="1">
        <f>SUM(K2:V2)</f>
        <v>13</v>
      </c>
      <c r="X2" s="1">
        <f>SUM(I2+W2)</f>
        <v>20</v>
      </c>
    </row>
    <row r="3" spans="1:24" x14ac:dyDescent="0.2">
      <c r="A3" s="1">
        <v>2</v>
      </c>
      <c r="B3" s="1">
        <v>2</v>
      </c>
      <c r="C3" s="1">
        <v>2</v>
      </c>
      <c r="D3" s="1">
        <v>1</v>
      </c>
      <c r="E3" s="1">
        <v>2</v>
      </c>
      <c r="F3" s="1">
        <v>1</v>
      </c>
      <c r="G3" s="1">
        <v>1</v>
      </c>
      <c r="H3" s="1">
        <v>1</v>
      </c>
      <c r="I3" s="1">
        <f t="shared" ref="I3:I6" si="0">SUM(B3:H3)</f>
        <v>10</v>
      </c>
      <c r="J3" s="55">
        <v>2</v>
      </c>
      <c r="K3" s="55">
        <v>0</v>
      </c>
      <c r="L3" s="55">
        <v>0</v>
      </c>
      <c r="M3" s="1">
        <v>1</v>
      </c>
      <c r="N3" s="1">
        <v>2</v>
      </c>
      <c r="O3" s="55">
        <v>0.5</v>
      </c>
      <c r="P3" s="1">
        <v>1</v>
      </c>
      <c r="Q3" s="1">
        <v>1</v>
      </c>
      <c r="R3" s="1">
        <v>1</v>
      </c>
      <c r="S3" s="1">
        <v>1</v>
      </c>
      <c r="T3" s="1">
        <v>0.5</v>
      </c>
      <c r="U3" s="1">
        <v>1</v>
      </c>
      <c r="V3" s="55">
        <v>2</v>
      </c>
      <c r="W3" s="1">
        <f t="shared" ref="W3:W6" si="1">SUM(K3:V3)</f>
        <v>11</v>
      </c>
      <c r="X3" s="1">
        <f t="shared" ref="X3:X6" si="2">SUM(I3+W3)</f>
        <v>21</v>
      </c>
    </row>
    <row r="4" spans="1:24" x14ac:dyDescent="0.2">
      <c r="A4" s="1">
        <v>3</v>
      </c>
      <c r="B4" s="1">
        <v>2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f t="shared" si="0"/>
        <v>14</v>
      </c>
      <c r="J4" s="55">
        <v>1</v>
      </c>
      <c r="K4" s="55">
        <v>0</v>
      </c>
      <c r="L4" s="55">
        <v>0</v>
      </c>
      <c r="M4" s="55">
        <v>0</v>
      </c>
      <c r="N4" s="1">
        <v>2</v>
      </c>
      <c r="O4" s="55">
        <v>0.5</v>
      </c>
      <c r="P4" s="55">
        <v>1</v>
      </c>
      <c r="Q4" s="1">
        <v>0.5</v>
      </c>
      <c r="R4" s="1">
        <v>2</v>
      </c>
      <c r="S4" s="1">
        <v>2</v>
      </c>
      <c r="T4" s="1">
        <v>2</v>
      </c>
      <c r="U4" s="55">
        <v>0.5</v>
      </c>
      <c r="V4" s="1">
        <v>0</v>
      </c>
      <c r="W4" s="1">
        <f t="shared" si="1"/>
        <v>10.5</v>
      </c>
      <c r="X4" s="1">
        <f t="shared" si="2"/>
        <v>24.5</v>
      </c>
    </row>
    <row r="5" spans="1:24" x14ac:dyDescent="0.2">
      <c r="A5" s="1">
        <v>4</v>
      </c>
      <c r="B5" s="1">
        <v>0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f t="shared" si="0"/>
        <v>2</v>
      </c>
      <c r="J5" s="1">
        <v>3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f t="shared" si="1"/>
        <v>0</v>
      </c>
      <c r="X5" s="1">
        <f t="shared" si="2"/>
        <v>2</v>
      </c>
    </row>
    <row r="6" spans="1:24" x14ac:dyDescent="0.2">
      <c r="A6" s="1">
        <v>5</v>
      </c>
      <c r="B6" s="1">
        <v>2</v>
      </c>
      <c r="C6" s="1">
        <v>2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f t="shared" si="0"/>
        <v>14</v>
      </c>
      <c r="J6" s="55">
        <v>1</v>
      </c>
      <c r="K6" s="1">
        <v>1</v>
      </c>
      <c r="L6" s="1">
        <v>1</v>
      </c>
      <c r="M6" s="55">
        <v>0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55">
        <v>2</v>
      </c>
      <c r="W6" s="1">
        <f t="shared" si="1"/>
        <v>12</v>
      </c>
      <c r="X6" s="1">
        <f t="shared" si="2"/>
        <v>26</v>
      </c>
    </row>
    <row r="11" spans="1:24" x14ac:dyDescent="0.2">
      <c r="K11" s="65"/>
      <c r="L11" s="65"/>
      <c r="M11" s="65"/>
      <c r="O11" s="66"/>
      <c r="P11" s="66"/>
      <c r="Q11" s="66"/>
    </row>
  </sheetData>
  <mergeCells count="2">
    <mergeCell ref="K11:M11"/>
    <mergeCell ref="O11:Q11"/>
  </mergeCells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10CE-837A-E841-8B50-0185D554FD7A}">
  <sheetPr>
    <tabColor theme="9" tint="0.79998168889431442"/>
    <pageSetUpPr fitToPage="1"/>
  </sheetPr>
  <dimension ref="A1:V38"/>
  <sheetViews>
    <sheetView zoomScale="88" zoomScaleNormal="88" workbookViewId="0">
      <selection activeCell="G38" sqref="G38"/>
    </sheetView>
  </sheetViews>
  <sheetFormatPr baseColWidth="10" defaultColWidth="11.5" defaultRowHeight="16" x14ac:dyDescent="0.2"/>
  <cols>
    <col min="1" max="1" width="4.5" customWidth="1"/>
    <col min="2" max="2" width="14" customWidth="1"/>
    <col min="7" max="7" width="27.83203125" customWidth="1"/>
    <col min="11" max="11" width="13.5" customWidth="1"/>
    <col min="17" max="17" width="14.5" customWidth="1"/>
    <col min="18" max="18" width="14" customWidth="1"/>
    <col min="21" max="21" width="27.83203125" customWidth="1"/>
  </cols>
  <sheetData>
    <row r="1" spans="1:22" x14ac:dyDescent="0.2">
      <c r="A1" s="69" t="s">
        <v>25</v>
      </c>
      <c r="B1" s="67" t="s">
        <v>0</v>
      </c>
      <c r="C1" s="67"/>
      <c r="D1" s="67"/>
      <c r="E1" s="67"/>
      <c r="F1" s="67"/>
      <c r="G1" s="72" t="s">
        <v>23</v>
      </c>
      <c r="H1" s="68" t="s">
        <v>1</v>
      </c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75" t="s">
        <v>24</v>
      </c>
    </row>
    <row r="2" spans="1:22" x14ac:dyDescent="0.2">
      <c r="A2" s="70"/>
      <c r="B2" s="2" t="s">
        <v>7</v>
      </c>
      <c r="C2" s="2" t="s">
        <v>8</v>
      </c>
      <c r="D2" s="2" t="s">
        <v>9</v>
      </c>
      <c r="E2" s="2" t="s">
        <v>10</v>
      </c>
      <c r="F2" s="2"/>
      <c r="G2" s="73"/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0" t="s">
        <v>19</v>
      </c>
      <c r="Q2" s="10" t="s">
        <v>20</v>
      </c>
      <c r="R2" s="10" t="s">
        <v>21</v>
      </c>
      <c r="S2" s="10" t="s">
        <v>22</v>
      </c>
      <c r="T2" s="10"/>
      <c r="U2" s="76"/>
    </row>
    <row r="3" spans="1:22" x14ac:dyDescent="0.2">
      <c r="A3" s="71"/>
      <c r="B3" s="3">
        <v>1</v>
      </c>
      <c r="C3" s="3">
        <v>2</v>
      </c>
      <c r="D3" s="3">
        <v>3</v>
      </c>
      <c r="E3" s="3">
        <v>4</v>
      </c>
      <c r="F3" s="2" t="s">
        <v>2</v>
      </c>
      <c r="G3" s="74"/>
      <c r="H3" s="3">
        <v>1</v>
      </c>
      <c r="I3" s="3">
        <v>2</v>
      </c>
      <c r="J3" s="3">
        <v>3</v>
      </c>
      <c r="K3" s="3">
        <v>4</v>
      </c>
      <c r="L3" s="3">
        <v>5</v>
      </c>
      <c r="M3" s="3">
        <v>6</v>
      </c>
      <c r="N3" s="3">
        <v>7</v>
      </c>
      <c r="O3" s="3">
        <v>8</v>
      </c>
      <c r="P3" s="3">
        <v>9</v>
      </c>
      <c r="Q3" s="4">
        <v>10</v>
      </c>
      <c r="R3" s="4">
        <v>11</v>
      </c>
      <c r="S3" s="4">
        <v>12</v>
      </c>
      <c r="T3" s="10" t="s">
        <v>3</v>
      </c>
      <c r="U3" s="77"/>
    </row>
    <row r="4" spans="1:22" x14ac:dyDescent="0.2">
      <c r="A4" s="16">
        <v>1</v>
      </c>
      <c r="B4" s="1">
        <v>0</v>
      </c>
      <c r="C4" s="1">
        <v>2</v>
      </c>
      <c r="D4" s="1">
        <v>1</v>
      </c>
      <c r="E4" s="1">
        <v>2</v>
      </c>
      <c r="F4" s="2">
        <f>SUM(B4:E4)</f>
        <v>5</v>
      </c>
      <c r="G4" s="7" t="s">
        <v>4</v>
      </c>
      <c r="H4" s="1">
        <v>3</v>
      </c>
      <c r="I4" s="1">
        <v>1</v>
      </c>
      <c r="J4" s="1">
        <v>4</v>
      </c>
      <c r="K4" s="1">
        <v>1</v>
      </c>
      <c r="L4" s="1">
        <v>1</v>
      </c>
      <c r="M4" s="1">
        <v>2</v>
      </c>
      <c r="N4" s="1">
        <v>1</v>
      </c>
      <c r="O4" s="1">
        <v>1</v>
      </c>
      <c r="P4" s="1">
        <v>1</v>
      </c>
      <c r="Q4" s="5">
        <v>1</v>
      </c>
      <c r="R4" s="5">
        <v>0</v>
      </c>
      <c r="S4" s="5">
        <v>2</v>
      </c>
      <c r="T4" s="10">
        <f>SUM(H4:S4)</f>
        <v>18</v>
      </c>
      <c r="U4" s="11" t="s">
        <v>4</v>
      </c>
      <c r="V4" s="4">
        <f>SUM(Q4:S4)</f>
        <v>3</v>
      </c>
    </row>
    <row r="5" spans="1:22" x14ac:dyDescent="0.2">
      <c r="A5" s="16">
        <v>2</v>
      </c>
      <c r="B5" s="1">
        <v>0</v>
      </c>
      <c r="C5" s="1">
        <v>0</v>
      </c>
      <c r="D5" s="1">
        <v>0</v>
      </c>
      <c r="E5" s="1">
        <v>0</v>
      </c>
      <c r="F5" s="2">
        <f>SUM(B5:E5)</f>
        <v>0</v>
      </c>
      <c r="G5" s="6" t="s">
        <v>6</v>
      </c>
      <c r="H5" s="1">
        <v>3</v>
      </c>
      <c r="I5" s="1">
        <v>3</v>
      </c>
      <c r="J5" s="1">
        <v>4</v>
      </c>
      <c r="K5" s="1">
        <v>2</v>
      </c>
      <c r="L5" s="1">
        <v>1</v>
      </c>
      <c r="M5" s="1">
        <v>1</v>
      </c>
      <c r="N5" s="1">
        <v>1</v>
      </c>
      <c r="O5" s="1">
        <v>2</v>
      </c>
      <c r="P5" s="1">
        <v>3</v>
      </c>
      <c r="Q5" s="5">
        <v>0</v>
      </c>
      <c r="R5" s="5">
        <v>1</v>
      </c>
      <c r="S5" s="5">
        <v>1</v>
      </c>
      <c r="T5" s="10">
        <f t="shared" ref="T5:T33" si="0">SUM(H5:S5)</f>
        <v>22</v>
      </c>
      <c r="U5" s="11" t="s">
        <v>4</v>
      </c>
      <c r="V5" s="4">
        <f t="shared" ref="V5:V33" si="1">SUM(Q5:S5)</f>
        <v>2</v>
      </c>
    </row>
    <row r="6" spans="1:22" x14ac:dyDescent="0.2">
      <c r="A6" s="16">
        <v>3</v>
      </c>
      <c r="B6" s="1">
        <v>0</v>
      </c>
      <c r="C6" s="1">
        <v>0</v>
      </c>
      <c r="D6" s="1">
        <v>0</v>
      </c>
      <c r="E6" s="1">
        <v>2</v>
      </c>
      <c r="F6" s="2">
        <f>SUM(B6:E6)</f>
        <v>2</v>
      </c>
      <c r="G6" s="7" t="s">
        <v>4</v>
      </c>
      <c r="H6" s="1">
        <v>2</v>
      </c>
      <c r="I6" s="1">
        <v>3</v>
      </c>
      <c r="J6" s="1">
        <v>4</v>
      </c>
      <c r="K6" s="1">
        <v>1</v>
      </c>
      <c r="L6" s="1">
        <v>2</v>
      </c>
      <c r="M6" s="1">
        <v>1</v>
      </c>
      <c r="N6" s="1">
        <v>2</v>
      </c>
      <c r="O6" s="1">
        <v>2</v>
      </c>
      <c r="P6" s="1">
        <v>2</v>
      </c>
      <c r="Q6" s="5">
        <v>0</v>
      </c>
      <c r="R6" s="5">
        <v>0</v>
      </c>
      <c r="S6" s="5">
        <v>2</v>
      </c>
      <c r="T6" s="10">
        <f t="shared" si="0"/>
        <v>21</v>
      </c>
      <c r="U6" s="11" t="s">
        <v>4</v>
      </c>
      <c r="V6" s="4">
        <f t="shared" si="1"/>
        <v>2</v>
      </c>
    </row>
    <row r="7" spans="1:22" x14ac:dyDescent="0.2">
      <c r="A7" s="16">
        <v>4</v>
      </c>
      <c r="B7" s="1">
        <v>0</v>
      </c>
      <c r="C7" s="1">
        <v>0</v>
      </c>
      <c r="D7" s="1">
        <v>0</v>
      </c>
      <c r="E7" s="1">
        <v>2</v>
      </c>
      <c r="F7" s="2">
        <f t="shared" ref="F7:F33" si="2">SUM(B7:E7)</f>
        <v>2</v>
      </c>
      <c r="G7" s="7" t="s">
        <v>4</v>
      </c>
      <c r="H7" s="1">
        <v>2</v>
      </c>
      <c r="I7" s="1">
        <v>3</v>
      </c>
      <c r="J7" s="1">
        <v>4</v>
      </c>
      <c r="K7" s="1">
        <v>2</v>
      </c>
      <c r="L7" s="1">
        <v>2</v>
      </c>
      <c r="M7" s="1">
        <v>1</v>
      </c>
      <c r="N7" s="1">
        <v>2</v>
      </c>
      <c r="O7" s="1">
        <v>2</v>
      </c>
      <c r="P7" s="1">
        <v>2</v>
      </c>
      <c r="Q7" s="5">
        <v>1</v>
      </c>
      <c r="R7" s="5">
        <v>0</v>
      </c>
      <c r="S7" s="5">
        <v>1</v>
      </c>
      <c r="T7" s="10">
        <f t="shared" si="0"/>
        <v>22</v>
      </c>
      <c r="U7" s="11" t="s">
        <v>4</v>
      </c>
      <c r="V7" s="4">
        <f t="shared" si="1"/>
        <v>2</v>
      </c>
    </row>
    <row r="8" spans="1:22" x14ac:dyDescent="0.2">
      <c r="A8" s="16">
        <v>5</v>
      </c>
      <c r="B8" s="1">
        <v>0</v>
      </c>
      <c r="C8" s="1">
        <v>0</v>
      </c>
      <c r="D8" s="1">
        <v>0</v>
      </c>
      <c r="E8" s="1">
        <v>2</v>
      </c>
      <c r="F8" s="2">
        <f t="shared" si="2"/>
        <v>2</v>
      </c>
      <c r="G8" s="7" t="s">
        <v>4</v>
      </c>
      <c r="H8" s="1">
        <v>3</v>
      </c>
      <c r="I8" s="1">
        <v>3</v>
      </c>
      <c r="J8" s="1">
        <v>4</v>
      </c>
      <c r="K8" s="1">
        <v>1</v>
      </c>
      <c r="L8" s="1">
        <v>2</v>
      </c>
      <c r="M8" s="1">
        <v>1</v>
      </c>
      <c r="N8" s="1">
        <v>1</v>
      </c>
      <c r="O8" s="1">
        <v>1</v>
      </c>
      <c r="P8" s="1">
        <v>2</v>
      </c>
      <c r="Q8" s="5">
        <v>1</v>
      </c>
      <c r="R8" s="5">
        <v>1</v>
      </c>
      <c r="S8" s="5">
        <v>2</v>
      </c>
      <c r="T8" s="10">
        <f t="shared" si="0"/>
        <v>22</v>
      </c>
      <c r="U8" s="11" t="s">
        <v>4</v>
      </c>
      <c r="V8" s="4">
        <f t="shared" si="1"/>
        <v>4</v>
      </c>
    </row>
    <row r="9" spans="1:22" x14ac:dyDescent="0.2">
      <c r="A9" s="16">
        <v>6</v>
      </c>
      <c r="B9" s="1">
        <v>0</v>
      </c>
      <c r="C9" s="1">
        <v>0</v>
      </c>
      <c r="D9" s="1">
        <v>0</v>
      </c>
      <c r="E9" s="1">
        <v>2</v>
      </c>
      <c r="F9" s="2">
        <f t="shared" si="2"/>
        <v>2</v>
      </c>
      <c r="G9" s="7" t="s">
        <v>4</v>
      </c>
      <c r="H9" s="1">
        <v>2</v>
      </c>
      <c r="I9" s="1">
        <v>2</v>
      </c>
      <c r="J9" s="1">
        <v>4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2</v>
      </c>
      <c r="Q9" s="5">
        <v>0</v>
      </c>
      <c r="R9" s="5">
        <v>1</v>
      </c>
      <c r="S9" s="5">
        <v>0</v>
      </c>
      <c r="T9" s="10">
        <f t="shared" si="0"/>
        <v>16</v>
      </c>
      <c r="U9" s="12" t="s">
        <v>5</v>
      </c>
      <c r="V9" s="4">
        <f t="shared" si="1"/>
        <v>1</v>
      </c>
    </row>
    <row r="10" spans="1:22" x14ac:dyDescent="0.2">
      <c r="A10" s="16">
        <v>7</v>
      </c>
      <c r="B10" s="1">
        <v>0</v>
      </c>
      <c r="C10" s="1">
        <v>0</v>
      </c>
      <c r="D10" s="1">
        <v>0</v>
      </c>
      <c r="E10" s="1">
        <v>2</v>
      </c>
      <c r="F10" s="2">
        <f t="shared" si="2"/>
        <v>2</v>
      </c>
      <c r="G10" s="7" t="s">
        <v>4</v>
      </c>
      <c r="H10" s="1">
        <v>3</v>
      </c>
      <c r="I10" s="1">
        <v>3</v>
      </c>
      <c r="J10" s="1">
        <v>4</v>
      </c>
      <c r="K10" s="1">
        <v>2</v>
      </c>
      <c r="L10" s="1">
        <v>2</v>
      </c>
      <c r="M10" s="1">
        <v>0</v>
      </c>
      <c r="N10" s="1">
        <v>1</v>
      </c>
      <c r="O10" s="1">
        <v>2</v>
      </c>
      <c r="P10" s="1">
        <v>3</v>
      </c>
      <c r="Q10" s="5">
        <v>2</v>
      </c>
      <c r="R10" s="5">
        <v>1</v>
      </c>
      <c r="S10" s="5">
        <v>1</v>
      </c>
      <c r="T10" s="10">
        <f t="shared" si="0"/>
        <v>24</v>
      </c>
      <c r="U10" s="13" t="s">
        <v>6</v>
      </c>
      <c r="V10" s="4">
        <f t="shared" si="1"/>
        <v>4</v>
      </c>
    </row>
    <row r="11" spans="1:22" x14ac:dyDescent="0.2">
      <c r="A11" s="16">
        <v>8</v>
      </c>
      <c r="B11" s="1">
        <v>0</v>
      </c>
      <c r="C11" s="1">
        <v>0</v>
      </c>
      <c r="D11" s="1">
        <v>1</v>
      </c>
      <c r="E11" s="1">
        <v>2</v>
      </c>
      <c r="F11" s="2">
        <f t="shared" si="2"/>
        <v>3</v>
      </c>
      <c r="G11" s="7" t="s">
        <v>4</v>
      </c>
      <c r="H11" s="1">
        <v>2</v>
      </c>
      <c r="I11" s="1">
        <v>1</v>
      </c>
      <c r="J11" s="1">
        <v>2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2</v>
      </c>
      <c r="Q11" s="5">
        <v>0</v>
      </c>
      <c r="R11" s="5">
        <v>0</v>
      </c>
      <c r="S11" s="5">
        <v>0</v>
      </c>
      <c r="T11" s="10">
        <f t="shared" si="0"/>
        <v>12</v>
      </c>
      <c r="U11" s="12" t="s">
        <v>5</v>
      </c>
      <c r="V11" s="4">
        <f t="shared" si="1"/>
        <v>0</v>
      </c>
    </row>
    <row r="12" spans="1:22" x14ac:dyDescent="0.2">
      <c r="A12" s="16">
        <v>9</v>
      </c>
      <c r="B12" s="1">
        <v>0</v>
      </c>
      <c r="C12" s="1">
        <v>0</v>
      </c>
      <c r="D12" s="1">
        <v>0</v>
      </c>
      <c r="E12" s="1">
        <v>2</v>
      </c>
      <c r="F12" s="2">
        <f t="shared" si="2"/>
        <v>2</v>
      </c>
      <c r="G12" s="7" t="s">
        <v>4</v>
      </c>
      <c r="H12" s="1">
        <v>3</v>
      </c>
      <c r="I12" s="1">
        <v>1</v>
      </c>
      <c r="J12" s="1">
        <v>4</v>
      </c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2</v>
      </c>
      <c r="Q12" s="5">
        <v>2</v>
      </c>
      <c r="R12" s="5">
        <v>1</v>
      </c>
      <c r="S12" s="5">
        <v>3</v>
      </c>
      <c r="T12" s="10">
        <f t="shared" si="0"/>
        <v>22</v>
      </c>
      <c r="U12" s="11" t="s">
        <v>4</v>
      </c>
      <c r="V12" s="4">
        <f t="shared" si="1"/>
        <v>6</v>
      </c>
    </row>
    <row r="13" spans="1:22" x14ac:dyDescent="0.2">
      <c r="A13" s="16">
        <v>10</v>
      </c>
      <c r="B13" s="1">
        <v>0</v>
      </c>
      <c r="C13" s="1">
        <v>0</v>
      </c>
      <c r="D13" s="1">
        <v>0</v>
      </c>
      <c r="E13" s="1">
        <v>0</v>
      </c>
      <c r="F13" s="2">
        <f t="shared" si="2"/>
        <v>0</v>
      </c>
      <c r="G13" s="6" t="s">
        <v>6</v>
      </c>
      <c r="H13" s="1">
        <v>3</v>
      </c>
      <c r="I13" s="1">
        <v>1</v>
      </c>
      <c r="J13" s="1">
        <v>4</v>
      </c>
      <c r="K13" s="1">
        <v>1</v>
      </c>
      <c r="L13" s="1">
        <v>1</v>
      </c>
      <c r="M13" s="1">
        <v>0</v>
      </c>
      <c r="N13" s="1">
        <v>2</v>
      </c>
      <c r="O13" s="1">
        <v>0</v>
      </c>
      <c r="P13" s="1">
        <v>3</v>
      </c>
      <c r="Q13" s="5">
        <v>0</v>
      </c>
      <c r="R13" s="5">
        <v>0</v>
      </c>
      <c r="S13" s="5">
        <v>2</v>
      </c>
      <c r="T13" s="10">
        <f t="shared" si="0"/>
        <v>17</v>
      </c>
      <c r="U13" s="11" t="s">
        <v>4</v>
      </c>
      <c r="V13" s="4">
        <f t="shared" si="1"/>
        <v>2</v>
      </c>
    </row>
    <row r="14" spans="1:22" x14ac:dyDescent="0.2">
      <c r="A14" s="16">
        <v>11</v>
      </c>
      <c r="B14" s="1">
        <v>0</v>
      </c>
      <c r="C14" s="1">
        <v>0</v>
      </c>
      <c r="D14" s="1">
        <v>0</v>
      </c>
      <c r="E14" s="1">
        <v>2</v>
      </c>
      <c r="F14" s="2">
        <f t="shared" si="2"/>
        <v>2</v>
      </c>
      <c r="G14" s="7" t="s">
        <v>4</v>
      </c>
      <c r="H14" s="1">
        <v>3</v>
      </c>
      <c r="I14" s="1">
        <v>3</v>
      </c>
      <c r="J14" s="1">
        <v>4</v>
      </c>
      <c r="K14" s="1">
        <v>1</v>
      </c>
      <c r="L14" s="1">
        <v>1</v>
      </c>
      <c r="M14" s="1">
        <v>1</v>
      </c>
      <c r="N14" s="1">
        <v>1</v>
      </c>
      <c r="O14" s="1">
        <v>2</v>
      </c>
      <c r="P14" s="1">
        <v>2</v>
      </c>
      <c r="Q14" s="5">
        <v>1</v>
      </c>
      <c r="R14" s="5">
        <v>1</v>
      </c>
      <c r="S14" s="5">
        <v>1</v>
      </c>
      <c r="T14" s="10">
        <f t="shared" si="0"/>
        <v>21</v>
      </c>
      <c r="U14" s="11" t="s">
        <v>4</v>
      </c>
      <c r="V14" s="4">
        <f t="shared" si="1"/>
        <v>3</v>
      </c>
    </row>
    <row r="15" spans="1:22" x14ac:dyDescent="0.2">
      <c r="A15" s="16">
        <v>12</v>
      </c>
      <c r="B15" s="1">
        <v>0</v>
      </c>
      <c r="C15" s="1">
        <v>0</v>
      </c>
      <c r="D15" s="1">
        <v>0</v>
      </c>
      <c r="E15" s="1">
        <v>2</v>
      </c>
      <c r="F15" s="2">
        <f t="shared" si="2"/>
        <v>2</v>
      </c>
      <c r="G15" s="7" t="s">
        <v>4</v>
      </c>
      <c r="H15" s="1">
        <v>3</v>
      </c>
      <c r="I15" s="1">
        <v>3</v>
      </c>
      <c r="J15" s="1">
        <v>4</v>
      </c>
      <c r="K15" s="1">
        <v>1</v>
      </c>
      <c r="L15" s="1">
        <v>1</v>
      </c>
      <c r="M15" s="1">
        <v>0</v>
      </c>
      <c r="N15" s="1">
        <v>1</v>
      </c>
      <c r="O15" s="1">
        <v>1</v>
      </c>
      <c r="P15" s="1">
        <v>2</v>
      </c>
      <c r="Q15" s="5">
        <v>0</v>
      </c>
      <c r="R15" s="5">
        <v>1</v>
      </c>
      <c r="S15" s="5">
        <v>1</v>
      </c>
      <c r="T15" s="10">
        <f t="shared" si="0"/>
        <v>18</v>
      </c>
      <c r="U15" s="11" t="s">
        <v>4</v>
      </c>
      <c r="V15" s="4">
        <f t="shared" si="1"/>
        <v>2</v>
      </c>
    </row>
    <row r="16" spans="1:22" x14ac:dyDescent="0.2">
      <c r="A16" s="16">
        <v>13</v>
      </c>
      <c r="B16" s="1">
        <v>2</v>
      </c>
      <c r="C16" s="1">
        <v>2</v>
      </c>
      <c r="D16" s="1">
        <v>0</v>
      </c>
      <c r="E16" s="1">
        <v>0</v>
      </c>
      <c r="F16" s="2">
        <f t="shared" si="2"/>
        <v>4</v>
      </c>
      <c r="G16" s="7" t="s">
        <v>4</v>
      </c>
      <c r="H16" s="1">
        <v>3</v>
      </c>
      <c r="I16" s="1">
        <v>3</v>
      </c>
      <c r="J16" s="1">
        <v>2</v>
      </c>
      <c r="K16" s="1">
        <v>0</v>
      </c>
      <c r="L16" s="1">
        <v>1</v>
      </c>
      <c r="M16" s="1">
        <v>0</v>
      </c>
      <c r="N16" s="1">
        <v>2</v>
      </c>
      <c r="O16" s="1">
        <v>4</v>
      </c>
      <c r="P16" s="1">
        <v>3</v>
      </c>
      <c r="Q16" s="5">
        <v>0</v>
      </c>
      <c r="R16" s="5">
        <v>0</v>
      </c>
      <c r="S16" s="5">
        <v>1</v>
      </c>
      <c r="T16" s="10">
        <f t="shared" si="0"/>
        <v>19</v>
      </c>
      <c r="U16" s="11" t="s">
        <v>4</v>
      </c>
      <c r="V16" s="4">
        <f t="shared" si="1"/>
        <v>1</v>
      </c>
    </row>
    <row r="17" spans="1:22" x14ac:dyDescent="0.2">
      <c r="A17" s="16">
        <v>14</v>
      </c>
      <c r="B17" s="1">
        <v>0</v>
      </c>
      <c r="C17" s="1">
        <v>0</v>
      </c>
      <c r="D17" s="1">
        <v>0</v>
      </c>
      <c r="E17" s="1">
        <v>0</v>
      </c>
      <c r="F17" s="2">
        <f t="shared" si="2"/>
        <v>0</v>
      </c>
      <c r="G17" s="6" t="s">
        <v>6</v>
      </c>
      <c r="H17" s="1">
        <v>2</v>
      </c>
      <c r="I17" s="1">
        <v>3</v>
      </c>
      <c r="J17" s="1">
        <v>4</v>
      </c>
      <c r="K17" s="1">
        <v>1</v>
      </c>
      <c r="L17" s="1">
        <v>2</v>
      </c>
      <c r="M17" s="1">
        <v>3</v>
      </c>
      <c r="N17" s="1">
        <v>1</v>
      </c>
      <c r="O17" s="1">
        <v>2</v>
      </c>
      <c r="P17" s="1">
        <v>2</v>
      </c>
      <c r="Q17" s="5">
        <v>0</v>
      </c>
      <c r="R17" s="5">
        <v>1</v>
      </c>
      <c r="S17" s="5">
        <v>0</v>
      </c>
      <c r="T17" s="10">
        <f t="shared" si="0"/>
        <v>21</v>
      </c>
      <c r="U17" s="11" t="s">
        <v>4</v>
      </c>
      <c r="V17" s="4">
        <f t="shared" si="1"/>
        <v>1</v>
      </c>
    </row>
    <row r="18" spans="1:22" x14ac:dyDescent="0.2">
      <c r="A18" s="16">
        <v>15</v>
      </c>
      <c r="B18" s="1">
        <v>0</v>
      </c>
      <c r="C18" s="1">
        <v>0</v>
      </c>
      <c r="D18" s="1">
        <v>0</v>
      </c>
      <c r="E18" s="1">
        <v>0</v>
      </c>
      <c r="F18" s="2">
        <f t="shared" si="2"/>
        <v>0</v>
      </c>
      <c r="G18" s="6" t="s">
        <v>6</v>
      </c>
      <c r="H18" s="1">
        <v>1</v>
      </c>
      <c r="I18" s="1">
        <v>3</v>
      </c>
      <c r="J18" s="1">
        <v>4</v>
      </c>
      <c r="K18" s="1">
        <v>1</v>
      </c>
      <c r="L18" s="1">
        <v>1</v>
      </c>
      <c r="M18" s="1">
        <v>1</v>
      </c>
      <c r="N18" s="1">
        <v>2</v>
      </c>
      <c r="O18" s="1">
        <v>2</v>
      </c>
      <c r="P18" s="1">
        <v>4</v>
      </c>
      <c r="Q18" s="5">
        <v>0</v>
      </c>
      <c r="R18" s="5">
        <v>0</v>
      </c>
      <c r="S18" s="5">
        <v>1</v>
      </c>
      <c r="T18" s="10">
        <f t="shared" si="0"/>
        <v>20</v>
      </c>
      <c r="U18" s="11" t="s">
        <v>4</v>
      </c>
      <c r="V18" s="4">
        <f t="shared" si="1"/>
        <v>1</v>
      </c>
    </row>
    <row r="19" spans="1:22" x14ac:dyDescent="0.2">
      <c r="A19" s="16">
        <v>16</v>
      </c>
      <c r="B19" s="1">
        <v>2</v>
      </c>
      <c r="C19" s="1">
        <v>0</v>
      </c>
      <c r="D19" s="1">
        <v>0</v>
      </c>
      <c r="E19" s="1">
        <v>2</v>
      </c>
      <c r="F19" s="2">
        <f t="shared" si="2"/>
        <v>4</v>
      </c>
      <c r="G19" s="7" t="s">
        <v>4</v>
      </c>
      <c r="H19" s="1">
        <v>3</v>
      </c>
      <c r="I19" s="1">
        <v>3</v>
      </c>
      <c r="J19" s="1">
        <v>4</v>
      </c>
      <c r="K19" s="1">
        <v>1</v>
      </c>
      <c r="L19" s="1">
        <v>1</v>
      </c>
      <c r="M19" s="1">
        <v>0</v>
      </c>
      <c r="N19" s="1">
        <v>1</v>
      </c>
      <c r="O19" s="1">
        <v>1</v>
      </c>
      <c r="P19" s="1">
        <v>3</v>
      </c>
      <c r="Q19" s="5">
        <v>0</v>
      </c>
      <c r="R19" s="5">
        <v>1</v>
      </c>
      <c r="S19" s="5">
        <v>0</v>
      </c>
      <c r="T19" s="10">
        <f t="shared" si="0"/>
        <v>18</v>
      </c>
      <c r="U19" s="11" t="s">
        <v>4</v>
      </c>
      <c r="V19" s="4">
        <f t="shared" si="1"/>
        <v>1</v>
      </c>
    </row>
    <row r="20" spans="1:22" x14ac:dyDescent="0.2">
      <c r="A20" s="16">
        <v>17</v>
      </c>
      <c r="B20" s="1">
        <v>2</v>
      </c>
      <c r="C20" s="1">
        <v>0</v>
      </c>
      <c r="D20" s="1">
        <v>0</v>
      </c>
      <c r="E20" s="1">
        <v>0</v>
      </c>
      <c r="F20" s="2">
        <f t="shared" si="2"/>
        <v>2</v>
      </c>
      <c r="G20" s="7" t="s">
        <v>4</v>
      </c>
      <c r="H20" s="1">
        <v>2</v>
      </c>
      <c r="I20" s="1">
        <v>3</v>
      </c>
      <c r="J20" s="1">
        <v>4</v>
      </c>
      <c r="K20" s="1">
        <v>2</v>
      </c>
      <c r="L20" s="1">
        <v>2</v>
      </c>
      <c r="M20" s="1">
        <v>0</v>
      </c>
      <c r="N20" s="1">
        <v>0</v>
      </c>
      <c r="O20" s="1">
        <v>1</v>
      </c>
      <c r="P20" s="1">
        <v>2</v>
      </c>
      <c r="Q20" s="5">
        <v>0</v>
      </c>
      <c r="R20" s="5">
        <v>1</v>
      </c>
      <c r="S20" s="5">
        <v>1</v>
      </c>
      <c r="T20" s="10">
        <f t="shared" si="0"/>
        <v>18</v>
      </c>
      <c r="U20" s="11" t="s">
        <v>4</v>
      </c>
      <c r="V20" s="4">
        <f t="shared" si="1"/>
        <v>2</v>
      </c>
    </row>
    <row r="21" spans="1:22" x14ac:dyDescent="0.2">
      <c r="A21" s="16">
        <v>18</v>
      </c>
      <c r="B21" s="1">
        <v>2</v>
      </c>
      <c r="C21" s="1">
        <v>0</v>
      </c>
      <c r="D21" s="1">
        <v>1</v>
      </c>
      <c r="E21" s="1">
        <v>2</v>
      </c>
      <c r="F21" s="2">
        <f t="shared" si="2"/>
        <v>5</v>
      </c>
      <c r="G21" s="7" t="s">
        <v>4</v>
      </c>
      <c r="H21" s="1">
        <v>3</v>
      </c>
      <c r="I21" s="1">
        <v>3</v>
      </c>
      <c r="J21" s="1">
        <v>4</v>
      </c>
      <c r="K21" s="1">
        <v>2</v>
      </c>
      <c r="L21" s="1">
        <v>3</v>
      </c>
      <c r="M21" s="1">
        <v>0</v>
      </c>
      <c r="N21" s="1">
        <v>2</v>
      </c>
      <c r="O21" s="1">
        <v>3</v>
      </c>
      <c r="P21" s="1">
        <v>2</v>
      </c>
      <c r="Q21" s="5">
        <v>0</v>
      </c>
      <c r="R21" s="5">
        <v>0</v>
      </c>
      <c r="S21" s="5">
        <v>2</v>
      </c>
      <c r="T21" s="10">
        <f t="shared" si="0"/>
        <v>24</v>
      </c>
      <c r="U21" s="13" t="s">
        <v>6</v>
      </c>
      <c r="V21" s="4">
        <f t="shared" si="1"/>
        <v>2</v>
      </c>
    </row>
    <row r="22" spans="1:22" x14ac:dyDescent="0.2">
      <c r="A22" s="16">
        <v>19</v>
      </c>
      <c r="B22" s="1">
        <v>2</v>
      </c>
      <c r="C22" s="1">
        <v>0</v>
      </c>
      <c r="D22" s="1">
        <v>0</v>
      </c>
      <c r="E22" s="1">
        <v>2</v>
      </c>
      <c r="F22" s="2">
        <f t="shared" si="2"/>
        <v>4</v>
      </c>
      <c r="G22" s="7" t="s">
        <v>4</v>
      </c>
      <c r="H22" s="1">
        <v>3</v>
      </c>
      <c r="I22" s="1">
        <v>2</v>
      </c>
      <c r="J22" s="1">
        <v>4</v>
      </c>
      <c r="K22" s="1">
        <v>1</v>
      </c>
      <c r="L22" s="1">
        <v>3</v>
      </c>
      <c r="M22" s="1">
        <v>1</v>
      </c>
      <c r="N22" s="1">
        <v>1</v>
      </c>
      <c r="O22" s="1">
        <v>2</v>
      </c>
      <c r="P22" s="1">
        <v>2</v>
      </c>
      <c r="Q22" s="5">
        <v>0</v>
      </c>
      <c r="R22" s="5">
        <v>1</v>
      </c>
      <c r="S22" s="5">
        <v>2</v>
      </c>
      <c r="T22" s="10">
        <f t="shared" si="0"/>
        <v>22</v>
      </c>
      <c r="U22" s="11" t="s">
        <v>4</v>
      </c>
      <c r="V22" s="4">
        <f t="shared" si="1"/>
        <v>3</v>
      </c>
    </row>
    <row r="23" spans="1:22" x14ac:dyDescent="0.2">
      <c r="A23" s="16">
        <v>20</v>
      </c>
      <c r="B23" s="1">
        <v>0</v>
      </c>
      <c r="C23" s="1">
        <v>0</v>
      </c>
      <c r="D23" s="1">
        <v>1</v>
      </c>
      <c r="E23" s="1">
        <v>2</v>
      </c>
      <c r="F23" s="2">
        <f t="shared" si="2"/>
        <v>3</v>
      </c>
      <c r="G23" s="7" t="s">
        <v>4</v>
      </c>
      <c r="H23" s="1">
        <v>2</v>
      </c>
      <c r="I23" s="1">
        <v>1</v>
      </c>
      <c r="J23" s="1">
        <v>4</v>
      </c>
      <c r="K23" s="1">
        <v>1</v>
      </c>
      <c r="L23" s="1">
        <v>2</v>
      </c>
      <c r="M23" s="1">
        <v>1</v>
      </c>
      <c r="N23" s="1">
        <v>1</v>
      </c>
      <c r="O23" s="1">
        <v>2</v>
      </c>
      <c r="P23" s="1">
        <v>4</v>
      </c>
      <c r="Q23" s="5">
        <v>1</v>
      </c>
      <c r="R23" s="5">
        <v>0</v>
      </c>
      <c r="S23" s="5">
        <v>1</v>
      </c>
      <c r="T23" s="10">
        <f t="shared" si="0"/>
        <v>20</v>
      </c>
      <c r="U23" s="11" t="s">
        <v>4</v>
      </c>
      <c r="V23" s="4">
        <f t="shared" si="1"/>
        <v>2</v>
      </c>
    </row>
    <row r="24" spans="1:22" x14ac:dyDescent="0.2">
      <c r="A24" s="16">
        <v>21</v>
      </c>
      <c r="B24" s="1">
        <v>0</v>
      </c>
      <c r="C24" s="1">
        <v>0</v>
      </c>
      <c r="D24" s="1">
        <v>0</v>
      </c>
      <c r="E24" s="1">
        <v>0</v>
      </c>
      <c r="F24" s="2">
        <f t="shared" si="2"/>
        <v>0</v>
      </c>
      <c r="G24" s="6" t="s">
        <v>6</v>
      </c>
      <c r="H24" s="1">
        <v>3</v>
      </c>
      <c r="I24" s="1">
        <v>3</v>
      </c>
      <c r="J24" s="1">
        <v>4</v>
      </c>
      <c r="K24" s="1">
        <v>1</v>
      </c>
      <c r="L24" s="1">
        <v>1</v>
      </c>
      <c r="M24" s="1">
        <v>0</v>
      </c>
      <c r="N24" s="1">
        <v>2</v>
      </c>
      <c r="O24" s="1">
        <v>2</v>
      </c>
      <c r="P24" s="1">
        <v>2</v>
      </c>
      <c r="Q24" s="5">
        <v>0</v>
      </c>
      <c r="R24" s="5">
        <v>1</v>
      </c>
      <c r="S24" s="5">
        <v>1</v>
      </c>
      <c r="T24" s="10">
        <f t="shared" si="0"/>
        <v>20</v>
      </c>
      <c r="U24" s="11" t="s">
        <v>4</v>
      </c>
      <c r="V24" s="4">
        <f t="shared" si="1"/>
        <v>2</v>
      </c>
    </row>
    <row r="25" spans="1:22" x14ac:dyDescent="0.2">
      <c r="A25" s="16">
        <v>22</v>
      </c>
      <c r="B25" s="1">
        <v>2</v>
      </c>
      <c r="C25" s="1">
        <v>2</v>
      </c>
      <c r="D25" s="1">
        <v>1</v>
      </c>
      <c r="E25" s="1">
        <v>2</v>
      </c>
      <c r="F25" s="2">
        <f t="shared" si="2"/>
        <v>7</v>
      </c>
      <c r="G25" s="7" t="s">
        <v>4</v>
      </c>
      <c r="H25" s="1">
        <v>3</v>
      </c>
      <c r="I25" s="1">
        <v>3</v>
      </c>
      <c r="J25" s="1">
        <v>4</v>
      </c>
      <c r="K25" s="1">
        <v>2</v>
      </c>
      <c r="L25" s="1">
        <v>3</v>
      </c>
      <c r="M25" s="1">
        <v>3</v>
      </c>
      <c r="N25" s="1">
        <v>3</v>
      </c>
      <c r="O25" s="1">
        <v>3</v>
      </c>
      <c r="P25" s="1">
        <v>2</v>
      </c>
      <c r="Q25" s="5">
        <v>0</v>
      </c>
      <c r="R25" s="5">
        <v>1</v>
      </c>
      <c r="S25" s="5">
        <v>0</v>
      </c>
      <c r="T25" s="10">
        <f t="shared" si="0"/>
        <v>27</v>
      </c>
      <c r="U25" s="13" t="s">
        <v>6</v>
      </c>
      <c r="V25" s="4">
        <f t="shared" si="1"/>
        <v>1</v>
      </c>
    </row>
    <row r="26" spans="1:22" x14ac:dyDescent="0.2">
      <c r="A26" s="16">
        <v>23</v>
      </c>
      <c r="B26" s="1">
        <v>0</v>
      </c>
      <c r="C26" s="1">
        <v>0</v>
      </c>
      <c r="D26" s="1">
        <v>0</v>
      </c>
      <c r="E26" s="1">
        <v>0</v>
      </c>
      <c r="F26" s="2">
        <f t="shared" si="2"/>
        <v>0</v>
      </c>
      <c r="G26" s="6" t="s">
        <v>6</v>
      </c>
      <c r="H26" s="1">
        <v>3</v>
      </c>
      <c r="I26" s="1">
        <v>3</v>
      </c>
      <c r="J26" s="1">
        <v>4</v>
      </c>
      <c r="K26" s="1">
        <v>1</v>
      </c>
      <c r="L26" s="1">
        <v>1</v>
      </c>
      <c r="M26" s="1">
        <v>0</v>
      </c>
      <c r="N26" s="1">
        <v>1</v>
      </c>
      <c r="O26" s="1">
        <v>1</v>
      </c>
      <c r="P26" s="1">
        <v>4</v>
      </c>
      <c r="Q26" s="5">
        <v>0</v>
      </c>
      <c r="R26" s="5">
        <v>1</v>
      </c>
      <c r="S26" s="5">
        <v>1</v>
      </c>
      <c r="T26" s="10">
        <f t="shared" si="0"/>
        <v>20</v>
      </c>
      <c r="U26" s="11" t="s">
        <v>4</v>
      </c>
      <c r="V26" s="4">
        <f t="shared" si="1"/>
        <v>2</v>
      </c>
    </row>
    <row r="27" spans="1:22" x14ac:dyDescent="0.2">
      <c r="A27" s="16">
        <v>24</v>
      </c>
      <c r="B27" s="1">
        <v>0</v>
      </c>
      <c r="C27" s="1">
        <v>0</v>
      </c>
      <c r="D27" s="1">
        <v>0</v>
      </c>
      <c r="E27" s="1">
        <v>2</v>
      </c>
      <c r="F27" s="2">
        <f t="shared" si="2"/>
        <v>2</v>
      </c>
      <c r="G27" s="7" t="s">
        <v>4</v>
      </c>
      <c r="H27" s="1">
        <v>3</v>
      </c>
      <c r="I27" s="1">
        <v>3</v>
      </c>
      <c r="J27" s="1">
        <v>4</v>
      </c>
      <c r="K27" s="1">
        <v>1</v>
      </c>
      <c r="L27" s="1">
        <v>1</v>
      </c>
      <c r="M27" s="1">
        <v>2</v>
      </c>
      <c r="N27" s="1">
        <v>1</v>
      </c>
      <c r="O27" s="1">
        <v>1</v>
      </c>
      <c r="P27" s="1">
        <v>3</v>
      </c>
      <c r="Q27" s="5">
        <v>0</v>
      </c>
      <c r="R27" s="5">
        <v>1</v>
      </c>
      <c r="S27" s="5">
        <v>2</v>
      </c>
      <c r="T27" s="10">
        <f t="shared" si="0"/>
        <v>22</v>
      </c>
      <c r="U27" s="11" t="s">
        <v>4</v>
      </c>
      <c r="V27" s="4">
        <f t="shared" si="1"/>
        <v>3</v>
      </c>
    </row>
    <row r="28" spans="1:22" x14ac:dyDescent="0.2">
      <c r="A28" s="16">
        <v>25</v>
      </c>
      <c r="B28" s="1">
        <v>2</v>
      </c>
      <c r="C28" s="1">
        <v>2</v>
      </c>
      <c r="D28" s="1">
        <v>0</v>
      </c>
      <c r="E28" s="1">
        <v>2</v>
      </c>
      <c r="F28" s="2">
        <f t="shared" si="2"/>
        <v>6</v>
      </c>
      <c r="G28" s="7" t="s">
        <v>4</v>
      </c>
      <c r="H28" s="1">
        <v>2</v>
      </c>
      <c r="I28" s="1">
        <v>3</v>
      </c>
      <c r="J28" s="1">
        <v>4</v>
      </c>
      <c r="K28" s="1">
        <v>1</v>
      </c>
      <c r="L28" s="1">
        <v>2</v>
      </c>
      <c r="M28" s="1">
        <v>1</v>
      </c>
      <c r="N28" s="1">
        <v>1</v>
      </c>
      <c r="O28" s="1">
        <v>1</v>
      </c>
      <c r="P28" s="1">
        <v>2</v>
      </c>
      <c r="Q28" s="5">
        <v>2</v>
      </c>
      <c r="R28" s="5">
        <v>1</v>
      </c>
      <c r="S28" s="5">
        <v>0</v>
      </c>
      <c r="T28" s="10">
        <f t="shared" si="0"/>
        <v>20</v>
      </c>
      <c r="U28" s="11" t="s">
        <v>4</v>
      </c>
      <c r="V28" s="4">
        <f t="shared" si="1"/>
        <v>3</v>
      </c>
    </row>
    <row r="29" spans="1:22" x14ac:dyDescent="0.2">
      <c r="A29" s="16">
        <v>26</v>
      </c>
      <c r="B29" s="1">
        <v>2</v>
      </c>
      <c r="C29" s="1">
        <v>0</v>
      </c>
      <c r="D29" s="1">
        <v>0</v>
      </c>
      <c r="E29" s="1">
        <v>0</v>
      </c>
      <c r="F29" s="2">
        <f t="shared" si="2"/>
        <v>2</v>
      </c>
      <c r="G29" s="7" t="s">
        <v>4</v>
      </c>
      <c r="H29" s="1">
        <v>3</v>
      </c>
      <c r="I29" s="1">
        <v>1</v>
      </c>
      <c r="J29" s="1">
        <v>4</v>
      </c>
      <c r="K29" s="1">
        <v>1</v>
      </c>
      <c r="L29" s="1">
        <v>2</v>
      </c>
      <c r="M29" s="1">
        <v>0</v>
      </c>
      <c r="N29" s="1">
        <v>1</v>
      </c>
      <c r="O29" s="1">
        <v>2</v>
      </c>
      <c r="P29" s="1">
        <v>3</v>
      </c>
      <c r="Q29" s="5">
        <v>0</v>
      </c>
      <c r="R29" s="5">
        <v>1</v>
      </c>
      <c r="S29" s="5">
        <v>1</v>
      </c>
      <c r="T29" s="10">
        <f t="shared" si="0"/>
        <v>19</v>
      </c>
      <c r="U29" s="11" t="s">
        <v>4</v>
      </c>
      <c r="V29" s="4">
        <f t="shared" si="1"/>
        <v>2</v>
      </c>
    </row>
    <row r="30" spans="1:22" x14ac:dyDescent="0.2">
      <c r="A30" s="16">
        <v>27</v>
      </c>
      <c r="B30" s="1">
        <v>2</v>
      </c>
      <c r="C30" s="1">
        <v>2</v>
      </c>
      <c r="D30" s="1">
        <v>0</v>
      </c>
      <c r="E30" s="1">
        <v>2</v>
      </c>
      <c r="F30" s="2">
        <f t="shared" si="2"/>
        <v>6</v>
      </c>
      <c r="G30" s="7" t="s">
        <v>4</v>
      </c>
      <c r="H30" s="1">
        <v>2</v>
      </c>
      <c r="I30" s="1">
        <v>3</v>
      </c>
      <c r="J30" s="1">
        <v>4</v>
      </c>
      <c r="K30" s="1">
        <v>2</v>
      </c>
      <c r="L30" s="1">
        <v>1</v>
      </c>
      <c r="M30" s="1">
        <v>0</v>
      </c>
      <c r="N30" s="1">
        <v>1</v>
      </c>
      <c r="O30" s="1">
        <v>2</v>
      </c>
      <c r="P30" s="1">
        <v>2</v>
      </c>
      <c r="Q30" s="5">
        <v>1</v>
      </c>
      <c r="R30" s="5">
        <v>1</v>
      </c>
      <c r="S30" s="5">
        <v>1</v>
      </c>
      <c r="T30" s="10">
        <f t="shared" si="0"/>
        <v>20</v>
      </c>
      <c r="U30" s="11" t="s">
        <v>4</v>
      </c>
      <c r="V30" s="4">
        <f t="shared" si="1"/>
        <v>3</v>
      </c>
    </row>
    <row r="31" spans="1:22" x14ac:dyDescent="0.2">
      <c r="A31" s="16">
        <v>28</v>
      </c>
      <c r="B31" s="1">
        <v>2</v>
      </c>
      <c r="C31" s="1">
        <v>0</v>
      </c>
      <c r="D31" s="1">
        <v>0</v>
      </c>
      <c r="E31" s="1">
        <v>2</v>
      </c>
      <c r="F31" s="2">
        <f t="shared" si="2"/>
        <v>4</v>
      </c>
      <c r="G31" s="7" t="s">
        <v>4</v>
      </c>
      <c r="H31" s="1">
        <v>2</v>
      </c>
      <c r="I31" s="1">
        <v>3</v>
      </c>
      <c r="J31" s="1">
        <v>4</v>
      </c>
      <c r="K31" s="1">
        <v>1</v>
      </c>
      <c r="L31" s="1">
        <v>1</v>
      </c>
      <c r="M31" s="1">
        <v>1</v>
      </c>
      <c r="N31" s="1">
        <v>1</v>
      </c>
      <c r="O31" s="1">
        <v>2</v>
      </c>
      <c r="P31" s="1">
        <v>4</v>
      </c>
      <c r="Q31" s="5">
        <v>0</v>
      </c>
      <c r="R31" s="5">
        <v>1</v>
      </c>
      <c r="S31" s="5">
        <v>2</v>
      </c>
      <c r="T31" s="10">
        <f t="shared" si="0"/>
        <v>22</v>
      </c>
      <c r="U31" s="11" t="s">
        <v>4</v>
      </c>
      <c r="V31" s="4">
        <f t="shared" si="1"/>
        <v>3</v>
      </c>
    </row>
    <row r="32" spans="1:22" x14ac:dyDescent="0.2">
      <c r="A32" s="16">
        <v>29</v>
      </c>
      <c r="B32" s="1">
        <v>2</v>
      </c>
      <c r="C32" s="1">
        <v>2</v>
      </c>
      <c r="D32" s="1">
        <v>0</v>
      </c>
      <c r="E32" s="1">
        <v>2</v>
      </c>
      <c r="F32" s="2">
        <f t="shared" si="2"/>
        <v>6</v>
      </c>
      <c r="G32" s="7" t="s">
        <v>4</v>
      </c>
      <c r="H32" s="1">
        <v>3</v>
      </c>
      <c r="I32" s="1">
        <v>1</v>
      </c>
      <c r="J32" s="1">
        <v>4</v>
      </c>
      <c r="K32" s="1">
        <v>1</v>
      </c>
      <c r="L32" s="1">
        <v>1</v>
      </c>
      <c r="M32" s="1">
        <v>0</v>
      </c>
      <c r="N32" s="1">
        <v>1</v>
      </c>
      <c r="O32" s="1">
        <v>2</v>
      </c>
      <c r="P32" s="1">
        <v>3</v>
      </c>
      <c r="Q32" s="5">
        <v>2</v>
      </c>
      <c r="R32" s="5">
        <v>2</v>
      </c>
      <c r="S32" s="5">
        <v>1</v>
      </c>
      <c r="T32" s="10">
        <f t="shared" si="0"/>
        <v>21</v>
      </c>
      <c r="U32" s="11" t="s">
        <v>4</v>
      </c>
      <c r="V32" s="4">
        <f t="shared" si="1"/>
        <v>5</v>
      </c>
    </row>
    <row r="33" spans="1:22" x14ac:dyDescent="0.2">
      <c r="A33" s="16">
        <v>30</v>
      </c>
      <c r="B33" s="1">
        <v>0</v>
      </c>
      <c r="C33" s="1">
        <v>0</v>
      </c>
      <c r="D33" s="1">
        <v>0</v>
      </c>
      <c r="E33" s="1">
        <v>0</v>
      </c>
      <c r="F33" s="2">
        <f t="shared" si="2"/>
        <v>0</v>
      </c>
      <c r="G33" s="6" t="s">
        <v>6</v>
      </c>
      <c r="H33" s="1">
        <v>3</v>
      </c>
      <c r="I33" s="1">
        <v>3</v>
      </c>
      <c r="J33" s="1">
        <v>4</v>
      </c>
      <c r="K33" s="1">
        <v>2</v>
      </c>
      <c r="L33" s="1">
        <v>1</v>
      </c>
      <c r="M33" s="1">
        <v>1</v>
      </c>
      <c r="N33" s="1">
        <v>1</v>
      </c>
      <c r="O33" s="1">
        <v>1</v>
      </c>
      <c r="P33" s="1">
        <v>4</v>
      </c>
      <c r="Q33" s="5">
        <v>0</v>
      </c>
      <c r="R33" s="5">
        <v>1</v>
      </c>
      <c r="S33" s="5">
        <v>1</v>
      </c>
      <c r="T33" s="10">
        <f t="shared" si="0"/>
        <v>22</v>
      </c>
      <c r="U33" s="11" t="s">
        <v>4</v>
      </c>
      <c r="V33" s="4">
        <f t="shared" si="1"/>
        <v>2</v>
      </c>
    </row>
    <row r="35" spans="1:22" x14ac:dyDescent="0.2">
      <c r="U35" s="8"/>
    </row>
    <row r="36" spans="1:22" x14ac:dyDescent="0.2">
      <c r="U36" s="8"/>
    </row>
    <row r="37" spans="1:22" x14ac:dyDescent="0.2">
      <c r="U37" s="9"/>
    </row>
    <row r="38" spans="1:22" x14ac:dyDescent="0.2">
      <c r="U38" s="9"/>
    </row>
  </sheetData>
  <mergeCells count="5">
    <mergeCell ref="B1:F1"/>
    <mergeCell ref="H1:T1"/>
    <mergeCell ref="A1:A3"/>
    <mergeCell ref="G1:G3"/>
    <mergeCell ref="U1:U3"/>
  </mergeCells>
  <pageMargins left="0.7" right="0.7" top="0.75" bottom="0.75" header="0.3" footer="0.3"/>
  <pageSetup paperSize="9" scale="2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Code_Demo</vt:lpstr>
      <vt:lpstr>Demographic </vt:lpstr>
      <vt:lpstr>Code_Self</vt:lpstr>
      <vt:lpstr>Self Screen Assess (3)</vt:lpstr>
      <vt:lpstr>Self Screen Assess (2)</vt:lpstr>
      <vt:lpstr>Code_Satisfaction</vt:lpstr>
      <vt:lpstr>Satisfaction</vt:lpstr>
      <vt:lpstr>Code_BIA</vt:lpstr>
      <vt:lpstr>BIA</vt:lpstr>
      <vt:lpstr>Code_MNA</vt:lpstr>
      <vt:lpstr>MNA</vt:lpstr>
      <vt:lpstr>Self Screen Assess</vt:lpstr>
      <vt:lpstr>'Self Screen Assess'!Print_Area</vt:lpstr>
      <vt:lpstr>'Self Screen Assess (2)'!Print_Area</vt:lpstr>
      <vt:lpstr>'Self Screen Assess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PORNNUTCHA BUNNAK</dc:creator>
  <cp:lastModifiedBy>Microsoft Office User</cp:lastModifiedBy>
  <cp:lastPrinted>2026-01-20T17:14:15Z</cp:lastPrinted>
  <dcterms:created xsi:type="dcterms:W3CDTF">2026-01-20T16:12:57Z</dcterms:created>
  <dcterms:modified xsi:type="dcterms:W3CDTF">2026-02-06T03:25:47Z</dcterms:modified>
</cp:coreProperties>
</file>